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bsen/Library/Mobile Documents/com~apple~CloudDocs/Documents/Arctic-Benthic/"/>
    </mc:Choice>
  </mc:AlternateContent>
  <xr:revisionPtr revIDLastSave="0" documentId="13_ncr:1_{128A6E6E-17E8-EB44-926C-7F5DCFE01CAA}" xr6:coauthVersionLast="47" xr6:coauthVersionMax="47" xr10:uidLastSave="{00000000-0000-0000-0000-000000000000}"/>
  <bookViews>
    <workbookView xWindow="140" yWindow="760" windowWidth="26760" windowHeight="15140" xr2:uid="{00000000-000D-0000-FFFF-FFFF00000000}"/>
  </bookViews>
  <sheets>
    <sheet name="AllStation_BenthicInfauna_CLASS" sheetId="1" r:id="rId1"/>
  </sheets>
  <definedNames>
    <definedName name="_xlnm._FilterDatabase" localSheetId="0" hidden="1">AllStation_BenthicInfauna_CLASS!$A$1:$AU$1769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09" i="1" l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2" i="1"/>
  <c r="AU1683" i="1" l="1"/>
  <c r="AU1684" i="1"/>
  <c r="AU1685" i="1"/>
  <c r="AU1686" i="1"/>
  <c r="AU1687" i="1"/>
  <c r="AU1688" i="1"/>
  <c r="AU1689" i="1"/>
  <c r="AU1690" i="1"/>
  <c r="AU1691" i="1"/>
  <c r="AU1692" i="1"/>
  <c r="AU1693" i="1"/>
  <c r="AU1694" i="1"/>
  <c r="AU1695" i="1"/>
  <c r="AU1696" i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682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AT1683" i="1" l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682" i="1"/>
  <c r="A1682" i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T1610" i="1" l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09" i="1"/>
</calcChain>
</file>

<file path=xl/sharedStrings.xml><?xml version="1.0" encoding="utf-8"?>
<sst xmlns="http://schemas.openxmlformats.org/spreadsheetml/2006/main" count="9020" uniqueCount="951">
  <si>
    <t>SortOrder</t>
  </si>
  <si>
    <t>CruiseID</t>
  </si>
  <si>
    <t>StationNum</t>
  </si>
  <si>
    <t>StationNme</t>
  </si>
  <si>
    <t>uniqueid_gc</t>
  </si>
  <si>
    <t>Latitude</t>
  </si>
  <si>
    <t>Longitude</t>
  </si>
  <si>
    <t>DataDate</t>
  </si>
  <si>
    <t>DataYear</t>
  </si>
  <si>
    <t>gc_Polychaeta</t>
  </si>
  <si>
    <t>gc_Bivalvia</t>
  </si>
  <si>
    <t>gc_Crustacea</t>
  </si>
  <si>
    <t>gc_Sipuncula</t>
  </si>
  <si>
    <t>gc_Ophiuroidea</t>
  </si>
  <si>
    <t>gc_Echinoidea</t>
  </si>
  <si>
    <t>gc_Anthozoa</t>
  </si>
  <si>
    <t>gc_Ascidiacea</t>
  </si>
  <si>
    <t>gc_Nemertea</t>
  </si>
  <si>
    <t>gc_Others</t>
  </si>
  <si>
    <t>TotGC</t>
  </si>
  <si>
    <t>DomTaxGCfm</t>
  </si>
  <si>
    <t>ww_Polychaeta</t>
  </si>
  <si>
    <t>ww_Bivalvia</t>
  </si>
  <si>
    <t>ww_Crustacea</t>
  </si>
  <si>
    <t>ww_Sipuncula</t>
  </si>
  <si>
    <t>ww_Ophiuroidea</t>
  </si>
  <si>
    <t>ww_Echinoidea</t>
  </si>
  <si>
    <t>ww_Anthozoa</t>
  </si>
  <si>
    <t>ww_Ascidiacea</t>
  </si>
  <si>
    <t>ww_Nemertea</t>
  </si>
  <si>
    <t>ww_Others</t>
  </si>
  <si>
    <t>ww_TotWW</t>
  </si>
  <si>
    <t>DomTaxWW</t>
  </si>
  <si>
    <t>abd_Polychaeta</t>
  </si>
  <si>
    <t>abd_Bivalvia</t>
  </si>
  <si>
    <t>abd_Crustacea</t>
  </si>
  <si>
    <t>abd_Sipuncula</t>
  </si>
  <si>
    <t>abd_Ophiuroidea</t>
  </si>
  <si>
    <t>abd_Echinoidea</t>
  </si>
  <si>
    <t>abd_Anthozoa</t>
  </si>
  <si>
    <t>abd_Ascidiacea</t>
  </si>
  <si>
    <t>abd_Nemertea</t>
  </si>
  <si>
    <t>abd_Others</t>
  </si>
  <si>
    <t>TotAbd</t>
  </si>
  <si>
    <t>DomTaxAbd</t>
  </si>
  <si>
    <t>BLU0803</t>
  </si>
  <si>
    <t>BD001</t>
  </si>
  <si>
    <t>BD002</t>
  </si>
  <si>
    <t>BD003</t>
  </si>
  <si>
    <t>BD004</t>
  </si>
  <si>
    <t>BD005</t>
  </si>
  <si>
    <t>BF001</t>
  </si>
  <si>
    <t>BF003</t>
  </si>
  <si>
    <t>BF005</t>
  </si>
  <si>
    <t>BF007</t>
  </si>
  <si>
    <t>BF009</t>
  </si>
  <si>
    <t>BF011</t>
  </si>
  <si>
    <t>BF013</t>
  </si>
  <si>
    <t>BF015</t>
  </si>
  <si>
    <t>BF017</t>
  </si>
  <si>
    <t>BF019</t>
  </si>
  <si>
    <t>BF021</t>
  </si>
  <si>
    <t>BF023</t>
  </si>
  <si>
    <t>BF025</t>
  </si>
  <si>
    <t>BN001</t>
  </si>
  <si>
    <t>BR005</t>
  </si>
  <si>
    <t>BR016</t>
  </si>
  <si>
    <t>BR020</t>
  </si>
  <si>
    <t>BR032</t>
  </si>
  <si>
    <t>BR038</t>
  </si>
  <si>
    <t>BR043</t>
  </si>
  <si>
    <t>BR047</t>
  </si>
  <si>
    <t>BR077</t>
  </si>
  <si>
    <t>BR080</t>
  </si>
  <si>
    <t>BR086</t>
  </si>
  <si>
    <t>BR087</t>
  </si>
  <si>
    <t>BR093</t>
  </si>
  <si>
    <t>BR098</t>
  </si>
  <si>
    <t>BR099</t>
  </si>
  <si>
    <t>BR100</t>
  </si>
  <si>
    <t>KD001</t>
  </si>
  <si>
    <t>KD002</t>
  </si>
  <si>
    <t>KD003</t>
  </si>
  <si>
    <t>KD004</t>
  </si>
  <si>
    <t>KD005</t>
  </si>
  <si>
    <t>KF001</t>
  </si>
  <si>
    <t>KF003</t>
  </si>
  <si>
    <t>KF005</t>
  </si>
  <si>
    <t>KF007</t>
  </si>
  <si>
    <t>KF009</t>
  </si>
  <si>
    <t>KF011</t>
  </si>
  <si>
    <t>KF013</t>
  </si>
  <si>
    <t>KF015</t>
  </si>
  <si>
    <t>KF017</t>
  </si>
  <si>
    <t>KF019</t>
  </si>
  <si>
    <t>KF021</t>
  </si>
  <si>
    <t>KF023</t>
  </si>
  <si>
    <t>KF025</t>
  </si>
  <si>
    <t>KR001</t>
  </si>
  <si>
    <t>KR007</t>
  </si>
  <si>
    <t>KR008</t>
  </si>
  <si>
    <t>KR009</t>
  </si>
  <si>
    <t>KR016</t>
  </si>
  <si>
    <t>KR019</t>
  </si>
  <si>
    <t>KR034</t>
  </si>
  <si>
    <t>KR043</t>
  </si>
  <si>
    <t>KR045</t>
  </si>
  <si>
    <t>KR056</t>
  </si>
  <si>
    <t>KR066</t>
  </si>
  <si>
    <t>KR083</t>
  </si>
  <si>
    <t>KR095</t>
  </si>
  <si>
    <t>NB11</t>
  </si>
  <si>
    <t>NB13</t>
  </si>
  <si>
    <t>NB15</t>
  </si>
  <si>
    <t>NB17</t>
  </si>
  <si>
    <t>NB19</t>
  </si>
  <si>
    <t>NB28</t>
  </si>
  <si>
    <t>NB26</t>
  </si>
  <si>
    <t>NB24</t>
  </si>
  <si>
    <t>NB22</t>
  </si>
  <si>
    <t>BS01</t>
  </si>
  <si>
    <t>BS03</t>
  </si>
  <si>
    <t>BS05</t>
  </si>
  <si>
    <t>BS07</t>
  </si>
  <si>
    <t>BS09</t>
  </si>
  <si>
    <t>CBL1</t>
  </si>
  <si>
    <t>CBL7</t>
  </si>
  <si>
    <t>UTX24</t>
  </si>
  <si>
    <t>CBL9</t>
  </si>
  <si>
    <t>UTX20</t>
  </si>
  <si>
    <t>CBL2</t>
  </si>
  <si>
    <t>CBL8</t>
  </si>
  <si>
    <t>UTX15</t>
  </si>
  <si>
    <t>UTX18</t>
  </si>
  <si>
    <t>CBL12</t>
  </si>
  <si>
    <t>CBL13</t>
  </si>
  <si>
    <t>CBL3</t>
  </si>
  <si>
    <t>UTX11</t>
  </si>
  <si>
    <t>CBL10</t>
  </si>
  <si>
    <t>UTX9</t>
  </si>
  <si>
    <t>CBL11</t>
  </si>
  <si>
    <t>UTX5</t>
  </si>
  <si>
    <t>CBL5</t>
  </si>
  <si>
    <t>UTX8</t>
  </si>
  <si>
    <t>UTX1</t>
  </si>
  <si>
    <t>CBL20</t>
  </si>
  <si>
    <t>CBL19</t>
  </si>
  <si>
    <t>CBL18</t>
  </si>
  <si>
    <t>CBL15</t>
  </si>
  <si>
    <t>CBL14</t>
  </si>
  <si>
    <t>CBL6</t>
  </si>
  <si>
    <t>CBL16</t>
  </si>
  <si>
    <t>BC_mussels</t>
  </si>
  <si>
    <t>UTX30</t>
  </si>
  <si>
    <t>CBL4</t>
  </si>
  <si>
    <t>COMIDA09_SS</t>
  </si>
  <si>
    <t>COMIDA10</t>
  </si>
  <si>
    <t>UTX27</t>
  </si>
  <si>
    <t>WR1</t>
  </si>
  <si>
    <t>HSH2</t>
  </si>
  <si>
    <t>1CP1</t>
  </si>
  <si>
    <t>B12</t>
  </si>
  <si>
    <t>N/A</t>
  </si>
  <si>
    <t>Detritus</t>
  </si>
  <si>
    <t>CBL2.8</t>
  </si>
  <si>
    <t>CBL8.3</t>
  </si>
  <si>
    <t>HSH1</t>
  </si>
  <si>
    <t>HS2</t>
  </si>
  <si>
    <t>UTX19</t>
  </si>
  <si>
    <t>UTX21</t>
  </si>
  <si>
    <t>UTX17</t>
  </si>
  <si>
    <t>UTX16</t>
  </si>
  <si>
    <t>UTX10</t>
  </si>
  <si>
    <t>UTX2</t>
  </si>
  <si>
    <t>CBL17</t>
  </si>
  <si>
    <t>CBL9BC_mussels</t>
  </si>
  <si>
    <t>UTX29</t>
  </si>
  <si>
    <t>COMIDA10_SS</t>
  </si>
  <si>
    <t>K3C</t>
  </si>
  <si>
    <t>UTBS1</t>
  </si>
  <si>
    <t>HV1</t>
  </si>
  <si>
    <t>WHS6</t>
  </si>
  <si>
    <t>WHS7</t>
  </si>
  <si>
    <t>EHS11</t>
  </si>
  <si>
    <t>EHS9</t>
  </si>
  <si>
    <t>EHS7</t>
  </si>
  <si>
    <t>EHS6</t>
  </si>
  <si>
    <t>EHS5</t>
  </si>
  <si>
    <t>EHS4</t>
  </si>
  <si>
    <t>HV2</t>
  </si>
  <si>
    <t>EHS1</t>
  </si>
  <si>
    <t>BC2A</t>
  </si>
  <si>
    <t>SB1</t>
  </si>
  <si>
    <t>HV3</t>
  </si>
  <si>
    <t>BC4</t>
  </si>
  <si>
    <t>BC5</t>
  </si>
  <si>
    <t>BC6</t>
  </si>
  <si>
    <t>BC7</t>
  </si>
  <si>
    <t>BC5A</t>
  </si>
  <si>
    <t>BC3</t>
  </si>
  <si>
    <t>BC2</t>
  </si>
  <si>
    <t>WHS1</t>
  </si>
  <si>
    <t>WHS2</t>
  </si>
  <si>
    <t>WHS3</t>
  </si>
  <si>
    <t>WHS4</t>
  </si>
  <si>
    <t>WHS5</t>
  </si>
  <si>
    <t>EB7</t>
  </si>
  <si>
    <t>EB6</t>
  </si>
  <si>
    <t>EB5</t>
  </si>
  <si>
    <t>EB4</t>
  </si>
  <si>
    <t>EB3</t>
  </si>
  <si>
    <t>EB2</t>
  </si>
  <si>
    <t>EB1</t>
  </si>
  <si>
    <t>HC2</t>
  </si>
  <si>
    <t>HV4</t>
  </si>
  <si>
    <t>ACW1</t>
  </si>
  <si>
    <t>ACW2</t>
  </si>
  <si>
    <t>EHS0.5</t>
  </si>
  <si>
    <t>EHS2</t>
  </si>
  <si>
    <t>EHSX</t>
  </si>
  <si>
    <t>SB1B</t>
  </si>
  <si>
    <t>SB4</t>
  </si>
  <si>
    <t>SB5</t>
  </si>
  <si>
    <t>34b</t>
  </si>
  <si>
    <t>BC2b</t>
  </si>
  <si>
    <t>EHS0</t>
  </si>
  <si>
    <t>BC3.2</t>
  </si>
  <si>
    <t>HLY0601</t>
  </si>
  <si>
    <t>NEC5</t>
  </si>
  <si>
    <t>VNG3</t>
  </si>
  <si>
    <t>DLN1</t>
  </si>
  <si>
    <t>SWC4</t>
  </si>
  <si>
    <t>SIL4</t>
  </si>
  <si>
    <t>SEC4</t>
  </si>
  <si>
    <t>NEC4</t>
  </si>
  <si>
    <t>SIL3</t>
  </si>
  <si>
    <t>POP4</t>
  </si>
  <si>
    <t>SWC4A</t>
  </si>
  <si>
    <t>SWC3</t>
  </si>
  <si>
    <t>VNG3.5</t>
  </si>
  <si>
    <t>SEC5</t>
  </si>
  <si>
    <t>CD1</t>
  </si>
  <si>
    <t>VNG4</t>
  </si>
  <si>
    <t>NWC3</t>
  </si>
  <si>
    <t>DLN3</t>
  </si>
  <si>
    <t>DLN4</t>
  </si>
  <si>
    <t>NWC2.5</t>
  </si>
  <si>
    <t>NWC2</t>
  </si>
  <si>
    <t>DLN2</t>
  </si>
  <si>
    <t>VNG5</t>
  </si>
  <si>
    <t>SWC3A</t>
  </si>
  <si>
    <t>SIL5</t>
  </si>
  <si>
    <t>POP3A</t>
  </si>
  <si>
    <t>SEC2.5</t>
  </si>
  <si>
    <t>SEC3</t>
  </si>
  <si>
    <t>NEC3</t>
  </si>
  <si>
    <t>NEC2</t>
  </si>
  <si>
    <t>NEC2.5</t>
  </si>
  <si>
    <t>SEC2</t>
  </si>
  <si>
    <t>SIL2</t>
  </si>
  <si>
    <t>SWC2</t>
  </si>
  <si>
    <t>SWC5</t>
  </si>
  <si>
    <t>DLN0</t>
  </si>
  <si>
    <t>KIV1</t>
  </si>
  <si>
    <t>KIV3</t>
  </si>
  <si>
    <t>KIV4</t>
  </si>
  <si>
    <t>KIV5</t>
  </si>
  <si>
    <t>NOM5</t>
  </si>
  <si>
    <t>VNG1</t>
  </si>
  <si>
    <t>NOM4</t>
  </si>
  <si>
    <t>NOM3</t>
  </si>
  <si>
    <t>NOM2</t>
  </si>
  <si>
    <t>NOM1</t>
  </si>
  <si>
    <t>RUS1</t>
  </si>
  <si>
    <t>RUS2</t>
  </si>
  <si>
    <t>RUS3</t>
  </si>
  <si>
    <t>RUS4</t>
  </si>
  <si>
    <t>RUS4A</t>
  </si>
  <si>
    <t>KNG1</t>
  </si>
  <si>
    <t>NWC5</t>
  </si>
  <si>
    <t>CPW1</t>
  </si>
  <si>
    <t>KNG2</t>
  </si>
  <si>
    <t>CPW2</t>
  </si>
  <si>
    <t>KNG3</t>
  </si>
  <si>
    <t>CPW3</t>
  </si>
  <si>
    <t>LDI2</t>
  </si>
  <si>
    <t>BRSA8</t>
  </si>
  <si>
    <t>BRSA7</t>
  </si>
  <si>
    <t>BRSA6</t>
  </si>
  <si>
    <t>BRSA5</t>
  </si>
  <si>
    <t>DLN5</t>
  </si>
  <si>
    <t>BRSA4</t>
  </si>
  <si>
    <t>BRSA3</t>
  </si>
  <si>
    <t>BRSA2</t>
  </si>
  <si>
    <t>BRSA1</t>
  </si>
  <si>
    <t>LDI3</t>
  </si>
  <si>
    <t>LDI4</t>
  </si>
  <si>
    <t>LDI1</t>
  </si>
  <si>
    <t>SPH6</t>
  </si>
  <si>
    <t>SPH5</t>
  </si>
  <si>
    <t>SPH4</t>
  </si>
  <si>
    <t>NWC4</t>
  </si>
  <si>
    <t>SPH3</t>
  </si>
  <si>
    <t>SPH2</t>
  </si>
  <si>
    <t>SPH1</t>
  </si>
  <si>
    <t>NEC1</t>
  </si>
  <si>
    <t>UTN5=SEC1</t>
  </si>
  <si>
    <t>NEC5A</t>
  </si>
  <si>
    <t>NWC4A</t>
  </si>
  <si>
    <t>NWC1</t>
  </si>
  <si>
    <t>HLY0702</t>
  </si>
  <si>
    <t>NSL4</t>
  </si>
  <si>
    <t>NSL3</t>
  </si>
  <si>
    <t>NSL1</t>
  </si>
  <si>
    <t>DLN0A</t>
  </si>
  <si>
    <t>HLY0801</t>
  </si>
  <si>
    <t>FD1</t>
  </si>
  <si>
    <t>WAL1</t>
  </si>
  <si>
    <t>WAL2</t>
  </si>
  <si>
    <t>MK10A</t>
  </si>
  <si>
    <t>HLY0802</t>
  </si>
  <si>
    <t>ZZ13</t>
  </si>
  <si>
    <t>ICE</t>
  </si>
  <si>
    <t>70M58</t>
  </si>
  <si>
    <t>70M53</t>
  </si>
  <si>
    <t>NP7</t>
  </si>
  <si>
    <t>NP1</t>
  </si>
  <si>
    <t>MN4</t>
  </si>
  <si>
    <t>MN7</t>
  </si>
  <si>
    <t>MN8.5</t>
  </si>
  <si>
    <t>MN12</t>
  </si>
  <si>
    <t>MN15</t>
  </si>
  <si>
    <t>SL12</t>
  </si>
  <si>
    <t>SL8.25</t>
  </si>
  <si>
    <t>SL6</t>
  </si>
  <si>
    <t>W1</t>
  </si>
  <si>
    <t>W7.5</t>
  </si>
  <si>
    <t>NP3</t>
  </si>
  <si>
    <t>BS1</t>
  </si>
  <si>
    <t>ZZ8</t>
  </si>
  <si>
    <t>HLY0901</t>
  </si>
  <si>
    <t>CD2</t>
  </si>
  <si>
    <t>SEC1.5</t>
  </si>
  <si>
    <t>SIL1</t>
  </si>
  <si>
    <t>WAL7</t>
  </si>
  <si>
    <t>WAL8</t>
  </si>
  <si>
    <t>WAL9</t>
  </si>
  <si>
    <t>MK1</t>
  </si>
  <si>
    <t>WAL10</t>
  </si>
  <si>
    <t>WAL11</t>
  </si>
  <si>
    <t>WAl12</t>
  </si>
  <si>
    <t>SLP1</t>
  </si>
  <si>
    <t>SLP1A</t>
  </si>
  <si>
    <t>SLP3</t>
  </si>
  <si>
    <t>WAL13</t>
  </si>
  <si>
    <t>SIL2.5</t>
  </si>
  <si>
    <t>HLY1201</t>
  </si>
  <si>
    <t>H10</t>
  </si>
  <si>
    <t>H30</t>
  </si>
  <si>
    <t>H6</t>
  </si>
  <si>
    <t>H8</t>
  </si>
  <si>
    <t>H4</t>
  </si>
  <si>
    <t>H14</t>
  </si>
  <si>
    <t>H2</t>
  </si>
  <si>
    <t>H5</t>
  </si>
  <si>
    <t>H3</t>
  </si>
  <si>
    <t>H1</t>
  </si>
  <si>
    <t>H19</t>
  </si>
  <si>
    <t>H16</t>
  </si>
  <si>
    <t>H20</t>
  </si>
  <si>
    <t>H32</t>
  </si>
  <si>
    <t>BarC1</t>
  </si>
  <si>
    <t>BarC2</t>
  </si>
  <si>
    <t>BarC3</t>
  </si>
  <si>
    <t>BarC4</t>
  </si>
  <si>
    <t>BarC5</t>
  </si>
  <si>
    <t>BarC6</t>
  </si>
  <si>
    <t>BarC7</t>
  </si>
  <si>
    <t>H24</t>
  </si>
  <si>
    <t>BarC8</t>
  </si>
  <si>
    <t>BarC9</t>
  </si>
  <si>
    <t>BarC10</t>
  </si>
  <si>
    <t>H38</t>
  </si>
  <si>
    <t>CBL14/H26</t>
  </si>
  <si>
    <t>CBL11=H23</t>
  </si>
  <si>
    <t>H37</t>
  </si>
  <si>
    <t>H21</t>
  </si>
  <si>
    <t>SEC7</t>
  </si>
  <si>
    <t>SEC6</t>
  </si>
  <si>
    <t>SEC8</t>
  </si>
  <si>
    <t>B1</t>
  </si>
  <si>
    <t>B3</t>
  </si>
  <si>
    <t>B4</t>
  </si>
  <si>
    <t>K6</t>
  </si>
  <si>
    <t>K4</t>
  </si>
  <si>
    <t>E4</t>
  </si>
  <si>
    <t>K9</t>
  </si>
  <si>
    <t>K10</t>
  </si>
  <si>
    <t>K1</t>
  </si>
  <si>
    <t>PSEA1001</t>
  </si>
  <si>
    <t>POP3</t>
  </si>
  <si>
    <t>CD2.2</t>
  </si>
  <si>
    <t>CD2.3</t>
  </si>
  <si>
    <t>CD2.4</t>
  </si>
  <si>
    <t>CD2.5</t>
  </si>
  <si>
    <t>CD10C</t>
  </si>
  <si>
    <t>CD10B</t>
  </si>
  <si>
    <t>CD10A</t>
  </si>
  <si>
    <t>MK11</t>
  </si>
  <si>
    <t>NEC1.1</t>
  </si>
  <si>
    <t>NEC1.2</t>
  </si>
  <si>
    <t>SEC1.8</t>
  </si>
  <si>
    <t>SEC1.1</t>
  </si>
  <si>
    <t>CDF</t>
  </si>
  <si>
    <t>CDF1.1</t>
  </si>
  <si>
    <t>CDF1.2</t>
  </si>
  <si>
    <t>CDF1.3</t>
  </si>
  <si>
    <t>CD1.4</t>
  </si>
  <si>
    <t>CD10D</t>
  </si>
  <si>
    <t>CDD1.1</t>
  </si>
  <si>
    <t>CDD1.2</t>
  </si>
  <si>
    <t>CDD1.3</t>
  </si>
  <si>
    <t>CDD1.4</t>
  </si>
  <si>
    <t>CD81.1</t>
  </si>
  <si>
    <t>CD81.2</t>
  </si>
  <si>
    <t>CD81.3</t>
  </si>
  <si>
    <t>CD81.4</t>
  </si>
  <si>
    <t>CD81.5</t>
  </si>
  <si>
    <t>CD81.6</t>
  </si>
  <si>
    <t>RUSALCA04</t>
  </si>
  <si>
    <t>KHR15</t>
  </si>
  <si>
    <t>KHR17</t>
  </si>
  <si>
    <t>KHR18</t>
  </si>
  <si>
    <t>KHR20</t>
  </si>
  <si>
    <t>KHR23</t>
  </si>
  <si>
    <t>KHR25</t>
  </si>
  <si>
    <t>KHR27</t>
  </si>
  <si>
    <t>KHR106</t>
  </si>
  <si>
    <t>KHR11</t>
  </si>
  <si>
    <t>KHR85B</t>
  </si>
  <si>
    <t>KHR73B</t>
  </si>
  <si>
    <t>KHR62B</t>
  </si>
  <si>
    <t>KHR107</t>
  </si>
  <si>
    <t>KHR13</t>
  </si>
  <si>
    <t>HC55</t>
  </si>
  <si>
    <t>CS8</t>
  </si>
  <si>
    <t>GD7</t>
  </si>
  <si>
    <t>LS1</t>
  </si>
  <si>
    <t>LS3</t>
  </si>
  <si>
    <t>CEN3</t>
  </si>
  <si>
    <t>CEN5</t>
  </si>
  <si>
    <t>WN1</t>
  </si>
  <si>
    <t>WN2</t>
  </si>
  <si>
    <t>WN3</t>
  </si>
  <si>
    <t>SS3</t>
  </si>
  <si>
    <t>SS4</t>
  </si>
  <si>
    <t>SS5</t>
  </si>
  <si>
    <t>X1</t>
  </si>
  <si>
    <t>HC60</t>
  </si>
  <si>
    <t>CS12</t>
  </si>
  <si>
    <t>HC49</t>
  </si>
  <si>
    <t>CS17</t>
  </si>
  <si>
    <t>CL1</t>
  </si>
  <si>
    <t>CL3</t>
  </si>
  <si>
    <t>CL6</t>
  </si>
  <si>
    <t>CL8</t>
  </si>
  <si>
    <t>CL10</t>
  </si>
  <si>
    <t>CS4</t>
  </si>
  <si>
    <t>SHELL08</t>
  </si>
  <si>
    <t>BPLN100</t>
  </si>
  <si>
    <t>BW20</t>
  </si>
  <si>
    <t>BW35</t>
  </si>
  <si>
    <t>BPL20</t>
  </si>
  <si>
    <t>BCL12</t>
  </si>
  <si>
    <t>BCL50</t>
  </si>
  <si>
    <t>BCLN40</t>
  </si>
  <si>
    <t>BCLN80</t>
  </si>
  <si>
    <t>LB5</t>
  </si>
  <si>
    <t>BPLN80</t>
  </si>
  <si>
    <t>LB6</t>
  </si>
  <si>
    <t>LB6.5</t>
  </si>
  <si>
    <t>LB4</t>
  </si>
  <si>
    <t>BPLN60</t>
  </si>
  <si>
    <t>BPLN40</t>
  </si>
  <si>
    <t>BPLN20</t>
  </si>
  <si>
    <t>BPL50</t>
  </si>
  <si>
    <t>BPL35</t>
  </si>
  <si>
    <t>BW5</t>
  </si>
  <si>
    <t>B10</t>
  </si>
  <si>
    <t>B11</t>
  </si>
  <si>
    <t>B2</t>
  </si>
  <si>
    <t>B3A</t>
  </si>
  <si>
    <t>B3a</t>
  </si>
  <si>
    <t>B5</t>
  </si>
  <si>
    <t>B6</t>
  </si>
  <si>
    <t>B7</t>
  </si>
  <si>
    <t>B8</t>
  </si>
  <si>
    <t>B9</t>
  </si>
  <si>
    <t>BRG</t>
  </si>
  <si>
    <t>BS</t>
  </si>
  <si>
    <t>B_site</t>
  </si>
  <si>
    <t>C1A</t>
  </si>
  <si>
    <t>C1A=Csite</t>
  </si>
  <si>
    <t>C3</t>
  </si>
  <si>
    <t>C5</t>
  </si>
  <si>
    <t>C7</t>
  </si>
  <si>
    <t>C9</t>
  </si>
  <si>
    <t>CRK</t>
  </si>
  <si>
    <t>K11</t>
  </si>
  <si>
    <t>K12</t>
  </si>
  <si>
    <t>K3</t>
  </si>
  <si>
    <t>K5</t>
  </si>
  <si>
    <t>K7</t>
  </si>
  <si>
    <t>K8</t>
  </si>
  <si>
    <t>KLD</t>
  </si>
  <si>
    <t>KS</t>
  </si>
  <si>
    <t>K_site</t>
  </si>
  <si>
    <t>HR1</t>
  </si>
  <si>
    <t>HG2</t>
  </si>
  <si>
    <t>HG3</t>
  </si>
  <si>
    <t>HG4</t>
  </si>
  <si>
    <t>HG5</t>
  </si>
  <si>
    <t>HG6</t>
  </si>
  <si>
    <t>HG7</t>
  </si>
  <si>
    <t>HG8</t>
  </si>
  <si>
    <t>EA</t>
  </si>
  <si>
    <t>EA1</t>
  </si>
  <si>
    <t>EA2</t>
  </si>
  <si>
    <t>WA</t>
  </si>
  <si>
    <t>EA3</t>
  </si>
  <si>
    <t>EA4</t>
  </si>
  <si>
    <t>EA5</t>
  </si>
  <si>
    <t>EA6</t>
  </si>
  <si>
    <t>EA7</t>
  </si>
  <si>
    <t>EA8</t>
  </si>
  <si>
    <t>WC</t>
  </si>
  <si>
    <t>WC1</t>
  </si>
  <si>
    <t>WC2</t>
  </si>
  <si>
    <t>WC3</t>
  </si>
  <si>
    <t>WA1</t>
  </si>
  <si>
    <t>WC4</t>
  </si>
  <si>
    <t>HR6</t>
  </si>
  <si>
    <t>HR4</t>
  </si>
  <si>
    <t>WA2</t>
  </si>
  <si>
    <t>WA3</t>
  </si>
  <si>
    <t>WA4</t>
  </si>
  <si>
    <t>HR5</t>
  </si>
  <si>
    <t>HG</t>
  </si>
  <si>
    <t>HG1</t>
  </si>
  <si>
    <t>NWC4A1</t>
  </si>
  <si>
    <t>SWL2000</t>
  </si>
  <si>
    <t>SLIP1</t>
  </si>
  <si>
    <t>SLIP2</t>
  </si>
  <si>
    <t>SLIP3</t>
  </si>
  <si>
    <t>SLIP5</t>
  </si>
  <si>
    <t>SLIP4</t>
  </si>
  <si>
    <t>UTBS5</t>
  </si>
  <si>
    <t>UTBS2</t>
  </si>
  <si>
    <t>UTBS4</t>
  </si>
  <si>
    <t>UTN1</t>
  </si>
  <si>
    <t>UTN2</t>
  </si>
  <si>
    <t>UTN3</t>
  </si>
  <si>
    <t>UTN4</t>
  </si>
  <si>
    <t>UTN6</t>
  </si>
  <si>
    <t>UTN7</t>
  </si>
  <si>
    <t>SWL2001</t>
  </si>
  <si>
    <t>SWL2005</t>
  </si>
  <si>
    <t>BC2B1</t>
  </si>
  <si>
    <t>BC2B2</t>
  </si>
  <si>
    <t>BC2C</t>
  </si>
  <si>
    <t>BC2D</t>
  </si>
  <si>
    <t>SWL2006</t>
  </si>
  <si>
    <t>SWL2010</t>
  </si>
  <si>
    <t>COMIDA10-50</t>
  </si>
  <si>
    <t>SWL2011</t>
  </si>
  <si>
    <t>SWL2012</t>
  </si>
  <si>
    <t>WWW0903</t>
  </si>
  <si>
    <t>TM001</t>
  </si>
  <si>
    <t>TM002</t>
  </si>
  <si>
    <t>TM003</t>
  </si>
  <si>
    <t>TM004</t>
  </si>
  <si>
    <t>TM005</t>
  </si>
  <si>
    <t>TM006</t>
  </si>
  <si>
    <t>WWW1002</t>
  </si>
  <si>
    <t>KR004</t>
  </si>
  <si>
    <t>SF001</t>
  </si>
  <si>
    <t>SF003</t>
  </si>
  <si>
    <t>SF005</t>
  </si>
  <si>
    <t>SF007</t>
  </si>
  <si>
    <t>SF009</t>
  </si>
  <si>
    <t>SF011</t>
  </si>
  <si>
    <t>SF013</t>
  </si>
  <si>
    <t>SF016</t>
  </si>
  <si>
    <t>SF018</t>
  </si>
  <si>
    <t>SF020</t>
  </si>
  <si>
    <t>SF022</t>
  </si>
  <si>
    <t>SR005</t>
  </si>
  <si>
    <t>SR008</t>
  </si>
  <si>
    <t>SR013</t>
  </si>
  <si>
    <t>SR035</t>
  </si>
  <si>
    <t>SR051</t>
  </si>
  <si>
    <t>SR077</t>
  </si>
  <si>
    <t>SR083</t>
  </si>
  <si>
    <t>SR086</t>
  </si>
  <si>
    <t>SR093</t>
  </si>
  <si>
    <t>SR094</t>
  </si>
  <si>
    <t>SR104</t>
  </si>
  <si>
    <t>SR116</t>
  </si>
  <si>
    <t>SR137</t>
  </si>
  <si>
    <t>TF001</t>
  </si>
  <si>
    <t>TF003</t>
  </si>
  <si>
    <t>TF005</t>
  </si>
  <si>
    <t>TF006</t>
  </si>
  <si>
    <t>WWW1102</t>
  </si>
  <si>
    <t>HN014</t>
  </si>
  <si>
    <t>SF014</t>
  </si>
  <si>
    <t>WWW1104</t>
  </si>
  <si>
    <t>HC003</t>
  </si>
  <si>
    <t>HC011</t>
  </si>
  <si>
    <t>HC012</t>
  </si>
  <si>
    <t>HC020</t>
  </si>
  <si>
    <t>HC022</t>
  </si>
  <si>
    <t>HC025</t>
  </si>
  <si>
    <t>HC026</t>
  </si>
  <si>
    <t>HC027</t>
  </si>
  <si>
    <t>HC028</t>
  </si>
  <si>
    <t>HC032</t>
  </si>
  <si>
    <t>HN002</t>
  </si>
  <si>
    <t>HN004</t>
  </si>
  <si>
    <t>HN006</t>
  </si>
  <si>
    <t>HN007</t>
  </si>
  <si>
    <t>HN008</t>
  </si>
  <si>
    <t>HN013</t>
  </si>
  <si>
    <t>HN016</t>
  </si>
  <si>
    <t>HN017</t>
  </si>
  <si>
    <t>HN019</t>
  </si>
  <si>
    <t>HN020</t>
  </si>
  <si>
    <t>HN026</t>
  </si>
  <si>
    <t>HN028</t>
  </si>
  <si>
    <t>HS002</t>
  </si>
  <si>
    <t>HS005</t>
  </si>
  <si>
    <t>HS010</t>
  </si>
  <si>
    <t>HS013</t>
  </si>
  <si>
    <t>HS014</t>
  </si>
  <si>
    <t>RUSALCA12</t>
  </si>
  <si>
    <t>cs4</t>
  </si>
  <si>
    <t>cs8</t>
  </si>
  <si>
    <t>cs17</t>
  </si>
  <si>
    <t>cl1</t>
  </si>
  <si>
    <t>cl3</t>
  </si>
  <si>
    <t>cl6</t>
  </si>
  <si>
    <t>cen5</t>
  </si>
  <si>
    <t>cen3</t>
  </si>
  <si>
    <t>cen1a</t>
  </si>
  <si>
    <t>hc1</t>
  </si>
  <si>
    <t>hc2</t>
  </si>
  <si>
    <t>hc3</t>
  </si>
  <si>
    <t>hc26-1</t>
  </si>
  <si>
    <t>hc22</t>
  </si>
  <si>
    <t>hc18</t>
  </si>
  <si>
    <t>cl8-1</t>
  </si>
  <si>
    <t>cl10</t>
  </si>
  <si>
    <t>cs8r-1</t>
  </si>
  <si>
    <t>cs12r</t>
  </si>
  <si>
    <t>W2012</t>
  </si>
  <si>
    <t>DF002</t>
  </si>
  <si>
    <t>DF004</t>
  </si>
  <si>
    <t>DF006</t>
  </si>
  <si>
    <t>DF007</t>
  </si>
  <si>
    <t>HC005</t>
  </si>
  <si>
    <t>HC006</t>
  </si>
  <si>
    <t>HC007</t>
  </si>
  <si>
    <t>HC010</t>
  </si>
  <si>
    <t>HC013</t>
  </si>
  <si>
    <t>HC030</t>
  </si>
  <si>
    <t>HN001</t>
  </si>
  <si>
    <t>HN003</t>
  </si>
  <si>
    <t>HN005</t>
  </si>
  <si>
    <t>HN015</t>
  </si>
  <si>
    <t>HN018</t>
  </si>
  <si>
    <t>HN025</t>
  </si>
  <si>
    <t>HN027</t>
  </si>
  <si>
    <t>HN029</t>
  </si>
  <si>
    <t>HS001</t>
  </si>
  <si>
    <t>HS006</t>
  </si>
  <si>
    <t>HS009</t>
  </si>
  <si>
    <t>HS011</t>
  </si>
  <si>
    <t>AKMAP_J2010</t>
  </si>
  <si>
    <t>LB001</t>
  </si>
  <si>
    <t>LB002</t>
  </si>
  <si>
    <t>LB003</t>
  </si>
  <si>
    <t>LB004</t>
  </si>
  <si>
    <t>LB005</t>
  </si>
  <si>
    <t>LB006</t>
  </si>
  <si>
    <t>LB007</t>
  </si>
  <si>
    <t>LB008</t>
  </si>
  <si>
    <t>LB009</t>
  </si>
  <si>
    <t>LB010</t>
  </si>
  <si>
    <t>LB011</t>
  </si>
  <si>
    <t>LB012</t>
  </si>
  <si>
    <t>LB013</t>
  </si>
  <si>
    <t>LB014</t>
  </si>
  <si>
    <t>LB015</t>
  </si>
  <si>
    <t>LB016</t>
  </si>
  <si>
    <t>LB017</t>
  </si>
  <si>
    <t>LB018</t>
  </si>
  <si>
    <t>LB019</t>
  </si>
  <si>
    <t>LB020</t>
  </si>
  <si>
    <t>LB021</t>
  </si>
  <si>
    <t>LB022</t>
  </si>
  <si>
    <t>LB023</t>
  </si>
  <si>
    <t>LB024</t>
  </si>
  <si>
    <t>LB026</t>
  </si>
  <si>
    <t>LB027</t>
  </si>
  <si>
    <t>LB028</t>
  </si>
  <si>
    <t>LB029</t>
  </si>
  <si>
    <t>LB030</t>
  </si>
  <si>
    <t>LB105</t>
  </si>
  <si>
    <t>AKMAP_J2011</t>
  </si>
  <si>
    <t>PB032</t>
  </si>
  <si>
    <t>PB034</t>
  </si>
  <si>
    <t>PB035</t>
  </si>
  <si>
    <t>PB036</t>
  </si>
  <si>
    <t>PB037</t>
  </si>
  <si>
    <t>PB038</t>
  </si>
  <si>
    <t>PB039</t>
  </si>
  <si>
    <t>PB040</t>
  </si>
  <si>
    <t>PB041</t>
  </si>
  <si>
    <t>PB042</t>
  </si>
  <si>
    <t>PB043</t>
  </si>
  <si>
    <t>PB044</t>
  </si>
  <si>
    <t>PB045</t>
  </si>
  <si>
    <t>PB046</t>
  </si>
  <si>
    <t>PB047</t>
  </si>
  <si>
    <t>PB048</t>
  </si>
  <si>
    <t>PB049</t>
  </si>
  <si>
    <t>PB050</t>
  </si>
  <si>
    <t>PB052</t>
  </si>
  <si>
    <t>PB053</t>
  </si>
  <si>
    <t>PB054</t>
  </si>
  <si>
    <t>PB055</t>
  </si>
  <si>
    <t>PB056</t>
  </si>
  <si>
    <t>PB057</t>
  </si>
  <si>
    <t>PB058</t>
  </si>
  <si>
    <t>PB060</t>
  </si>
  <si>
    <t>BC062</t>
  </si>
  <si>
    <t>BC064</t>
  </si>
  <si>
    <t>BC069</t>
  </si>
  <si>
    <t>32D</t>
  </si>
  <si>
    <t>032DUP</t>
  </si>
  <si>
    <t>36D</t>
  </si>
  <si>
    <t>036DUP</t>
  </si>
  <si>
    <t>45D</t>
  </si>
  <si>
    <t>045DUP</t>
  </si>
  <si>
    <t>AKMAP_J2012</t>
  </si>
  <si>
    <t>DF1</t>
  </si>
  <si>
    <t>DF001</t>
  </si>
  <si>
    <t>DF3</t>
  </si>
  <si>
    <t>DF003</t>
  </si>
  <si>
    <t>DF5</t>
  </si>
  <si>
    <t>DF005</t>
  </si>
  <si>
    <t>HLY1301</t>
  </si>
  <si>
    <t>H112</t>
  </si>
  <si>
    <t>H7</t>
  </si>
  <si>
    <t>H17</t>
  </si>
  <si>
    <t>HS3</t>
  </si>
  <si>
    <t>H111</t>
  </si>
  <si>
    <t>H109</t>
  </si>
  <si>
    <t>H108</t>
  </si>
  <si>
    <t>H29</t>
  </si>
  <si>
    <t>H106</t>
  </si>
  <si>
    <t>H107</t>
  </si>
  <si>
    <t>H33</t>
  </si>
  <si>
    <t>H28</t>
  </si>
  <si>
    <t>H15</t>
  </si>
  <si>
    <t>H27</t>
  </si>
  <si>
    <t>H9</t>
  </si>
  <si>
    <t>H34</t>
  </si>
  <si>
    <t>H102</t>
  </si>
  <si>
    <t>SWL2013</t>
  </si>
  <si>
    <t>DBO4.6</t>
  </si>
  <si>
    <t>DBO4.5</t>
  </si>
  <si>
    <t>DBO4.4</t>
  </si>
  <si>
    <t>DBO4.3</t>
  </si>
  <si>
    <t>DBO4.2</t>
  </si>
  <si>
    <t>DBO4.1</t>
  </si>
  <si>
    <t>SWL2008</t>
  </si>
  <si>
    <t>SWL2014</t>
  </si>
  <si>
    <t>SWL2007</t>
  </si>
  <si>
    <t>BC3(VV)</t>
  </si>
  <si>
    <t>BC4(VV)</t>
  </si>
  <si>
    <t>SWL2015</t>
  </si>
  <si>
    <t>HLY1702</t>
  </si>
  <si>
    <t>SW1</t>
  </si>
  <si>
    <t>SW3</t>
  </si>
  <si>
    <t>SW6</t>
  </si>
  <si>
    <t>SW8</t>
  </si>
  <si>
    <t>SW10</t>
  </si>
  <si>
    <t>W2</t>
  </si>
  <si>
    <t>W4</t>
  </si>
  <si>
    <t>W6</t>
  </si>
  <si>
    <t>W8</t>
  </si>
  <si>
    <t>W10</t>
  </si>
  <si>
    <t>W12</t>
  </si>
  <si>
    <t>NW1</t>
  </si>
  <si>
    <t>NW4</t>
  </si>
  <si>
    <t>NW6</t>
  </si>
  <si>
    <t>NW8</t>
  </si>
  <si>
    <t>NW10</t>
  </si>
  <si>
    <t>NNE3</t>
  </si>
  <si>
    <t>NNE4</t>
  </si>
  <si>
    <t>NNE6</t>
  </si>
  <si>
    <t>NNE8</t>
  </si>
  <si>
    <t>NNE10</t>
  </si>
  <si>
    <t>NNE12</t>
  </si>
  <si>
    <t>NE15</t>
  </si>
  <si>
    <t>E6</t>
  </si>
  <si>
    <t>E8</t>
  </si>
  <si>
    <t>E10</t>
  </si>
  <si>
    <t>SE1</t>
  </si>
  <si>
    <t>SE3</t>
  </si>
  <si>
    <t>SE5</t>
  </si>
  <si>
    <t>SE7</t>
  </si>
  <si>
    <t>SE9</t>
  </si>
  <si>
    <t>DBO4.6N</t>
  </si>
  <si>
    <t>DBO4.5N</t>
  </si>
  <si>
    <t>DBO4.4N</t>
  </si>
  <si>
    <t>DBO4.3N</t>
  </si>
  <si>
    <t>DBO4.2N</t>
  </si>
  <si>
    <t>DBO4.1N</t>
  </si>
  <si>
    <t>AMBON2015</t>
  </si>
  <si>
    <t>CL0</t>
  </si>
  <si>
    <t>CL2</t>
  </si>
  <si>
    <t>ML6.1</t>
  </si>
  <si>
    <t>ML6.2</t>
  </si>
  <si>
    <t>ML6.3</t>
  </si>
  <si>
    <t>ML6.4</t>
  </si>
  <si>
    <t>ML6.5</t>
  </si>
  <si>
    <t>ML6.6</t>
  </si>
  <si>
    <t>ML6.7</t>
  </si>
  <si>
    <t>ML6.8</t>
  </si>
  <si>
    <t>ML6.9</t>
  </si>
  <si>
    <t>ML4.1</t>
  </si>
  <si>
    <t>ML4.2</t>
  </si>
  <si>
    <t>ML4.3</t>
  </si>
  <si>
    <t>DBO4.1n</t>
  </si>
  <si>
    <t>ML6.11</t>
  </si>
  <si>
    <t>DBO4.2n</t>
  </si>
  <si>
    <t>DBO4.3n</t>
  </si>
  <si>
    <t>DBO4.4n</t>
  </si>
  <si>
    <t>DBO4.5n</t>
  </si>
  <si>
    <t>DBO4.6n</t>
  </si>
  <si>
    <t>ML4.10</t>
  </si>
  <si>
    <t>ML4.11</t>
  </si>
  <si>
    <t>ML4.12</t>
  </si>
  <si>
    <t>ML4.13</t>
  </si>
  <si>
    <t>ML4.14</t>
  </si>
  <si>
    <t>ML3.14</t>
  </si>
  <si>
    <t>ML3.13</t>
  </si>
  <si>
    <t>ML3.12</t>
  </si>
  <si>
    <t>ML3.11</t>
  </si>
  <si>
    <t>ML3.3</t>
  </si>
  <si>
    <t>ML3.2</t>
  </si>
  <si>
    <t>ML3.1</t>
  </si>
  <si>
    <t>ML5.10</t>
  </si>
  <si>
    <t>ML5.9</t>
  </si>
  <si>
    <t>ML5.7</t>
  </si>
  <si>
    <t>ML5.6</t>
  </si>
  <si>
    <t>ML5.5</t>
  </si>
  <si>
    <t>ML5.4</t>
  </si>
  <si>
    <t>ML5.2</t>
  </si>
  <si>
    <t>ML5.1</t>
  </si>
  <si>
    <t>ML1.13</t>
  </si>
  <si>
    <t>ML1.12</t>
  </si>
  <si>
    <t>ML1.11</t>
  </si>
  <si>
    <t>ML1.10</t>
  </si>
  <si>
    <t>ML1.9</t>
  </si>
  <si>
    <t>ML1.8</t>
  </si>
  <si>
    <t>ML1.7</t>
  </si>
  <si>
    <t>ML1.6</t>
  </si>
  <si>
    <t>ML1.5</t>
  </si>
  <si>
    <t>ML1.4</t>
  </si>
  <si>
    <t>ML1.2</t>
  </si>
  <si>
    <t>ML1.1</t>
  </si>
  <si>
    <t>SWL2018</t>
  </si>
  <si>
    <t>BCL6C</t>
  </si>
  <si>
    <t>UTBS2A</t>
  </si>
  <si>
    <t>DBO2.7</t>
  </si>
  <si>
    <t>SWL2016</t>
  </si>
  <si>
    <t>SWL2017</t>
  </si>
  <si>
    <t>BarC5A</t>
  </si>
  <si>
    <t>SWL2019</t>
  </si>
  <si>
    <t>HLY1801</t>
  </si>
  <si>
    <t>LB13</t>
  </si>
  <si>
    <t>LB11</t>
  </si>
  <si>
    <t>LB9</t>
  </si>
  <si>
    <t>LB7</t>
  </si>
  <si>
    <t>IC1=offshore</t>
  </si>
  <si>
    <t>IC2</t>
  </si>
  <si>
    <t>IC3</t>
  </si>
  <si>
    <t>IC4</t>
  </si>
  <si>
    <t>IC5</t>
  </si>
  <si>
    <t>IC6</t>
  </si>
  <si>
    <t>IC7</t>
  </si>
  <si>
    <t>IC8</t>
  </si>
  <si>
    <t>IC9</t>
  </si>
  <si>
    <t>IC10</t>
  </si>
  <si>
    <t>IC11=nearshore</t>
  </si>
  <si>
    <t>T1</t>
  </si>
  <si>
    <t>T2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</si>
  <si>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</si>
  <si>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</si>
  <si>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</si>
  <si>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</si>
  <si>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</si>
  <si>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</si>
  <si>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</si>
  <si>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</si>
  <si>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</si>
  <si>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</si>
  <si>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20180822</t>
  </si>
  <si>
    <t>20180823</t>
  </si>
  <si>
    <t>HLY0201=SBI-02SPRING</t>
  </si>
  <si>
    <t>HLY0402=SBI-04SPRING</t>
  </si>
  <si>
    <t>HLY0403=SBI04SUMMER</t>
  </si>
  <si>
    <t>CHINARE08</t>
  </si>
  <si>
    <t>COMIDA09</t>
  </si>
  <si>
    <t>SHELL09</t>
  </si>
  <si>
    <t>SHELL10</t>
  </si>
  <si>
    <t>HLY0203</t>
  </si>
  <si>
    <t>SWL2002</t>
  </si>
  <si>
    <t>SWL2003</t>
  </si>
  <si>
    <t>SWL2004</t>
  </si>
  <si>
    <t>PSEA2001</t>
  </si>
  <si>
    <t>DBO3.14</t>
  </si>
  <si>
    <t>RUSALCA09</t>
  </si>
  <si>
    <t>DBO3.10</t>
  </si>
  <si>
    <t>DBO3.12</t>
  </si>
  <si>
    <t>ML6.10</t>
  </si>
  <si>
    <t>ML4.5</t>
  </si>
  <si>
    <t>ML4.6</t>
  </si>
  <si>
    <t>ML4.7</t>
  </si>
  <si>
    <t>ML4.8</t>
  </si>
  <si>
    <t>ML4.9</t>
  </si>
  <si>
    <t>S1</t>
  </si>
  <si>
    <t>S2</t>
  </si>
  <si>
    <t>S3</t>
  </si>
  <si>
    <t>S4</t>
  </si>
  <si>
    <t>S5</t>
  </si>
  <si>
    <t>for uniqueid</t>
  </si>
  <si>
    <t>orignme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</si>
</sst>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name val="Geneva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</cellStyleXfs>
  <cellXfs count="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0" xfId="42" applyFont="1" applyAlignment="1">
      <alignment horizontal="left"/>
    </xf>
    <xf numFmtId="0" fontId="21" fillId="0" borderId="10" xfId="43" applyFont="1" applyBorder="1" applyAlignment="1">
      <alignment horizontal="left" wrapText="1"/>
    </xf>
    <xf numFmtId="0" fontId="18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3F796FD7-9548-40AF-9AA7-9649B7D31165}"/>
    <cellStyle name="Normal_Sheet1" xfId="43" xr:uid="{A1E6BFD9-4647-4085-81E2-E589C3EDBAD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769"/>
  <sheetViews>
    <sheetView tabSelected="1" zoomScale="90" zoomScaleNormal="90" workbookViewId="0">
      <pane ySplit="1" topLeftCell="A1630" activePane="bottomLeft" state="frozen"/>
      <selection pane="bottomLeft" activeCell="G1651" sqref="G1647:G1651"/>
    </sheetView>
  </sheetViews>
  <sheetFormatPr baseColWidth="10" defaultColWidth="28.1640625" defaultRowHeight="15" x14ac:dyDescent="0.2"/>
  <cols>
    <col min="2" max="2" width="17" customWidth="1"/>
    <col min="3" max="3" width="15.5" customWidth="1"/>
    <col min="4" max="6" width="16.5" customWidth="1"/>
    <col min="10" max="10" width="28.1640625" style="3"/>
  </cols>
  <sheetData>
    <row r="1" spans="1:4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949</v>
      </c>
      <c r="F1" s="1" t="s">
        <v>950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</row>
    <row r="2" spans="1:47" x14ac:dyDescent="0.2">
      <c r="A2">
        <v>1372</v>
      </c>
      <c r="B2" t="s">
        <v>550</v>
      </c>
      <c r="C2">
        <v>38</v>
      </c>
      <c r="D2" t="s">
        <v>551</v>
      </c>
      <c r="G2" t="str">
        <f>CONCATENATE(B2,C2,D2)</f>
        <v>SWL200038SLIP1</v>
      </c>
      <c r="H2">
        <v>62.013500000000001</v>
      </c>
      <c r="I2">
        <v>-175.05683329999999</v>
      </c>
      <c r="J2" s="3">
        <v>20000719</v>
      </c>
      <c r="K2">
        <v>2000</v>
      </c>
      <c r="L2">
        <v>3.2009699999999999</v>
      </c>
      <c r="M2">
        <v>16.87313</v>
      </c>
      <c r="N2">
        <v>2.3709999999999998E-2</v>
      </c>
      <c r="O2">
        <v>0</v>
      </c>
      <c r="P2">
        <v>4.0869999999999997E-2</v>
      </c>
      <c r="Q2">
        <v>0</v>
      </c>
      <c r="R2">
        <v>0</v>
      </c>
      <c r="S2">
        <v>0</v>
      </c>
      <c r="T2">
        <v>2.2313499999999999</v>
      </c>
      <c r="U2">
        <v>0.28136</v>
      </c>
      <c r="V2">
        <v>22.651389999999999</v>
      </c>
      <c r="W2" t="s">
        <v>10</v>
      </c>
      <c r="X2">
        <v>45.936999999999998</v>
      </c>
      <c r="Y2">
        <v>659.77499999999998</v>
      </c>
      <c r="Z2">
        <v>0.33600000000000002</v>
      </c>
      <c r="AA2">
        <v>0</v>
      </c>
      <c r="AB2">
        <v>2.919</v>
      </c>
      <c r="AC2">
        <v>0</v>
      </c>
      <c r="AD2">
        <v>0</v>
      </c>
      <c r="AE2">
        <v>0</v>
      </c>
      <c r="AF2">
        <v>23.992999999999999</v>
      </c>
      <c r="AG2">
        <v>4.57</v>
      </c>
      <c r="AH2">
        <v>737.53</v>
      </c>
      <c r="AI2" t="s">
        <v>22</v>
      </c>
      <c r="AJ2">
        <v>547.5</v>
      </c>
      <c r="AK2">
        <v>652.5</v>
      </c>
      <c r="AL2">
        <v>62.5</v>
      </c>
      <c r="AM2">
        <v>0</v>
      </c>
      <c r="AN2">
        <v>10</v>
      </c>
      <c r="AO2">
        <v>0</v>
      </c>
      <c r="AP2">
        <v>0</v>
      </c>
      <c r="AQ2">
        <v>0</v>
      </c>
      <c r="AR2">
        <v>12.5</v>
      </c>
      <c r="AS2">
        <v>57.5</v>
      </c>
      <c r="AT2">
        <v>1342.5</v>
      </c>
      <c r="AU2" t="s">
        <v>34</v>
      </c>
    </row>
    <row r="3" spans="1:47" x14ac:dyDescent="0.2">
      <c r="A3">
        <v>1373</v>
      </c>
      <c r="B3" t="s">
        <v>550</v>
      </c>
      <c r="C3">
        <v>39</v>
      </c>
      <c r="D3" t="s">
        <v>552</v>
      </c>
      <c r="G3" t="str">
        <f t="shared" ref="G3:G66" si="0">CONCATENATE(B3,C3,D3)</f>
        <v>SWL200039SLIP2</v>
      </c>
      <c r="H3">
        <v>62.051499999999997</v>
      </c>
      <c r="I3">
        <v>-175.20750000000001</v>
      </c>
      <c r="J3" s="3">
        <v>20000719</v>
      </c>
      <c r="K3">
        <v>2000</v>
      </c>
      <c r="L3">
        <v>3.1747700000000001</v>
      </c>
      <c r="M3">
        <v>13.158110000000001</v>
      </c>
      <c r="N3">
        <v>3.882E-2</v>
      </c>
      <c r="O3">
        <v>0</v>
      </c>
      <c r="P3">
        <v>0.12509999999999999</v>
      </c>
      <c r="Q3">
        <v>0</v>
      </c>
      <c r="R3">
        <v>0</v>
      </c>
      <c r="S3">
        <v>0</v>
      </c>
      <c r="T3">
        <v>0.62058999999999997</v>
      </c>
      <c r="U3">
        <v>3.4389999999999997E-2</v>
      </c>
      <c r="V3">
        <v>17.151779999999999</v>
      </c>
      <c r="W3" t="s">
        <v>10</v>
      </c>
      <c r="X3">
        <v>49.107999999999997</v>
      </c>
      <c r="Y3">
        <v>575.74699999999996</v>
      </c>
      <c r="Z3">
        <v>0.54</v>
      </c>
      <c r="AA3">
        <v>0</v>
      </c>
      <c r="AB3">
        <v>8.9359999999999999</v>
      </c>
      <c r="AC3">
        <v>0</v>
      </c>
      <c r="AD3">
        <v>0</v>
      </c>
      <c r="AE3">
        <v>0</v>
      </c>
      <c r="AF3">
        <v>6.673</v>
      </c>
      <c r="AG3">
        <v>0.63600000000000001</v>
      </c>
      <c r="AH3">
        <v>641.64</v>
      </c>
      <c r="AI3" t="s">
        <v>22</v>
      </c>
      <c r="AJ3">
        <v>657.5</v>
      </c>
      <c r="AK3">
        <v>612.5</v>
      </c>
      <c r="AL3">
        <v>82.5</v>
      </c>
      <c r="AM3">
        <v>0</v>
      </c>
      <c r="AN3">
        <v>20</v>
      </c>
      <c r="AO3">
        <v>0</v>
      </c>
      <c r="AP3">
        <v>0</v>
      </c>
      <c r="AQ3">
        <v>0</v>
      </c>
      <c r="AR3">
        <v>12.5</v>
      </c>
      <c r="AS3">
        <v>72.5</v>
      </c>
      <c r="AT3">
        <v>1457.5</v>
      </c>
      <c r="AU3" t="s">
        <v>33</v>
      </c>
    </row>
    <row r="4" spans="1:47" x14ac:dyDescent="0.2">
      <c r="A4">
        <v>1374</v>
      </c>
      <c r="B4" t="s">
        <v>550</v>
      </c>
      <c r="C4">
        <v>40</v>
      </c>
      <c r="D4" t="s">
        <v>553</v>
      </c>
      <c r="G4" t="str">
        <f t="shared" si="0"/>
        <v>SWL200040SLIP3</v>
      </c>
      <c r="H4">
        <v>62.394333330000002</v>
      </c>
      <c r="I4">
        <v>-174.5868333</v>
      </c>
      <c r="J4" s="3">
        <v>20000719</v>
      </c>
      <c r="K4">
        <v>2000</v>
      </c>
      <c r="L4">
        <v>2.0340500000000001</v>
      </c>
      <c r="M4">
        <v>18.36063</v>
      </c>
      <c r="N4">
        <v>8.9319999999999997E-2</v>
      </c>
      <c r="O4">
        <v>3.9153600000000002</v>
      </c>
      <c r="P4">
        <v>0.53802000000000005</v>
      </c>
      <c r="Q4">
        <v>0</v>
      </c>
      <c r="R4">
        <v>4.2999999999999999E-4</v>
      </c>
      <c r="S4">
        <v>0.11484</v>
      </c>
      <c r="T4">
        <v>5.77E-3</v>
      </c>
      <c r="U4">
        <v>2.5159999999999998E-2</v>
      </c>
      <c r="V4">
        <v>25.083580000000001</v>
      </c>
      <c r="W4" t="s">
        <v>10</v>
      </c>
      <c r="X4">
        <v>30.039000000000001</v>
      </c>
      <c r="Y4">
        <v>756.93399999999997</v>
      </c>
      <c r="Z4">
        <v>1.232</v>
      </c>
      <c r="AA4">
        <v>87.007999999999996</v>
      </c>
      <c r="AB4">
        <v>38.43</v>
      </c>
      <c r="AC4">
        <v>0</v>
      </c>
      <c r="AD4">
        <v>7.0000000000000001E-3</v>
      </c>
      <c r="AE4">
        <v>8.2029999999999994</v>
      </c>
      <c r="AF4">
        <v>6.2E-2</v>
      </c>
      <c r="AG4">
        <v>0.55500000000000005</v>
      </c>
      <c r="AH4">
        <v>922.47</v>
      </c>
      <c r="AI4" t="s">
        <v>22</v>
      </c>
      <c r="AJ4">
        <v>600</v>
      </c>
      <c r="AK4">
        <v>610</v>
      </c>
      <c r="AL4">
        <v>45</v>
      </c>
      <c r="AM4">
        <v>2.5</v>
      </c>
      <c r="AN4">
        <v>30</v>
      </c>
      <c r="AO4">
        <v>0</v>
      </c>
      <c r="AP4">
        <v>2.5</v>
      </c>
      <c r="AQ4">
        <v>5</v>
      </c>
      <c r="AR4">
        <v>5</v>
      </c>
      <c r="AS4">
        <v>57.5</v>
      </c>
      <c r="AT4">
        <v>1357.5</v>
      </c>
      <c r="AU4" t="s">
        <v>34</v>
      </c>
    </row>
    <row r="5" spans="1:47" x14ac:dyDescent="0.2">
      <c r="A5">
        <v>1375</v>
      </c>
      <c r="B5" t="s">
        <v>550</v>
      </c>
      <c r="C5">
        <v>41</v>
      </c>
      <c r="D5" t="s">
        <v>554</v>
      </c>
      <c r="G5" t="str">
        <f t="shared" si="0"/>
        <v>SWL200041SLIP5</v>
      </c>
      <c r="H5">
        <v>62.565833329999997</v>
      </c>
      <c r="I5">
        <v>-173.55316669999999</v>
      </c>
      <c r="J5" s="3">
        <v>20000720</v>
      </c>
      <c r="K5">
        <v>2000</v>
      </c>
      <c r="L5">
        <v>1.6525300000000001</v>
      </c>
      <c r="M5">
        <v>8.6385500000000004</v>
      </c>
      <c r="N5">
        <v>8.8819999999999996E-2</v>
      </c>
      <c r="O5">
        <v>0</v>
      </c>
      <c r="P5">
        <v>1.0189999999999999E-2</v>
      </c>
      <c r="Q5">
        <v>0</v>
      </c>
      <c r="R5">
        <v>0</v>
      </c>
      <c r="S5">
        <v>0</v>
      </c>
      <c r="T5">
        <v>0.94693000000000005</v>
      </c>
      <c r="U5">
        <v>3.9559999999999998E-2</v>
      </c>
      <c r="V5">
        <v>11.376580000000001</v>
      </c>
      <c r="W5" t="s">
        <v>10</v>
      </c>
      <c r="X5">
        <v>30.959</v>
      </c>
      <c r="Y5">
        <v>268.55099999999999</v>
      </c>
      <c r="Z5">
        <v>1.111</v>
      </c>
      <c r="AA5">
        <v>0</v>
      </c>
      <c r="AB5">
        <v>0.72799999999999998</v>
      </c>
      <c r="AC5">
        <v>0</v>
      </c>
      <c r="AD5">
        <v>0</v>
      </c>
      <c r="AE5">
        <v>0</v>
      </c>
      <c r="AF5">
        <v>10.182</v>
      </c>
      <c r="AG5">
        <v>0.76200000000000001</v>
      </c>
      <c r="AH5">
        <v>312.29300000000001</v>
      </c>
      <c r="AI5" t="s">
        <v>22</v>
      </c>
      <c r="AJ5">
        <v>345</v>
      </c>
      <c r="AK5">
        <v>2327.5</v>
      </c>
      <c r="AL5">
        <v>37.5</v>
      </c>
      <c r="AM5">
        <v>0</v>
      </c>
      <c r="AN5">
        <v>2.5</v>
      </c>
      <c r="AO5">
        <v>0</v>
      </c>
      <c r="AP5">
        <v>0</v>
      </c>
      <c r="AQ5">
        <v>0</v>
      </c>
      <c r="AR5">
        <v>7.5</v>
      </c>
      <c r="AS5">
        <v>75</v>
      </c>
      <c r="AT5">
        <v>2795</v>
      </c>
      <c r="AU5" t="s">
        <v>34</v>
      </c>
    </row>
    <row r="6" spans="1:47" x14ac:dyDescent="0.2">
      <c r="A6">
        <v>1376</v>
      </c>
      <c r="B6" t="s">
        <v>550</v>
      </c>
      <c r="C6">
        <v>42</v>
      </c>
      <c r="D6" t="s">
        <v>555</v>
      </c>
      <c r="G6" t="str">
        <f t="shared" si="0"/>
        <v>SWL200042SLIP4</v>
      </c>
      <c r="H6">
        <v>63.028333330000002</v>
      </c>
      <c r="I6">
        <v>-173.4578333</v>
      </c>
      <c r="J6" s="3">
        <v>20000720</v>
      </c>
      <c r="K6">
        <v>2000</v>
      </c>
      <c r="L6">
        <v>4.4225000000000003</v>
      </c>
      <c r="M6">
        <v>9.49221</v>
      </c>
      <c r="N6">
        <v>0.13547000000000001</v>
      </c>
      <c r="O6">
        <v>0</v>
      </c>
      <c r="P6">
        <v>4.3529999999999999E-2</v>
      </c>
      <c r="Q6">
        <v>0</v>
      </c>
      <c r="R6">
        <v>0</v>
      </c>
      <c r="S6">
        <v>0</v>
      </c>
      <c r="T6">
        <v>3.3574899999999999</v>
      </c>
      <c r="U6">
        <v>9.6140000000000003E-2</v>
      </c>
      <c r="V6">
        <v>17.547339999999998</v>
      </c>
      <c r="W6" t="s">
        <v>10</v>
      </c>
      <c r="X6">
        <v>96.001999999999995</v>
      </c>
      <c r="Y6">
        <v>291.53300000000002</v>
      </c>
      <c r="Z6">
        <v>1.675</v>
      </c>
      <c r="AA6">
        <v>0</v>
      </c>
      <c r="AB6">
        <v>3.109</v>
      </c>
      <c r="AC6">
        <v>0</v>
      </c>
      <c r="AD6">
        <v>0</v>
      </c>
      <c r="AE6">
        <v>0</v>
      </c>
      <c r="AF6">
        <v>36.101999999999997</v>
      </c>
      <c r="AG6">
        <v>1.6830000000000001</v>
      </c>
      <c r="AH6">
        <v>430.10399999999998</v>
      </c>
      <c r="AI6" t="s">
        <v>22</v>
      </c>
      <c r="AJ6">
        <v>710</v>
      </c>
      <c r="AK6">
        <v>542.5</v>
      </c>
      <c r="AL6">
        <v>40</v>
      </c>
      <c r="AM6">
        <v>0</v>
      </c>
      <c r="AN6">
        <v>2.5</v>
      </c>
      <c r="AO6">
        <v>0</v>
      </c>
      <c r="AP6">
        <v>0</v>
      </c>
      <c r="AQ6">
        <v>0</v>
      </c>
      <c r="AR6">
        <v>10</v>
      </c>
      <c r="AS6">
        <v>37.5</v>
      </c>
      <c r="AT6">
        <v>1342.5</v>
      </c>
      <c r="AU6" t="s">
        <v>33</v>
      </c>
    </row>
    <row r="7" spans="1:47" x14ac:dyDescent="0.2">
      <c r="A7">
        <v>1377</v>
      </c>
      <c r="B7" t="s">
        <v>550</v>
      </c>
      <c r="C7">
        <v>44</v>
      </c>
      <c r="D7" t="s">
        <v>556</v>
      </c>
      <c r="G7" t="str">
        <f t="shared" si="0"/>
        <v>SWL200044UTBS5</v>
      </c>
      <c r="H7">
        <v>64.666833330000003</v>
      </c>
      <c r="I7">
        <v>-169.88283329999999</v>
      </c>
      <c r="J7" s="3">
        <v>20000720</v>
      </c>
      <c r="K7">
        <v>2000</v>
      </c>
      <c r="L7">
        <v>2.2194099999999999</v>
      </c>
      <c r="M7">
        <v>19.8386</v>
      </c>
      <c r="N7">
        <v>8.9709999999999998E-2</v>
      </c>
      <c r="O7">
        <v>0</v>
      </c>
      <c r="P7">
        <v>4.0000000000000003E-5</v>
      </c>
      <c r="Q7">
        <v>0</v>
      </c>
      <c r="R7">
        <v>0</v>
      </c>
      <c r="S7">
        <v>1.057E-2</v>
      </c>
      <c r="T7">
        <v>2.4459999999999999E-2</v>
      </c>
      <c r="U7">
        <v>4.7829999999999998E-2</v>
      </c>
      <c r="V7">
        <v>22.230619999999998</v>
      </c>
      <c r="W7" t="s">
        <v>10</v>
      </c>
      <c r="X7">
        <v>30.942</v>
      </c>
      <c r="Y7">
        <v>565.827</v>
      </c>
      <c r="Z7">
        <v>1.3009999999999999</v>
      </c>
      <c r="AA7">
        <v>0</v>
      </c>
      <c r="AB7">
        <v>3.0000000000000001E-3</v>
      </c>
      <c r="AC7">
        <v>0</v>
      </c>
      <c r="AD7">
        <v>0</v>
      </c>
      <c r="AE7">
        <v>0.755</v>
      </c>
      <c r="AF7">
        <v>0.26300000000000001</v>
      </c>
      <c r="AG7">
        <v>0.77200000000000002</v>
      </c>
      <c r="AH7">
        <v>599.86300000000006</v>
      </c>
      <c r="AI7" t="s">
        <v>22</v>
      </c>
      <c r="AJ7">
        <v>802.5</v>
      </c>
      <c r="AK7">
        <v>1012.5</v>
      </c>
      <c r="AL7">
        <v>205</v>
      </c>
      <c r="AM7">
        <v>0</v>
      </c>
      <c r="AN7">
        <v>2.5</v>
      </c>
      <c r="AO7">
        <v>0</v>
      </c>
      <c r="AP7">
        <v>0</v>
      </c>
      <c r="AQ7">
        <v>7.5</v>
      </c>
      <c r="AR7">
        <v>0</v>
      </c>
      <c r="AS7">
        <v>7.5</v>
      </c>
      <c r="AT7">
        <v>2037.5</v>
      </c>
      <c r="AU7" t="s">
        <v>34</v>
      </c>
    </row>
    <row r="8" spans="1:47" x14ac:dyDescent="0.2">
      <c r="A8">
        <v>1378</v>
      </c>
      <c r="B8" t="s">
        <v>550</v>
      </c>
      <c r="C8">
        <v>45</v>
      </c>
      <c r="D8" t="s">
        <v>557</v>
      </c>
      <c r="G8" t="str">
        <f t="shared" si="0"/>
        <v>SWL200045UTBS2</v>
      </c>
      <c r="H8">
        <v>64.683000000000007</v>
      </c>
      <c r="I8">
        <v>-169.0986667</v>
      </c>
      <c r="J8" s="3">
        <v>20000720</v>
      </c>
      <c r="K8">
        <v>2000</v>
      </c>
      <c r="L8">
        <v>2.4508399999999999</v>
      </c>
      <c r="M8">
        <v>3.4255800000000001</v>
      </c>
      <c r="N8">
        <v>8.1103500000000004</v>
      </c>
      <c r="O8">
        <v>6.7499999999999999E-3</v>
      </c>
      <c r="P8">
        <v>6.9999999999999994E-5</v>
      </c>
      <c r="Q8">
        <v>0</v>
      </c>
      <c r="R8">
        <v>5.6100000000000004E-3</v>
      </c>
      <c r="S8">
        <v>0</v>
      </c>
      <c r="T8">
        <v>0.34215000000000001</v>
      </c>
      <c r="U8">
        <v>0.37151000000000001</v>
      </c>
      <c r="V8">
        <v>14.712859999999999</v>
      </c>
      <c r="W8" t="s">
        <v>11</v>
      </c>
      <c r="X8">
        <v>35.667000000000002</v>
      </c>
      <c r="Y8">
        <v>138.12799999999999</v>
      </c>
      <c r="Z8">
        <v>117.887</v>
      </c>
      <c r="AA8">
        <v>0.15</v>
      </c>
      <c r="AB8">
        <v>5.0000000000000001E-3</v>
      </c>
      <c r="AC8">
        <v>0</v>
      </c>
      <c r="AD8">
        <v>9.1999999999999998E-2</v>
      </c>
      <c r="AE8">
        <v>0</v>
      </c>
      <c r="AF8">
        <v>3.6789999999999998</v>
      </c>
      <c r="AG8">
        <v>6.17</v>
      </c>
      <c r="AH8">
        <v>301.77800000000002</v>
      </c>
      <c r="AI8" t="s">
        <v>22</v>
      </c>
      <c r="AJ8">
        <v>847.5</v>
      </c>
      <c r="AK8">
        <v>402.5</v>
      </c>
      <c r="AL8">
        <v>8532.5</v>
      </c>
      <c r="AM8">
        <v>2.5</v>
      </c>
      <c r="AN8">
        <v>2.5</v>
      </c>
      <c r="AO8">
        <v>0</v>
      </c>
      <c r="AP8">
        <v>2.5</v>
      </c>
      <c r="AQ8">
        <v>0</v>
      </c>
      <c r="AR8">
        <v>0</v>
      </c>
      <c r="AS8">
        <v>30</v>
      </c>
      <c r="AT8">
        <v>9820</v>
      </c>
      <c r="AU8" t="s">
        <v>35</v>
      </c>
    </row>
    <row r="9" spans="1:47" x14ac:dyDescent="0.2">
      <c r="A9">
        <v>1379</v>
      </c>
      <c r="B9" t="s">
        <v>550</v>
      </c>
      <c r="C9">
        <v>46</v>
      </c>
      <c r="D9" t="s">
        <v>558</v>
      </c>
      <c r="G9" t="str">
        <f t="shared" si="0"/>
        <v>SWL200046UTBS4</v>
      </c>
      <c r="H9">
        <v>64.959166670000002</v>
      </c>
      <c r="I9">
        <v>-169.88416670000001</v>
      </c>
      <c r="J9" s="3">
        <v>20000720</v>
      </c>
      <c r="K9">
        <v>2000</v>
      </c>
      <c r="L9">
        <v>2.7905899999999999</v>
      </c>
      <c r="M9">
        <v>10.25319</v>
      </c>
      <c r="N9">
        <v>8.1046200000000006</v>
      </c>
      <c r="O9">
        <v>0</v>
      </c>
      <c r="P9">
        <v>4.47E-3</v>
      </c>
      <c r="Q9">
        <v>0</v>
      </c>
      <c r="R9">
        <v>4.2999999999999999E-4</v>
      </c>
      <c r="S9">
        <v>1.5610000000000001E-2</v>
      </c>
      <c r="T9">
        <v>0.22655</v>
      </c>
      <c r="U9">
        <v>1.72E-2</v>
      </c>
      <c r="V9">
        <v>21.412659999999999</v>
      </c>
      <c r="W9" t="s">
        <v>10</v>
      </c>
      <c r="X9">
        <v>34.723999999999997</v>
      </c>
      <c r="Y9">
        <v>304.36799999999999</v>
      </c>
      <c r="Z9">
        <v>118.551</v>
      </c>
      <c r="AA9">
        <v>0</v>
      </c>
      <c r="AB9">
        <v>0.31900000000000001</v>
      </c>
      <c r="AC9">
        <v>0</v>
      </c>
      <c r="AD9">
        <v>7.0000000000000001E-3</v>
      </c>
      <c r="AE9">
        <v>1.115</v>
      </c>
      <c r="AF9">
        <v>2.4359999999999999</v>
      </c>
      <c r="AG9">
        <v>0.32800000000000001</v>
      </c>
      <c r="AH9">
        <v>461.84800000000001</v>
      </c>
      <c r="AI9" t="s">
        <v>22</v>
      </c>
      <c r="AJ9">
        <v>792.5</v>
      </c>
      <c r="AK9">
        <v>630</v>
      </c>
      <c r="AL9">
        <v>5942.5</v>
      </c>
      <c r="AM9">
        <v>0</v>
      </c>
      <c r="AN9">
        <v>10</v>
      </c>
      <c r="AO9">
        <v>0</v>
      </c>
      <c r="AP9">
        <v>2.5</v>
      </c>
      <c r="AQ9">
        <v>2.5</v>
      </c>
      <c r="AR9">
        <v>17.5</v>
      </c>
      <c r="AS9">
        <v>37.5</v>
      </c>
      <c r="AT9">
        <v>7435</v>
      </c>
      <c r="AU9" t="s">
        <v>35</v>
      </c>
    </row>
    <row r="10" spans="1:47" x14ac:dyDescent="0.2">
      <c r="A10">
        <v>1380</v>
      </c>
      <c r="B10" t="s">
        <v>550</v>
      </c>
      <c r="C10">
        <v>47</v>
      </c>
      <c r="D10" t="s">
        <v>179</v>
      </c>
      <c r="G10" t="str">
        <f t="shared" si="0"/>
        <v>SWL200047UTBS1</v>
      </c>
      <c r="H10">
        <v>64.991833330000006</v>
      </c>
      <c r="I10">
        <v>-169.13650000000001</v>
      </c>
      <c r="J10" s="3">
        <v>20000721</v>
      </c>
      <c r="K10">
        <v>2000</v>
      </c>
      <c r="L10">
        <v>1.47525</v>
      </c>
      <c r="M10">
        <v>10.624090000000001</v>
      </c>
      <c r="N10">
        <v>9.9604599999999994</v>
      </c>
      <c r="O10">
        <v>0</v>
      </c>
      <c r="P10">
        <v>0</v>
      </c>
      <c r="Q10">
        <v>0</v>
      </c>
      <c r="R10">
        <v>0</v>
      </c>
      <c r="S10">
        <v>0</v>
      </c>
      <c r="T10">
        <v>1.97272</v>
      </c>
      <c r="U10">
        <v>3.4470000000000001E-2</v>
      </c>
      <c r="V10">
        <v>24.066990000000001</v>
      </c>
      <c r="W10" t="s">
        <v>10</v>
      </c>
      <c r="X10">
        <v>20.507000000000001</v>
      </c>
      <c r="Y10">
        <v>336.10300000000001</v>
      </c>
      <c r="Z10">
        <v>144.48699999999999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21.212</v>
      </c>
      <c r="AG10">
        <v>0.58399999999999996</v>
      </c>
      <c r="AH10">
        <v>522.89300000000003</v>
      </c>
      <c r="AI10" t="s">
        <v>22</v>
      </c>
      <c r="AJ10">
        <v>797.5</v>
      </c>
      <c r="AK10">
        <v>1627.5</v>
      </c>
      <c r="AL10">
        <v>9822.5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17.5</v>
      </c>
      <c r="AS10">
        <v>10</v>
      </c>
      <c r="AT10">
        <v>12275</v>
      </c>
      <c r="AU10" t="s">
        <v>35</v>
      </c>
    </row>
    <row r="11" spans="1:47" x14ac:dyDescent="0.2">
      <c r="A11">
        <v>1381</v>
      </c>
      <c r="B11" t="s">
        <v>550</v>
      </c>
      <c r="C11">
        <v>53</v>
      </c>
      <c r="D11" t="s">
        <v>559</v>
      </c>
      <c r="G11" t="str">
        <f t="shared" si="0"/>
        <v>SWL200053UTN1</v>
      </c>
      <c r="H11">
        <v>66.708333330000002</v>
      </c>
      <c r="I11">
        <v>-168.3993333</v>
      </c>
      <c r="J11" s="3">
        <v>20000722</v>
      </c>
      <c r="K11">
        <v>2000</v>
      </c>
      <c r="L11">
        <v>2.0123000000000002</v>
      </c>
      <c r="M11">
        <v>9.264E-2</v>
      </c>
      <c r="N11">
        <v>8.3260000000000001E-2</v>
      </c>
      <c r="O11">
        <v>0</v>
      </c>
      <c r="P11">
        <v>1.7000000000000001E-4</v>
      </c>
      <c r="Q11">
        <v>4.1287900000000004</v>
      </c>
      <c r="R11">
        <v>1.36042</v>
      </c>
      <c r="S11">
        <v>0.84613000000000005</v>
      </c>
      <c r="T11">
        <v>0</v>
      </c>
      <c r="U11">
        <v>1.8452</v>
      </c>
      <c r="V11">
        <v>10.36891</v>
      </c>
      <c r="W11" t="s">
        <v>14</v>
      </c>
      <c r="X11">
        <v>30.641999999999999</v>
      </c>
      <c r="Y11">
        <v>2.7610000000000001</v>
      </c>
      <c r="Z11">
        <v>1.131</v>
      </c>
      <c r="AA11">
        <v>0</v>
      </c>
      <c r="AB11">
        <v>1.2E-2</v>
      </c>
      <c r="AC11">
        <v>516.09900000000005</v>
      </c>
      <c r="AD11">
        <v>22.302</v>
      </c>
      <c r="AE11">
        <v>60.438000000000002</v>
      </c>
      <c r="AF11">
        <v>0</v>
      </c>
      <c r="AG11">
        <v>41.972999999999999</v>
      </c>
      <c r="AH11">
        <v>675.35799999999995</v>
      </c>
      <c r="AI11" t="s">
        <v>26</v>
      </c>
      <c r="AJ11">
        <v>837.5</v>
      </c>
      <c r="AK11">
        <v>890</v>
      </c>
      <c r="AL11">
        <v>652.5</v>
      </c>
      <c r="AM11">
        <v>0</v>
      </c>
      <c r="AN11">
        <v>10</v>
      </c>
      <c r="AO11">
        <v>180</v>
      </c>
      <c r="AP11">
        <v>62.5</v>
      </c>
      <c r="AQ11">
        <v>100</v>
      </c>
      <c r="AR11">
        <v>0</v>
      </c>
      <c r="AS11">
        <v>62.5</v>
      </c>
      <c r="AT11">
        <v>2795</v>
      </c>
      <c r="AU11" t="s">
        <v>34</v>
      </c>
    </row>
    <row r="12" spans="1:47" x14ac:dyDescent="0.2">
      <c r="A12">
        <v>1382</v>
      </c>
      <c r="B12" t="s">
        <v>550</v>
      </c>
      <c r="C12">
        <v>54</v>
      </c>
      <c r="D12" t="s">
        <v>560</v>
      </c>
      <c r="G12" t="str">
        <f t="shared" si="0"/>
        <v>SWL200054UTN2</v>
      </c>
      <c r="H12">
        <v>67.051166670000001</v>
      </c>
      <c r="I12">
        <v>-168.73233329999999</v>
      </c>
      <c r="J12" s="3">
        <v>20000722</v>
      </c>
      <c r="K12">
        <v>2000</v>
      </c>
      <c r="L12">
        <v>2.9954399999999999</v>
      </c>
      <c r="M12">
        <v>9.2216400000000007</v>
      </c>
      <c r="N12">
        <v>7.1510000000000004E-2</v>
      </c>
      <c r="O12">
        <v>0</v>
      </c>
      <c r="P12">
        <v>3.2000000000000003E-4</v>
      </c>
      <c r="Q12">
        <v>0</v>
      </c>
      <c r="R12">
        <v>0.82076000000000005</v>
      </c>
      <c r="S12">
        <v>0</v>
      </c>
      <c r="T12">
        <v>0</v>
      </c>
      <c r="U12">
        <v>1.9000000000000001E-4</v>
      </c>
      <c r="V12">
        <v>13.109859999999999</v>
      </c>
      <c r="W12" t="s">
        <v>10</v>
      </c>
      <c r="X12">
        <v>42.154000000000003</v>
      </c>
      <c r="Y12">
        <v>261.68</v>
      </c>
      <c r="Z12">
        <v>0.97499999999999998</v>
      </c>
      <c r="AA12">
        <v>0</v>
      </c>
      <c r="AB12">
        <v>2.3E-2</v>
      </c>
      <c r="AC12">
        <v>0</v>
      </c>
      <c r="AD12">
        <v>13.455</v>
      </c>
      <c r="AE12">
        <v>0</v>
      </c>
      <c r="AF12">
        <v>0</v>
      </c>
      <c r="AG12">
        <v>3.0000000000000001E-3</v>
      </c>
      <c r="AH12">
        <v>318.29000000000002</v>
      </c>
      <c r="AI12" t="s">
        <v>22</v>
      </c>
      <c r="AJ12">
        <v>787.5</v>
      </c>
      <c r="AK12">
        <v>642.5</v>
      </c>
      <c r="AL12">
        <v>1240</v>
      </c>
      <c r="AM12">
        <v>0</v>
      </c>
      <c r="AN12">
        <v>35</v>
      </c>
      <c r="AO12">
        <v>0</v>
      </c>
      <c r="AP12">
        <v>37.5</v>
      </c>
      <c r="AQ12">
        <v>0</v>
      </c>
      <c r="AR12">
        <v>0</v>
      </c>
      <c r="AS12">
        <v>2.5</v>
      </c>
      <c r="AT12">
        <v>2745</v>
      </c>
      <c r="AU12" t="s">
        <v>35</v>
      </c>
    </row>
    <row r="13" spans="1:47" x14ac:dyDescent="0.2">
      <c r="A13">
        <v>1383</v>
      </c>
      <c r="B13" t="s">
        <v>550</v>
      </c>
      <c r="C13">
        <v>55</v>
      </c>
      <c r="D13" t="s">
        <v>561</v>
      </c>
      <c r="G13" t="str">
        <f t="shared" si="0"/>
        <v>SWL200055UTN3</v>
      </c>
      <c r="H13">
        <v>67.333333330000002</v>
      </c>
      <c r="I13">
        <v>-168.9915</v>
      </c>
      <c r="J13" s="3">
        <v>20000722</v>
      </c>
      <c r="K13">
        <v>2000</v>
      </c>
      <c r="L13">
        <v>3.5272000000000001</v>
      </c>
      <c r="M13">
        <v>51.480649999999997</v>
      </c>
      <c r="N13">
        <v>0.84806000000000004</v>
      </c>
      <c r="O13">
        <v>0</v>
      </c>
      <c r="P13">
        <v>5.6699999999999997E-3</v>
      </c>
      <c r="Q13">
        <v>0</v>
      </c>
      <c r="R13">
        <v>1.25587</v>
      </c>
      <c r="S13">
        <v>0</v>
      </c>
      <c r="T13">
        <v>0</v>
      </c>
      <c r="U13">
        <v>0.78844999999999998</v>
      </c>
      <c r="V13">
        <v>57.905900000000003</v>
      </c>
      <c r="W13" t="s">
        <v>10</v>
      </c>
      <c r="X13">
        <v>53.113999999999997</v>
      </c>
      <c r="Y13">
        <v>1308.0519999999999</v>
      </c>
      <c r="Z13">
        <v>12.065</v>
      </c>
      <c r="AA13">
        <v>0</v>
      </c>
      <c r="AB13">
        <v>0.40500000000000003</v>
      </c>
      <c r="AC13">
        <v>0</v>
      </c>
      <c r="AD13">
        <v>20.588000000000001</v>
      </c>
      <c r="AE13">
        <v>0</v>
      </c>
      <c r="AF13">
        <v>0</v>
      </c>
      <c r="AG13">
        <v>43.603999999999999</v>
      </c>
      <c r="AH13">
        <v>1437.828</v>
      </c>
      <c r="AI13" t="s">
        <v>22</v>
      </c>
      <c r="AJ13">
        <v>1245</v>
      </c>
      <c r="AK13">
        <v>1150</v>
      </c>
      <c r="AL13">
        <v>1730</v>
      </c>
      <c r="AM13">
        <v>0</v>
      </c>
      <c r="AN13">
        <v>10</v>
      </c>
      <c r="AO13">
        <v>0</v>
      </c>
      <c r="AP13">
        <v>120</v>
      </c>
      <c r="AQ13">
        <v>0</v>
      </c>
      <c r="AR13">
        <v>0</v>
      </c>
      <c r="AS13">
        <v>230</v>
      </c>
      <c r="AT13">
        <v>4485</v>
      </c>
      <c r="AU13" t="s">
        <v>35</v>
      </c>
    </row>
    <row r="14" spans="1:47" x14ac:dyDescent="0.2">
      <c r="A14">
        <v>1384</v>
      </c>
      <c r="B14" t="s">
        <v>550</v>
      </c>
      <c r="C14">
        <v>56</v>
      </c>
      <c r="D14" t="s">
        <v>562</v>
      </c>
      <c r="G14" t="str">
        <f t="shared" si="0"/>
        <v>SWL200056UTN4</v>
      </c>
      <c r="H14">
        <v>67.501333329999994</v>
      </c>
      <c r="I14">
        <v>-168.91183330000001</v>
      </c>
      <c r="J14" s="3">
        <v>20000722</v>
      </c>
      <c r="K14">
        <v>2000</v>
      </c>
      <c r="L14">
        <v>4.9669800000000004</v>
      </c>
      <c r="M14">
        <v>13.589169999999999</v>
      </c>
      <c r="N14">
        <v>2.2161200000000001</v>
      </c>
      <c r="O14">
        <v>0</v>
      </c>
      <c r="P14">
        <v>2.7599999999999999E-3</v>
      </c>
      <c r="Q14">
        <v>0</v>
      </c>
      <c r="R14">
        <v>0.95977000000000001</v>
      </c>
      <c r="S14">
        <v>0</v>
      </c>
      <c r="T14">
        <v>0.11439000000000001</v>
      </c>
      <c r="U14">
        <v>0.23579</v>
      </c>
      <c r="V14">
        <v>22.084980000000002</v>
      </c>
      <c r="W14" t="s">
        <v>10</v>
      </c>
      <c r="X14">
        <v>70.971000000000004</v>
      </c>
      <c r="Y14">
        <v>376.69400000000002</v>
      </c>
      <c r="Z14">
        <v>26.765999999999998</v>
      </c>
      <c r="AA14">
        <v>0</v>
      </c>
      <c r="AB14">
        <v>0.19700000000000001</v>
      </c>
      <c r="AC14">
        <v>0</v>
      </c>
      <c r="AD14">
        <v>15.734</v>
      </c>
      <c r="AE14">
        <v>0</v>
      </c>
      <c r="AF14">
        <v>1.23</v>
      </c>
      <c r="AG14">
        <v>5.5650000000000004</v>
      </c>
      <c r="AH14">
        <v>497.15699999999998</v>
      </c>
      <c r="AI14" t="s">
        <v>22</v>
      </c>
      <c r="AJ14">
        <v>1120</v>
      </c>
      <c r="AK14">
        <v>317.5</v>
      </c>
      <c r="AL14">
        <v>2575</v>
      </c>
      <c r="AM14">
        <v>0</v>
      </c>
      <c r="AN14">
        <v>2.5</v>
      </c>
      <c r="AO14">
        <v>0</v>
      </c>
      <c r="AP14">
        <v>57.5</v>
      </c>
      <c r="AQ14">
        <v>0</v>
      </c>
      <c r="AR14">
        <v>2.5</v>
      </c>
      <c r="AS14">
        <v>25</v>
      </c>
      <c r="AT14">
        <v>4100</v>
      </c>
      <c r="AU14" t="s">
        <v>35</v>
      </c>
    </row>
    <row r="15" spans="1:47" x14ac:dyDescent="0.2">
      <c r="A15">
        <v>1385</v>
      </c>
      <c r="B15" t="s">
        <v>550</v>
      </c>
      <c r="C15">
        <v>57</v>
      </c>
      <c r="D15" t="s">
        <v>306</v>
      </c>
      <c r="G15" t="str">
        <f t="shared" si="0"/>
        <v>SWL200057UTN5=SEC1</v>
      </c>
      <c r="H15">
        <v>67.670500000000004</v>
      </c>
      <c r="I15">
        <v>-168.95699999999999</v>
      </c>
      <c r="J15" s="3">
        <v>20000723</v>
      </c>
      <c r="K15">
        <v>2000</v>
      </c>
      <c r="L15">
        <v>4.3145899999999999</v>
      </c>
      <c r="M15">
        <v>5.1597900000000001</v>
      </c>
      <c r="N15">
        <v>2.6545000000000001</v>
      </c>
      <c r="O15">
        <v>0</v>
      </c>
      <c r="P15">
        <v>1.3999999999999999E-4</v>
      </c>
      <c r="Q15">
        <v>0</v>
      </c>
      <c r="R15">
        <v>2.2274799999999999</v>
      </c>
      <c r="S15">
        <v>0</v>
      </c>
      <c r="T15">
        <v>0</v>
      </c>
      <c r="U15">
        <v>0.13617000000000001</v>
      </c>
      <c r="V15">
        <v>14.49267</v>
      </c>
      <c r="W15" t="s">
        <v>10</v>
      </c>
      <c r="X15">
        <v>59.878999999999998</v>
      </c>
      <c r="Y15">
        <v>145.00800000000001</v>
      </c>
      <c r="Z15">
        <v>30.81</v>
      </c>
      <c r="AA15">
        <v>0</v>
      </c>
      <c r="AB15">
        <v>0.01</v>
      </c>
      <c r="AC15">
        <v>0</v>
      </c>
      <c r="AD15">
        <v>36.515999999999998</v>
      </c>
      <c r="AE15">
        <v>0</v>
      </c>
      <c r="AF15">
        <v>0</v>
      </c>
      <c r="AG15">
        <v>5.5339999999999998</v>
      </c>
      <c r="AH15">
        <v>277.75700000000001</v>
      </c>
      <c r="AI15" t="s">
        <v>22</v>
      </c>
      <c r="AJ15">
        <v>850</v>
      </c>
      <c r="AK15">
        <v>647.5</v>
      </c>
      <c r="AL15">
        <v>2455</v>
      </c>
      <c r="AM15">
        <v>0</v>
      </c>
      <c r="AN15">
        <v>7.5</v>
      </c>
      <c r="AO15">
        <v>0</v>
      </c>
      <c r="AP15">
        <v>62.5</v>
      </c>
      <c r="AQ15">
        <v>0</v>
      </c>
      <c r="AR15">
        <v>0</v>
      </c>
      <c r="AS15">
        <v>65</v>
      </c>
      <c r="AT15">
        <v>4087.5</v>
      </c>
      <c r="AU15" t="s">
        <v>35</v>
      </c>
    </row>
    <row r="16" spans="1:47" x14ac:dyDescent="0.2">
      <c r="A16">
        <v>1386</v>
      </c>
      <c r="B16" t="s">
        <v>550</v>
      </c>
      <c r="C16">
        <v>58</v>
      </c>
      <c r="D16" t="s">
        <v>563</v>
      </c>
      <c r="G16" t="str">
        <f t="shared" si="0"/>
        <v>SWL200058UTN6</v>
      </c>
      <c r="H16">
        <v>67.737833330000001</v>
      </c>
      <c r="I16">
        <v>-168.4315</v>
      </c>
      <c r="J16" s="3">
        <v>20000723</v>
      </c>
      <c r="K16">
        <v>2000</v>
      </c>
      <c r="L16">
        <v>1.835</v>
      </c>
      <c r="M16">
        <v>23.034089999999999</v>
      </c>
      <c r="N16">
        <v>0.54867999999999995</v>
      </c>
      <c r="O16">
        <v>0</v>
      </c>
      <c r="P16">
        <v>7.2999999999999996E-4</v>
      </c>
      <c r="Q16">
        <v>0</v>
      </c>
      <c r="R16">
        <v>2.2080199999999999</v>
      </c>
      <c r="S16">
        <v>0</v>
      </c>
      <c r="T16">
        <v>0</v>
      </c>
      <c r="U16">
        <v>0.26468999999999998</v>
      </c>
      <c r="V16">
        <v>27.891210000000001</v>
      </c>
      <c r="W16" t="s">
        <v>10</v>
      </c>
      <c r="X16">
        <v>25.148</v>
      </c>
      <c r="Y16">
        <v>629.64200000000005</v>
      </c>
      <c r="Z16">
        <v>6.7549999999999999</v>
      </c>
      <c r="AA16">
        <v>0</v>
      </c>
      <c r="AB16">
        <v>5.1999999999999998E-2</v>
      </c>
      <c r="AC16">
        <v>0</v>
      </c>
      <c r="AD16">
        <v>36.197000000000003</v>
      </c>
      <c r="AE16">
        <v>0</v>
      </c>
      <c r="AF16">
        <v>0</v>
      </c>
      <c r="AG16">
        <v>7.0330000000000004</v>
      </c>
      <c r="AH16">
        <v>704.827</v>
      </c>
      <c r="AI16" t="s">
        <v>22</v>
      </c>
      <c r="AJ16">
        <v>635</v>
      </c>
      <c r="AK16">
        <v>580</v>
      </c>
      <c r="AL16">
        <v>577.5</v>
      </c>
      <c r="AM16">
        <v>0</v>
      </c>
      <c r="AN16">
        <v>2.5</v>
      </c>
      <c r="AO16">
        <v>0</v>
      </c>
      <c r="AP16">
        <v>55</v>
      </c>
      <c r="AQ16">
        <v>0</v>
      </c>
      <c r="AR16">
        <v>0</v>
      </c>
      <c r="AS16">
        <v>77.5</v>
      </c>
      <c r="AT16">
        <v>1927.5</v>
      </c>
      <c r="AU16" t="s">
        <v>33</v>
      </c>
    </row>
    <row r="17" spans="1:47" x14ac:dyDescent="0.2">
      <c r="A17">
        <v>1387</v>
      </c>
      <c r="B17" t="s">
        <v>550</v>
      </c>
      <c r="C17">
        <v>59</v>
      </c>
      <c r="D17" t="s">
        <v>564</v>
      </c>
      <c r="G17" t="str">
        <f t="shared" si="0"/>
        <v>SWL200059UTN7</v>
      </c>
      <c r="H17">
        <v>67.998333329999994</v>
      </c>
      <c r="I17">
        <v>-168.93166669999999</v>
      </c>
      <c r="J17" s="3">
        <v>20000723</v>
      </c>
      <c r="K17">
        <v>2000</v>
      </c>
      <c r="L17">
        <v>2.82152</v>
      </c>
      <c r="M17">
        <v>32.050319999999999</v>
      </c>
      <c r="N17">
        <v>4.3831699999999998</v>
      </c>
      <c r="O17">
        <v>0</v>
      </c>
      <c r="P17">
        <v>0</v>
      </c>
      <c r="Q17">
        <v>0</v>
      </c>
      <c r="R17">
        <v>2.8759700000000001</v>
      </c>
      <c r="S17">
        <v>0</v>
      </c>
      <c r="T17">
        <v>7.6630000000000004E-2</v>
      </c>
      <c r="U17">
        <v>6.6559999999999994E-2</v>
      </c>
      <c r="V17">
        <v>42.274169999999998</v>
      </c>
      <c r="W17" t="s">
        <v>10</v>
      </c>
      <c r="X17">
        <v>39.115000000000002</v>
      </c>
      <c r="Y17">
        <v>845.25400000000002</v>
      </c>
      <c r="Z17">
        <v>47.703000000000003</v>
      </c>
      <c r="AA17">
        <v>0</v>
      </c>
      <c r="AB17">
        <v>0</v>
      </c>
      <c r="AC17">
        <v>0</v>
      </c>
      <c r="AD17">
        <v>47.146999999999998</v>
      </c>
      <c r="AE17">
        <v>0</v>
      </c>
      <c r="AF17">
        <v>0.82399999999999995</v>
      </c>
      <c r="AG17">
        <v>2.9809999999999999</v>
      </c>
      <c r="AH17">
        <v>983.024</v>
      </c>
      <c r="AI17" t="s">
        <v>22</v>
      </c>
      <c r="AJ17">
        <v>460</v>
      </c>
      <c r="AK17">
        <v>1095</v>
      </c>
      <c r="AL17">
        <v>2947.5</v>
      </c>
      <c r="AM17">
        <v>0</v>
      </c>
      <c r="AN17">
        <v>0</v>
      </c>
      <c r="AO17">
        <v>0</v>
      </c>
      <c r="AP17">
        <v>52.5</v>
      </c>
      <c r="AQ17">
        <v>0</v>
      </c>
      <c r="AR17">
        <v>2.5</v>
      </c>
      <c r="AS17">
        <v>52.5</v>
      </c>
      <c r="AT17">
        <v>4610</v>
      </c>
      <c r="AU17" t="s">
        <v>35</v>
      </c>
    </row>
    <row r="18" spans="1:47" x14ac:dyDescent="0.2">
      <c r="A18">
        <v>1106</v>
      </c>
      <c r="B18" s="4" t="s">
        <v>933</v>
      </c>
      <c r="C18">
        <v>10</v>
      </c>
      <c r="D18" s="4" t="s">
        <v>552</v>
      </c>
      <c r="E18" s="4" t="s">
        <v>552</v>
      </c>
      <c r="F18" s="4" t="s">
        <v>279</v>
      </c>
      <c r="G18" t="str">
        <f t="shared" si="0"/>
        <v>PSEA200110SLIP2</v>
      </c>
      <c r="H18">
        <v>62.055999999999997</v>
      </c>
      <c r="I18">
        <v>-175.20099999999999</v>
      </c>
      <c r="J18" s="3">
        <v>20010319</v>
      </c>
      <c r="K18">
        <v>2001</v>
      </c>
      <c r="L18">
        <v>2.1692399999999998</v>
      </c>
      <c r="M18">
        <v>13.697570000000001</v>
      </c>
      <c r="N18">
        <v>4.657E-2</v>
      </c>
      <c r="O18">
        <v>0</v>
      </c>
      <c r="P18">
        <v>0.13006999999999999</v>
      </c>
      <c r="Q18">
        <v>0</v>
      </c>
      <c r="R18">
        <v>0</v>
      </c>
      <c r="S18">
        <v>0</v>
      </c>
      <c r="T18">
        <v>0.23585</v>
      </c>
      <c r="U18">
        <v>0.14208999999999999</v>
      </c>
      <c r="V18">
        <v>16.421389999999999</v>
      </c>
      <c r="W18" t="s">
        <v>10</v>
      </c>
      <c r="X18">
        <v>31.350999999999999</v>
      </c>
      <c r="Y18">
        <v>578.41200000000003</v>
      </c>
      <c r="Z18">
        <v>0.625</v>
      </c>
      <c r="AA18">
        <v>0</v>
      </c>
      <c r="AB18">
        <v>9.2910000000000004</v>
      </c>
      <c r="AC18">
        <v>0</v>
      </c>
      <c r="AD18">
        <v>0</v>
      </c>
      <c r="AE18">
        <v>0</v>
      </c>
      <c r="AF18">
        <v>2.536</v>
      </c>
      <c r="AG18">
        <v>2.6909999999999998</v>
      </c>
      <c r="AH18">
        <v>624.90599999999995</v>
      </c>
      <c r="AI18" t="s">
        <v>22</v>
      </c>
      <c r="AJ18">
        <v>270</v>
      </c>
      <c r="AK18">
        <v>575</v>
      </c>
      <c r="AL18">
        <v>82.5</v>
      </c>
      <c r="AM18">
        <v>0</v>
      </c>
      <c r="AN18">
        <v>15</v>
      </c>
      <c r="AO18">
        <v>0</v>
      </c>
      <c r="AP18">
        <v>0</v>
      </c>
      <c r="AQ18">
        <v>0</v>
      </c>
      <c r="AR18">
        <v>2.5</v>
      </c>
      <c r="AS18">
        <v>47.5</v>
      </c>
      <c r="AT18">
        <v>992.5</v>
      </c>
      <c r="AU18" t="s">
        <v>34</v>
      </c>
    </row>
    <row r="19" spans="1:47" x14ac:dyDescent="0.2">
      <c r="A19">
        <v>1107</v>
      </c>
      <c r="B19" s="4" t="s">
        <v>933</v>
      </c>
      <c r="C19">
        <v>11</v>
      </c>
      <c r="D19" t="s">
        <v>245</v>
      </c>
      <c r="G19" t="str">
        <f t="shared" si="0"/>
        <v>PSEA200111DLN4</v>
      </c>
      <c r="H19">
        <v>62.511000000000003</v>
      </c>
      <c r="I19">
        <v>-175.29300000000001</v>
      </c>
      <c r="J19" s="3">
        <v>20010319</v>
      </c>
      <c r="K19">
        <v>2001</v>
      </c>
      <c r="L19">
        <v>1.67123</v>
      </c>
      <c r="M19">
        <v>20.227720000000001</v>
      </c>
      <c r="N19">
        <v>0.17033999999999999</v>
      </c>
      <c r="O19">
        <v>0</v>
      </c>
      <c r="P19">
        <v>0.55030999999999997</v>
      </c>
      <c r="Q19">
        <v>0</v>
      </c>
      <c r="R19">
        <v>0</v>
      </c>
      <c r="S19">
        <v>7.4050000000000005E-2</v>
      </c>
      <c r="T19">
        <v>0.66113999999999995</v>
      </c>
      <c r="U19">
        <v>0.83538000000000001</v>
      </c>
      <c r="V19">
        <v>24.190169999999998</v>
      </c>
      <c r="W19" t="s">
        <v>10</v>
      </c>
      <c r="X19">
        <v>25.047999999999998</v>
      </c>
      <c r="Y19">
        <v>578.73400000000004</v>
      </c>
      <c r="Z19">
        <v>2.1829999999999998</v>
      </c>
      <c r="AA19">
        <v>0</v>
      </c>
      <c r="AB19">
        <v>39.308</v>
      </c>
      <c r="AC19">
        <v>0</v>
      </c>
      <c r="AD19">
        <v>0</v>
      </c>
      <c r="AE19">
        <v>5.2889999999999997</v>
      </c>
      <c r="AF19">
        <v>7.109</v>
      </c>
      <c r="AG19">
        <v>15.435</v>
      </c>
      <c r="AH19">
        <v>673.10599999999999</v>
      </c>
      <c r="AI19" t="s">
        <v>22</v>
      </c>
      <c r="AJ19">
        <v>845</v>
      </c>
      <c r="AK19">
        <v>805</v>
      </c>
      <c r="AL19">
        <v>320</v>
      </c>
      <c r="AM19">
        <v>0</v>
      </c>
      <c r="AN19">
        <v>97.5</v>
      </c>
      <c r="AO19">
        <v>0</v>
      </c>
      <c r="AP19">
        <v>0</v>
      </c>
      <c r="AQ19">
        <v>10</v>
      </c>
      <c r="AR19">
        <v>7.5</v>
      </c>
      <c r="AS19">
        <v>117.5</v>
      </c>
      <c r="AT19">
        <v>2202.5</v>
      </c>
      <c r="AU19" t="s">
        <v>33</v>
      </c>
    </row>
    <row r="20" spans="1:47" x14ac:dyDescent="0.2">
      <c r="A20">
        <v>1108</v>
      </c>
      <c r="B20" s="4" t="s">
        <v>933</v>
      </c>
      <c r="C20">
        <v>12</v>
      </c>
      <c r="D20" t="s">
        <v>244</v>
      </c>
      <c r="G20" t="str">
        <f t="shared" si="0"/>
        <v>PSEA200112DLN3</v>
      </c>
      <c r="H20">
        <v>62.892000000000003</v>
      </c>
      <c r="I20">
        <v>-174.089</v>
      </c>
      <c r="J20" s="3">
        <v>20010319</v>
      </c>
      <c r="K20">
        <v>2001</v>
      </c>
      <c r="L20">
        <v>4.0614400000000002</v>
      </c>
      <c r="M20">
        <v>9.9960100000000001</v>
      </c>
      <c r="N20">
        <v>1.00159</v>
      </c>
      <c r="O20">
        <v>0</v>
      </c>
      <c r="P20">
        <v>0.68203999999999998</v>
      </c>
      <c r="Q20">
        <v>0</v>
      </c>
      <c r="R20">
        <v>3.465E-2</v>
      </c>
      <c r="S20">
        <v>0</v>
      </c>
      <c r="T20">
        <v>1.8589800000000001</v>
      </c>
      <c r="U20">
        <v>0.30575999999999998</v>
      </c>
      <c r="V20">
        <v>17.940470000000001</v>
      </c>
      <c r="W20" t="s">
        <v>10</v>
      </c>
      <c r="X20">
        <v>66.004000000000005</v>
      </c>
      <c r="Y20">
        <v>258.803</v>
      </c>
      <c r="Z20">
        <v>13.051</v>
      </c>
      <c r="AA20">
        <v>0</v>
      </c>
      <c r="AB20">
        <v>48.716999999999999</v>
      </c>
      <c r="AC20">
        <v>0</v>
      </c>
      <c r="AD20">
        <v>0.56799999999999995</v>
      </c>
      <c r="AE20">
        <v>0</v>
      </c>
      <c r="AF20">
        <v>19.989000000000001</v>
      </c>
      <c r="AG20">
        <v>5.2130000000000001</v>
      </c>
      <c r="AH20">
        <v>412.34500000000003</v>
      </c>
      <c r="AI20" t="s">
        <v>22</v>
      </c>
      <c r="AJ20">
        <v>795</v>
      </c>
      <c r="AK20">
        <v>1185</v>
      </c>
      <c r="AL20">
        <v>107.5</v>
      </c>
      <c r="AM20">
        <v>0</v>
      </c>
      <c r="AN20">
        <v>40</v>
      </c>
      <c r="AO20">
        <v>0</v>
      </c>
      <c r="AP20">
        <v>5</v>
      </c>
      <c r="AQ20">
        <v>0</v>
      </c>
      <c r="AR20">
        <v>2.5</v>
      </c>
      <c r="AS20">
        <v>55</v>
      </c>
      <c r="AT20">
        <v>2190</v>
      </c>
      <c r="AU20" t="s">
        <v>34</v>
      </c>
    </row>
    <row r="21" spans="1:47" x14ac:dyDescent="0.2">
      <c r="A21">
        <v>1109</v>
      </c>
      <c r="B21" s="4" t="s">
        <v>933</v>
      </c>
      <c r="C21">
        <v>13</v>
      </c>
      <c r="D21" t="s">
        <v>248</v>
      </c>
      <c r="G21" t="str">
        <f t="shared" si="0"/>
        <v>PSEA200113DLN2</v>
      </c>
      <c r="H21">
        <v>63.274999999999999</v>
      </c>
      <c r="I21">
        <v>-173.75399999999999</v>
      </c>
      <c r="J21" s="3">
        <v>20010320</v>
      </c>
      <c r="K21">
        <v>2001</v>
      </c>
      <c r="L21">
        <v>3.2157499999999999</v>
      </c>
      <c r="M21">
        <v>8.9694199999999995</v>
      </c>
      <c r="N21">
        <v>0.50571999999999995</v>
      </c>
      <c r="O21">
        <v>0</v>
      </c>
      <c r="P21">
        <v>0.57001000000000002</v>
      </c>
      <c r="Q21">
        <v>0</v>
      </c>
      <c r="R21">
        <v>0.1123</v>
      </c>
      <c r="S21">
        <v>0</v>
      </c>
      <c r="T21">
        <v>0.80157</v>
      </c>
      <c r="U21">
        <v>0.30778</v>
      </c>
      <c r="V21">
        <v>14.48255</v>
      </c>
      <c r="W21" t="s">
        <v>10</v>
      </c>
      <c r="X21">
        <v>46.915999999999997</v>
      </c>
      <c r="Y21">
        <v>255.81</v>
      </c>
      <c r="Z21">
        <v>6.5339999999999998</v>
      </c>
      <c r="AA21">
        <v>0</v>
      </c>
      <c r="AB21">
        <v>40.715000000000003</v>
      </c>
      <c r="AC21">
        <v>0</v>
      </c>
      <c r="AD21">
        <v>1.841</v>
      </c>
      <c r="AE21">
        <v>0</v>
      </c>
      <c r="AF21">
        <v>8.6189999999999998</v>
      </c>
      <c r="AG21">
        <v>7.3220000000000001</v>
      </c>
      <c r="AH21">
        <v>367.75700000000001</v>
      </c>
      <c r="AI21" t="s">
        <v>22</v>
      </c>
      <c r="AJ21">
        <v>867.5</v>
      </c>
      <c r="AK21">
        <v>392.5</v>
      </c>
      <c r="AL21">
        <v>262.5</v>
      </c>
      <c r="AM21">
        <v>0</v>
      </c>
      <c r="AN21">
        <v>45</v>
      </c>
      <c r="AO21">
        <v>0</v>
      </c>
      <c r="AP21">
        <v>5</v>
      </c>
      <c r="AQ21">
        <v>0</v>
      </c>
      <c r="AR21">
        <v>5</v>
      </c>
      <c r="AS21">
        <v>62.5</v>
      </c>
      <c r="AT21">
        <v>1640</v>
      </c>
      <c r="AU21" t="s">
        <v>33</v>
      </c>
    </row>
    <row r="22" spans="1:47" x14ac:dyDescent="0.2">
      <c r="A22">
        <v>1110</v>
      </c>
      <c r="B22" s="4" t="s">
        <v>933</v>
      </c>
      <c r="C22">
        <v>14</v>
      </c>
      <c r="D22" t="s">
        <v>247</v>
      </c>
      <c r="G22" t="str">
        <f t="shared" si="0"/>
        <v>PSEA200114NWC2</v>
      </c>
      <c r="H22">
        <v>63.107999999999997</v>
      </c>
      <c r="I22">
        <v>-173.12200000000001</v>
      </c>
      <c r="J22" s="3">
        <v>20010320</v>
      </c>
      <c r="K22">
        <v>2001</v>
      </c>
      <c r="L22">
        <v>1.9939100000000001</v>
      </c>
      <c r="M22">
        <v>8.7056699999999996</v>
      </c>
      <c r="N22">
        <v>2.12547</v>
      </c>
      <c r="O22">
        <v>0</v>
      </c>
      <c r="P22">
        <v>0.22214</v>
      </c>
      <c r="Q22">
        <v>0</v>
      </c>
      <c r="R22">
        <v>0</v>
      </c>
      <c r="S22">
        <v>0</v>
      </c>
      <c r="T22">
        <v>0.74883999999999995</v>
      </c>
      <c r="U22">
        <v>0.13425000000000001</v>
      </c>
      <c r="V22">
        <v>13.93028</v>
      </c>
      <c r="W22" t="s">
        <v>10</v>
      </c>
      <c r="X22">
        <v>33.468000000000004</v>
      </c>
      <c r="Y22">
        <v>279.24700000000001</v>
      </c>
      <c r="Z22">
        <v>28.835999999999999</v>
      </c>
      <c r="AA22">
        <v>0</v>
      </c>
      <c r="AB22">
        <v>15.867000000000001</v>
      </c>
      <c r="AC22">
        <v>0</v>
      </c>
      <c r="AD22">
        <v>0</v>
      </c>
      <c r="AE22">
        <v>0</v>
      </c>
      <c r="AF22">
        <v>8.0519999999999996</v>
      </c>
      <c r="AG22">
        <v>3.3140000000000001</v>
      </c>
      <c r="AH22">
        <v>368.78399999999999</v>
      </c>
      <c r="AI22" t="s">
        <v>22</v>
      </c>
      <c r="AJ22">
        <v>225</v>
      </c>
      <c r="AK22">
        <v>847.5</v>
      </c>
      <c r="AL22">
        <v>795</v>
      </c>
      <c r="AM22">
        <v>0</v>
      </c>
      <c r="AN22">
        <v>10</v>
      </c>
      <c r="AO22">
        <v>0</v>
      </c>
      <c r="AP22">
        <v>0</v>
      </c>
      <c r="AQ22">
        <v>0</v>
      </c>
      <c r="AR22">
        <v>2.5</v>
      </c>
      <c r="AS22">
        <v>60</v>
      </c>
      <c r="AT22">
        <v>1940</v>
      </c>
      <c r="AU22" t="s">
        <v>34</v>
      </c>
    </row>
    <row r="23" spans="1:47" x14ac:dyDescent="0.2">
      <c r="A23">
        <v>1111</v>
      </c>
      <c r="B23" s="4" t="s">
        <v>933</v>
      </c>
      <c r="C23">
        <v>15</v>
      </c>
      <c r="D23" s="4" t="s">
        <v>555</v>
      </c>
      <c r="E23" s="4" t="s">
        <v>555</v>
      </c>
      <c r="F23" s="4" t="s">
        <v>246</v>
      </c>
      <c r="G23" t="str">
        <f t="shared" si="0"/>
        <v>PSEA200115SLIP4</v>
      </c>
      <c r="H23">
        <v>63.026000000000003</v>
      </c>
      <c r="I23">
        <v>-173.47399999999999</v>
      </c>
      <c r="J23" s="3">
        <v>20010321</v>
      </c>
      <c r="K23">
        <v>2001</v>
      </c>
      <c r="L23">
        <v>2.9020899999999998</v>
      </c>
      <c r="M23">
        <v>9.5192800000000002</v>
      </c>
      <c r="N23">
        <v>0.12338</v>
      </c>
      <c r="O23">
        <v>5.9479699999999998</v>
      </c>
      <c r="P23">
        <v>0.19891</v>
      </c>
      <c r="Q23">
        <v>0</v>
      </c>
      <c r="R23">
        <v>0</v>
      </c>
      <c r="S23">
        <v>0</v>
      </c>
      <c r="T23">
        <v>1.98685</v>
      </c>
      <c r="U23">
        <v>0.22728999999999999</v>
      </c>
      <c r="V23">
        <v>20.90577</v>
      </c>
      <c r="W23" t="s">
        <v>10</v>
      </c>
      <c r="X23">
        <v>60.6</v>
      </c>
      <c r="Y23">
        <v>280.04599999999999</v>
      </c>
      <c r="Z23">
        <v>1.4790000000000001</v>
      </c>
      <c r="AA23">
        <v>132.17699999999999</v>
      </c>
      <c r="AB23">
        <v>14.208</v>
      </c>
      <c r="AC23">
        <v>0</v>
      </c>
      <c r="AD23">
        <v>0</v>
      </c>
      <c r="AE23">
        <v>0</v>
      </c>
      <c r="AF23">
        <v>21.364000000000001</v>
      </c>
      <c r="AG23">
        <v>5.5129999999999999</v>
      </c>
      <c r="AH23">
        <v>515.38699999999994</v>
      </c>
      <c r="AI23" t="s">
        <v>22</v>
      </c>
      <c r="AJ23">
        <v>662.5</v>
      </c>
      <c r="AK23">
        <v>625</v>
      </c>
      <c r="AL23">
        <v>147.5</v>
      </c>
      <c r="AM23">
        <v>5</v>
      </c>
      <c r="AN23">
        <v>2.5</v>
      </c>
      <c r="AO23">
        <v>0</v>
      </c>
      <c r="AP23">
        <v>0</v>
      </c>
      <c r="AQ23">
        <v>0</v>
      </c>
      <c r="AR23">
        <v>5</v>
      </c>
      <c r="AS23">
        <v>27.5</v>
      </c>
      <c r="AT23">
        <v>1475</v>
      </c>
      <c r="AU23" t="s">
        <v>33</v>
      </c>
    </row>
    <row r="24" spans="1:47" x14ac:dyDescent="0.2">
      <c r="A24">
        <v>1112</v>
      </c>
      <c r="B24" s="4" t="s">
        <v>933</v>
      </c>
      <c r="C24">
        <v>16</v>
      </c>
      <c r="D24" t="s">
        <v>243</v>
      </c>
      <c r="G24" t="str">
        <f t="shared" si="0"/>
        <v>PSEA200116NWC3</v>
      </c>
      <c r="H24">
        <v>62.781999999999996</v>
      </c>
      <c r="I24">
        <v>-173.87100000000001</v>
      </c>
      <c r="J24" s="3">
        <v>20010321</v>
      </c>
      <c r="K24">
        <v>2001</v>
      </c>
      <c r="L24">
        <v>4.1464299999999996</v>
      </c>
      <c r="M24">
        <v>10.043889999999999</v>
      </c>
      <c r="N24">
        <v>4.6690000000000002E-2</v>
      </c>
      <c r="O24">
        <v>0</v>
      </c>
      <c r="P24">
        <v>0.34321000000000002</v>
      </c>
      <c r="Q24">
        <v>0</v>
      </c>
      <c r="R24">
        <v>0</v>
      </c>
      <c r="S24">
        <v>0</v>
      </c>
      <c r="T24">
        <v>0</v>
      </c>
      <c r="U24">
        <v>0.10662000000000001</v>
      </c>
      <c r="V24">
        <v>14.68684</v>
      </c>
      <c r="W24" t="s">
        <v>10</v>
      </c>
      <c r="X24">
        <v>70.471999999999994</v>
      </c>
      <c r="Y24">
        <v>286.33699999999999</v>
      </c>
      <c r="Z24">
        <v>0.54800000000000004</v>
      </c>
      <c r="AA24">
        <v>0</v>
      </c>
      <c r="AB24">
        <v>24.515000000000001</v>
      </c>
      <c r="AC24">
        <v>0</v>
      </c>
      <c r="AD24">
        <v>0</v>
      </c>
      <c r="AE24">
        <v>0</v>
      </c>
      <c r="AF24">
        <v>0</v>
      </c>
      <c r="AG24">
        <v>1.9810000000000001</v>
      </c>
      <c r="AH24">
        <v>383.85300000000001</v>
      </c>
      <c r="AI24" t="s">
        <v>22</v>
      </c>
      <c r="AJ24">
        <v>705</v>
      </c>
      <c r="AK24">
        <v>1547.5</v>
      </c>
      <c r="AL24">
        <v>55</v>
      </c>
      <c r="AM24">
        <v>0</v>
      </c>
      <c r="AN24">
        <v>22.5</v>
      </c>
      <c r="AO24">
        <v>0</v>
      </c>
      <c r="AP24">
        <v>0</v>
      </c>
      <c r="AQ24">
        <v>0</v>
      </c>
      <c r="AR24">
        <v>0</v>
      </c>
      <c r="AS24">
        <v>97.5</v>
      </c>
      <c r="AT24">
        <v>2427.5</v>
      </c>
      <c r="AU24" t="s">
        <v>34</v>
      </c>
    </row>
    <row r="25" spans="1:47" x14ac:dyDescent="0.2">
      <c r="A25">
        <v>1113</v>
      </c>
      <c r="B25" s="4" t="s">
        <v>933</v>
      </c>
      <c r="C25">
        <v>17</v>
      </c>
      <c r="D25" t="s">
        <v>308</v>
      </c>
      <c r="G25" t="str">
        <f t="shared" si="0"/>
        <v>PSEA200117NWC4A</v>
      </c>
      <c r="H25">
        <v>62.566000000000003</v>
      </c>
      <c r="I25">
        <v>-174.18100000000001</v>
      </c>
      <c r="J25" s="3">
        <v>20010321</v>
      </c>
      <c r="K25">
        <v>2001</v>
      </c>
      <c r="L25">
        <v>1.6757899999999999</v>
      </c>
      <c r="M25">
        <v>7.8983699999999999</v>
      </c>
      <c r="N25">
        <v>0.37457000000000001</v>
      </c>
      <c r="O25">
        <v>0</v>
      </c>
      <c r="P25">
        <v>0.39032</v>
      </c>
      <c r="Q25">
        <v>0</v>
      </c>
      <c r="R25">
        <v>0</v>
      </c>
      <c r="S25">
        <v>0</v>
      </c>
      <c r="T25">
        <v>0</v>
      </c>
      <c r="U25">
        <v>0.70408999999999999</v>
      </c>
      <c r="V25">
        <v>11.043139999999999</v>
      </c>
      <c r="W25" t="s">
        <v>10</v>
      </c>
      <c r="X25">
        <v>25.824999999999999</v>
      </c>
      <c r="Y25">
        <v>206.15799999999999</v>
      </c>
      <c r="Z25">
        <v>4.5819999999999999</v>
      </c>
      <c r="AA25">
        <v>0</v>
      </c>
      <c r="AB25">
        <v>27.88</v>
      </c>
      <c r="AC25">
        <v>0</v>
      </c>
      <c r="AD25">
        <v>0</v>
      </c>
      <c r="AE25">
        <v>0</v>
      </c>
      <c r="AF25">
        <v>0</v>
      </c>
      <c r="AG25">
        <v>12.263</v>
      </c>
      <c r="AH25">
        <v>276.70800000000003</v>
      </c>
      <c r="AI25" t="s">
        <v>22</v>
      </c>
      <c r="AJ25">
        <v>752.5</v>
      </c>
      <c r="AK25">
        <v>1867.5</v>
      </c>
      <c r="AL25">
        <v>130</v>
      </c>
      <c r="AM25">
        <v>0</v>
      </c>
      <c r="AN25">
        <v>35</v>
      </c>
      <c r="AO25">
        <v>0</v>
      </c>
      <c r="AP25">
        <v>0</v>
      </c>
      <c r="AQ25">
        <v>0</v>
      </c>
      <c r="AR25">
        <v>0</v>
      </c>
      <c r="AS25">
        <v>182.5</v>
      </c>
      <c r="AT25">
        <v>2967.5</v>
      </c>
      <c r="AU25" t="s">
        <v>34</v>
      </c>
    </row>
    <row r="26" spans="1:47" x14ac:dyDescent="0.2">
      <c r="A26">
        <v>1114</v>
      </c>
      <c r="B26" s="4" t="s">
        <v>933</v>
      </c>
      <c r="C26">
        <v>18</v>
      </c>
      <c r="D26" t="s">
        <v>301</v>
      </c>
      <c r="G26" t="str">
        <f t="shared" si="0"/>
        <v>PSEA200118NWC4</v>
      </c>
      <c r="H26">
        <v>62.4</v>
      </c>
      <c r="I26">
        <v>-174.578</v>
      </c>
      <c r="J26" s="3">
        <v>20010321</v>
      </c>
      <c r="K26">
        <v>2001</v>
      </c>
      <c r="L26">
        <v>1.52685</v>
      </c>
      <c r="M26">
        <v>13.03018</v>
      </c>
      <c r="N26">
        <v>0.63210999999999995</v>
      </c>
      <c r="O26">
        <v>0</v>
      </c>
      <c r="P26">
        <v>0.27089999999999997</v>
      </c>
      <c r="Q26">
        <v>0</v>
      </c>
      <c r="R26">
        <v>0</v>
      </c>
      <c r="S26">
        <v>0.38031999999999999</v>
      </c>
      <c r="T26">
        <v>0</v>
      </c>
      <c r="U26">
        <v>3.14E-3</v>
      </c>
      <c r="V26">
        <v>15.843500000000001</v>
      </c>
      <c r="W26" t="s">
        <v>10</v>
      </c>
      <c r="X26">
        <v>22.399000000000001</v>
      </c>
      <c r="Y26">
        <v>583.58900000000006</v>
      </c>
      <c r="Z26">
        <v>7.806</v>
      </c>
      <c r="AA26">
        <v>0</v>
      </c>
      <c r="AB26">
        <v>19.350000000000001</v>
      </c>
      <c r="AC26">
        <v>0</v>
      </c>
      <c r="AD26">
        <v>0</v>
      </c>
      <c r="AE26">
        <v>27.166</v>
      </c>
      <c r="AF26">
        <v>0</v>
      </c>
      <c r="AG26">
        <v>6.6000000000000003E-2</v>
      </c>
      <c r="AH26">
        <v>660.37599999999998</v>
      </c>
      <c r="AI26" t="s">
        <v>22</v>
      </c>
      <c r="AJ26">
        <v>520</v>
      </c>
      <c r="AK26">
        <v>427.5</v>
      </c>
      <c r="AL26">
        <v>195</v>
      </c>
      <c r="AM26">
        <v>0</v>
      </c>
      <c r="AN26">
        <v>10</v>
      </c>
      <c r="AO26">
        <v>0</v>
      </c>
      <c r="AP26">
        <v>0</v>
      </c>
      <c r="AQ26">
        <v>2.5</v>
      </c>
      <c r="AR26">
        <v>0</v>
      </c>
      <c r="AS26">
        <v>12.5</v>
      </c>
      <c r="AT26">
        <v>1167.5</v>
      </c>
      <c r="AU26" t="s">
        <v>33</v>
      </c>
    </row>
    <row r="27" spans="1:47" x14ac:dyDescent="0.2">
      <c r="A27">
        <v>1115</v>
      </c>
      <c r="B27" s="4" t="s">
        <v>933</v>
      </c>
      <c r="C27">
        <v>19</v>
      </c>
      <c r="D27" t="s">
        <v>229</v>
      </c>
      <c r="G27" t="str">
        <f t="shared" si="0"/>
        <v>PSEA200119VNG3</v>
      </c>
      <c r="H27">
        <v>62.56</v>
      </c>
      <c r="I27">
        <v>-173.839</v>
      </c>
      <c r="J27" s="3">
        <v>20010321</v>
      </c>
      <c r="K27">
        <v>2001</v>
      </c>
      <c r="L27">
        <v>2.8103600000000002</v>
      </c>
      <c r="M27">
        <v>7.8798000000000004</v>
      </c>
      <c r="N27">
        <v>0.23401</v>
      </c>
      <c r="O27">
        <v>0</v>
      </c>
      <c r="P27">
        <v>0.37540000000000001</v>
      </c>
      <c r="Q27">
        <v>0</v>
      </c>
      <c r="R27">
        <v>0</v>
      </c>
      <c r="S27">
        <v>0</v>
      </c>
      <c r="T27">
        <v>0.35182000000000002</v>
      </c>
      <c r="U27">
        <v>0.20985000000000001</v>
      </c>
      <c r="V27">
        <v>11.86124</v>
      </c>
      <c r="W27" t="s">
        <v>10</v>
      </c>
      <c r="X27">
        <v>50.061</v>
      </c>
      <c r="Y27">
        <v>240.82499999999999</v>
      </c>
      <c r="Z27">
        <v>2.907</v>
      </c>
      <c r="AA27">
        <v>0</v>
      </c>
      <c r="AB27">
        <v>26.814</v>
      </c>
      <c r="AC27">
        <v>0</v>
      </c>
      <c r="AD27">
        <v>0</v>
      </c>
      <c r="AE27">
        <v>0</v>
      </c>
      <c r="AF27">
        <v>3.7829999999999999</v>
      </c>
      <c r="AG27">
        <v>4.0860000000000003</v>
      </c>
      <c r="AH27">
        <v>328.476</v>
      </c>
      <c r="AI27" t="s">
        <v>22</v>
      </c>
      <c r="AJ27">
        <v>627.5</v>
      </c>
      <c r="AK27">
        <v>2250</v>
      </c>
      <c r="AL27">
        <v>130</v>
      </c>
      <c r="AM27">
        <v>0</v>
      </c>
      <c r="AN27">
        <v>30</v>
      </c>
      <c r="AO27">
        <v>0</v>
      </c>
      <c r="AP27">
        <v>0</v>
      </c>
      <c r="AQ27">
        <v>0</v>
      </c>
      <c r="AR27">
        <v>7.5</v>
      </c>
      <c r="AS27">
        <v>190</v>
      </c>
      <c r="AT27">
        <v>3235</v>
      </c>
      <c r="AU27" t="s">
        <v>34</v>
      </c>
    </row>
    <row r="28" spans="1:47" x14ac:dyDescent="0.2">
      <c r="A28">
        <v>1116</v>
      </c>
      <c r="B28" s="4" t="s">
        <v>933</v>
      </c>
      <c r="C28">
        <v>20</v>
      </c>
      <c r="D28" t="s">
        <v>242</v>
      </c>
      <c r="G28" t="str">
        <f t="shared" si="0"/>
        <v>PSEA200120VNG4</v>
      </c>
      <c r="H28">
        <v>62.758000000000003</v>
      </c>
      <c r="I28">
        <v>-173.42599999999999</v>
      </c>
      <c r="J28" s="3">
        <v>20010323</v>
      </c>
      <c r="K28">
        <v>2001</v>
      </c>
      <c r="L28">
        <v>3.2010800000000001</v>
      </c>
      <c r="M28">
        <v>22.271270000000001</v>
      </c>
      <c r="N28">
        <v>0.15617</v>
      </c>
      <c r="O28">
        <v>1.84198</v>
      </c>
      <c r="P28">
        <v>0.57938000000000001</v>
      </c>
      <c r="Q28">
        <v>0</v>
      </c>
      <c r="R28">
        <v>0</v>
      </c>
      <c r="S28">
        <v>0</v>
      </c>
      <c r="T28">
        <v>0.31118000000000001</v>
      </c>
      <c r="U28">
        <v>8.3110000000000003E-2</v>
      </c>
      <c r="V28">
        <v>28.44417</v>
      </c>
      <c r="W28" t="s">
        <v>10</v>
      </c>
      <c r="X28">
        <v>48.091000000000001</v>
      </c>
      <c r="Y28">
        <v>782.76099999999997</v>
      </c>
      <c r="Z28">
        <v>1.9690000000000001</v>
      </c>
      <c r="AA28">
        <v>40.933</v>
      </c>
      <c r="AB28">
        <v>41.384</v>
      </c>
      <c r="AC28">
        <v>0</v>
      </c>
      <c r="AD28">
        <v>0</v>
      </c>
      <c r="AE28">
        <v>0</v>
      </c>
      <c r="AF28">
        <v>3.3460000000000001</v>
      </c>
      <c r="AG28">
        <v>1.8560000000000001</v>
      </c>
      <c r="AH28">
        <v>920.34</v>
      </c>
      <c r="AI28" t="s">
        <v>22</v>
      </c>
      <c r="AJ28">
        <v>755</v>
      </c>
      <c r="AK28">
        <v>2060</v>
      </c>
      <c r="AL28">
        <v>272.5</v>
      </c>
      <c r="AM28">
        <v>2.5</v>
      </c>
      <c r="AN28">
        <v>35</v>
      </c>
      <c r="AO28">
        <v>0</v>
      </c>
      <c r="AP28">
        <v>0</v>
      </c>
      <c r="AQ28">
        <v>0</v>
      </c>
      <c r="AR28">
        <v>12.5</v>
      </c>
      <c r="AS28">
        <v>245</v>
      </c>
      <c r="AT28">
        <v>3382.5</v>
      </c>
      <c r="AU28" t="s">
        <v>34</v>
      </c>
    </row>
    <row r="29" spans="1:47" x14ac:dyDescent="0.2">
      <c r="A29">
        <v>1117</v>
      </c>
      <c r="B29" s="4" t="s">
        <v>933</v>
      </c>
      <c r="C29">
        <v>21</v>
      </c>
      <c r="D29" t="s">
        <v>249</v>
      </c>
      <c r="G29" t="str">
        <f t="shared" si="0"/>
        <v>PSEA200121VNG5</v>
      </c>
      <c r="H29">
        <v>62.970999999999997</v>
      </c>
      <c r="I29">
        <v>-172.999</v>
      </c>
      <c r="J29" s="3">
        <v>20010323</v>
      </c>
      <c r="K29">
        <v>2001</v>
      </c>
      <c r="L29">
        <v>0.57486999999999999</v>
      </c>
      <c r="M29">
        <v>38.738399999999999</v>
      </c>
      <c r="N29">
        <v>0.15026999999999999</v>
      </c>
      <c r="O29">
        <v>0</v>
      </c>
      <c r="P29">
        <v>1.12365</v>
      </c>
      <c r="Q29">
        <v>0</v>
      </c>
      <c r="R29">
        <v>0</v>
      </c>
      <c r="S29">
        <v>0</v>
      </c>
      <c r="T29">
        <v>1.2462</v>
      </c>
      <c r="U29">
        <v>0.90359</v>
      </c>
      <c r="V29">
        <v>42.736980000000003</v>
      </c>
      <c r="W29" t="s">
        <v>10</v>
      </c>
      <c r="X29">
        <v>9.0269999999999992</v>
      </c>
      <c r="Y29">
        <v>1228.2660000000001</v>
      </c>
      <c r="Z29">
        <v>1.843</v>
      </c>
      <c r="AA29">
        <v>0</v>
      </c>
      <c r="AB29">
        <v>80.260999999999996</v>
      </c>
      <c r="AC29">
        <v>0</v>
      </c>
      <c r="AD29">
        <v>0</v>
      </c>
      <c r="AE29">
        <v>0</v>
      </c>
      <c r="AF29">
        <v>13.4</v>
      </c>
      <c r="AG29">
        <v>40.109000000000002</v>
      </c>
      <c r="AH29">
        <v>1372.9059999999999</v>
      </c>
      <c r="AI29" t="s">
        <v>22</v>
      </c>
      <c r="AJ29">
        <v>255</v>
      </c>
      <c r="AK29">
        <v>2477.5</v>
      </c>
      <c r="AL29">
        <v>145</v>
      </c>
      <c r="AM29">
        <v>0</v>
      </c>
      <c r="AN29">
        <v>337.5</v>
      </c>
      <c r="AO29">
        <v>0</v>
      </c>
      <c r="AP29">
        <v>0</v>
      </c>
      <c r="AQ29">
        <v>0</v>
      </c>
      <c r="AR29">
        <v>2.5</v>
      </c>
      <c r="AS29">
        <v>50</v>
      </c>
      <c r="AT29">
        <v>3267.5</v>
      </c>
      <c r="AU29" t="s">
        <v>34</v>
      </c>
    </row>
    <row r="30" spans="1:47" x14ac:dyDescent="0.2">
      <c r="A30">
        <v>1118</v>
      </c>
      <c r="B30" s="4" t="s">
        <v>933</v>
      </c>
      <c r="C30">
        <v>22</v>
      </c>
      <c r="D30" t="s">
        <v>260</v>
      </c>
      <c r="G30" t="str">
        <f t="shared" si="0"/>
        <v>PSEA200122SWC2</v>
      </c>
      <c r="H30">
        <v>62.929000000000002</v>
      </c>
      <c r="I30">
        <v>-172.28899999999999</v>
      </c>
      <c r="J30" s="3">
        <v>20010323</v>
      </c>
      <c r="K30">
        <v>2001</v>
      </c>
      <c r="L30">
        <v>4.6563699999999999</v>
      </c>
      <c r="M30">
        <v>9.2333700000000007</v>
      </c>
      <c r="N30">
        <v>1.5112000000000001</v>
      </c>
      <c r="O30">
        <v>0</v>
      </c>
      <c r="P30">
        <v>0.47736000000000001</v>
      </c>
      <c r="Q30">
        <v>0</v>
      </c>
      <c r="R30">
        <v>0</v>
      </c>
      <c r="S30">
        <v>0.12583</v>
      </c>
      <c r="T30">
        <v>0.17568</v>
      </c>
      <c r="U30">
        <v>0.10639999999999999</v>
      </c>
      <c r="V30">
        <v>16.286210000000001</v>
      </c>
      <c r="W30" t="s">
        <v>10</v>
      </c>
      <c r="X30">
        <v>95.983000000000004</v>
      </c>
      <c r="Y30">
        <v>294.89400000000001</v>
      </c>
      <c r="Z30">
        <v>18.43</v>
      </c>
      <c r="AA30">
        <v>0</v>
      </c>
      <c r="AB30">
        <v>34.097000000000001</v>
      </c>
      <c r="AC30">
        <v>0</v>
      </c>
      <c r="AD30">
        <v>0</v>
      </c>
      <c r="AE30">
        <v>8.9879999999999995</v>
      </c>
      <c r="AF30">
        <v>1.889</v>
      </c>
      <c r="AG30">
        <v>2.794</v>
      </c>
      <c r="AH30">
        <v>457.07499999999999</v>
      </c>
      <c r="AI30" t="s">
        <v>22</v>
      </c>
      <c r="AJ30">
        <v>915</v>
      </c>
      <c r="AK30">
        <v>1677.5</v>
      </c>
      <c r="AL30">
        <v>2235</v>
      </c>
      <c r="AM30">
        <v>0</v>
      </c>
      <c r="AN30">
        <v>20</v>
      </c>
      <c r="AO30">
        <v>0</v>
      </c>
      <c r="AP30">
        <v>0</v>
      </c>
      <c r="AQ30">
        <v>7.5</v>
      </c>
      <c r="AR30">
        <v>7.5</v>
      </c>
      <c r="AS30">
        <v>177.5</v>
      </c>
      <c r="AT30">
        <v>5040</v>
      </c>
      <c r="AU30" t="s">
        <v>35</v>
      </c>
    </row>
    <row r="31" spans="1:47" x14ac:dyDescent="0.2">
      <c r="A31">
        <v>1119</v>
      </c>
      <c r="B31" s="4" t="s">
        <v>933</v>
      </c>
      <c r="C31">
        <v>23</v>
      </c>
      <c r="D31" t="s">
        <v>250</v>
      </c>
      <c r="G31" t="str">
        <f t="shared" si="0"/>
        <v>PSEA200123SWC3A</v>
      </c>
      <c r="H31">
        <v>62.756</v>
      </c>
      <c r="I31">
        <v>-172.714</v>
      </c>
      <c r="J31" s="3">
        <v>20010323</v>
      </c>
      <c r="K31">
        <v>2001</v>
      </c>
      <c r="L31">
        <v>2.3942100000000002</v>
      </c>
      <c r="M31">
        <v>17.915320000000001</v>
      </c>
      <c r="N31">
        <v>0.11631</v>
      </c>
      <c r="O31">
        <v>0</v>
      </c>
      <c r="P31">
        <v>0.18309</v>
      </c>
      <c r="Q31">
        <v>0</v>
      </c>
      <c r="R31">
        <v>0</v>
      </c>
      <c r="S31">
        <v>0</v>
      </c>
      <c r="T31">
        <v>0.20394999999999999</v>
      </c>
      <c r="U31">
        <v>4.5379999999999997E-2</v>
      </c>
      <c r="V31">
        <v>20.858260000000001</v>
      </c>
      <c r="W31" t="s">
        <v>10</v>
      </c>
      <c r="X31">
        <v>47.664999999999999</v>
      </c>
      <c r="Y31">
        <v>538.50400000000002</v>
      </c>
      <c r="Z31">
        <v>1.4219999999999999</v>
      </c>
      <c r="AA31">
        <v>0</v>
      </c>
      <c r="AB31">
        <v>13.077999999999999</v>
      </c>
      <c r="AC31">
        <v>0</v>
      </c>
      <c r="AD31">
        <v>0</v>
      </c>
      <c r="AE31">
        <v>0</v>
      </c>
      <c r="AF31">
        <v>2.1930000000000001</v>
      </c>
      <c r="AG31">
        <v>0.83099999999999996</v>
      </c>
      <c r="AH31">
        <v>603.69299999999998</v>
      </c>
      <c r="AI31" t="s">
        <v>22</v>
      </c>
      <c r="AJ31">
        <v>537.5</v>
      </c>
      <c r="AK31">
        <v>2700</v>
      </c>
      <c r="AL31">
        <v>250</v>
      </c>
      <c r="AM31">
        <v>0</v>
      </c>
      <c r="AN31">
        <v>17.5</v>
      </c>
      <c r="AO31">
        <v>0</v>
      </c>
      <c r="AP31">
        <v>0</v>
      </c>
      <c r="AQ31">
        <v>0</v>
      </c>
      <c r="AR31">
        <v>0</v>
      </c>
      <c r="AS31">
        <v>302.5</v>
      </c>
      <c r="AT31">
        <v>3807.5</v>
      </c>
      <c r="AU31" t="s">
        <v>34</v>
      </c>
    </row>
    <row r="32" spans="1:47" x14ac:dyDescent="0.2">
      <c r="A32">
        <v>1120</v>
      </c>
      <c r="B32" s="4" t="s">
        <v>933</v>
      </c>
      <c r="C32">
        <v>24</v>
      </c>
      <c r="D32" t="s">
        <v>238</v>
      </c>
      <c r="G32" t="str">
        <f t="shared" si="0"/>
        <v>PSEA200124SWC3</v>
      </c>
      <c r="H32">
        <v>62.582000000000001</v>
      </c>
      <c r="I32">
        <v>-173.06899999999999</v>
      </c>
      <c r="J32" s="3">
        <v>20010323</v>
      </c>
      <c r="K32">
        <v>2001</v>
      </c>
      <c r="L32">
        <v>1.1698999999999999</v>
      </c>
      <c r="M32">
        <v>12.387589999999999</v>
      </c>
      <c r="N32">
        <v>0.16514999999999999</v>
      </c>
      <c r="O32">
        <v>0</v>
      </c>
      <c r="P32">
        <v>0.29633999999999999</v>
      </c>
      <c r="Q32">
        <v>0</v>
      </c>
      <c r="R32">
        <v>0</v>
      </c>
      <c r="S32">
        <v>0</v>
      </c>
      <c r="T32">
        <v>4.0899999999999999E-3</v>
      </c>
      <c r="U32">
        <v>6.8390000000000006E-2</v>
      </c>
      <c r="V32">
        <v>14.09146</v>
      </c>
      <c r="W32" t="s">
        <v>10</v>
      </c>
      <c r="X32">
        <v>17.808</v>
      </c>
      <c r="Y32">
        <v>371.40899999999999</v>
      </c>
      <c r="Z32">
        <v>1.9710000000000001</v>
      </c>
      <c r="AA32">
        <v>0</v>
      </c>
      <c r="AB32">
        <v>21.167000000000002</v>
      </c>
      <c r="AC32">
        <v>0</v>
      </c>
      <c r="AD32">
        <v>0</v>
      </c>
      <c r="AE32">
        <v>0</v>
      </c>
      <c r="AF32">
        <v>4.3999999999999997E-2</v>
      </c>
      <c r="AG32">
        <v>1.502</v>
      </c>
      <c r="AH32">
        <v>413.90100000000001</v>
      </c>
      <c r="AI32" t="s">
        <v>22</v>
      </c>
      <c r="AJ32">
        <v>385</v>
      </c>
      <c r="AK32">
        <v>925</v>
      </c>
      <c r="AL32">
        <v>295</v>
      </c>
      <c r="AM32">
        <v>0</v>
      </c>
      <c r="AN32">
        <v>32.5</v>
      </c>
      <c r="AO32">
        <v>0</v>
      </c>
      <c r="AP32">
        <v>0</v>
      </c>
      <c r="AQ32">
        <v>0</v>
      </c>
      <c r="AR32">
        <v>0</v>
      </c>
      <c r="AS32">
        <v>135</v>
      </c>
      <c r="AT32">
        <v>1772.5</v>
      </c>
      <c r="AU32" t="s">
        <v>34</v>
      </c>
    </row>
    <row r="33" spans="1:47" x14ac:dyDescent="0.2">
      <c r="A33">
        <v>1121</v>
      </c>
      <c r="B33" s="4" t="s">
        <v>933</v>
      </c>
      <c r="C33">
        <v>25</v>
      </c>
      <c r="D33" t="s">
        <v>237</v>
      </c>
      <c r="G33" t="str">
        <f t="shared" si="0"/>
        <v>PSEA200125SWC4A</v>
      </c>
      <c r="H33">
        <v>62.417000000000002</v>
      </c>
      <c r="I33">
        <v>-173.434</v>
      </c>
      <c r="J33" s="3">
        <v>20010324</v>
      </c>
      <c r="K33">
        <v>2001</v>
      </c>
      <c r="L33">
        <v>3.2873800000000002</v>
      </c>
      <c r="M33">
        <v>13.163650000000001</v>
      </c>
      <c r="N33">
        <v>7.2090000000000001E-2</v>
      </c>
      <c r="O33">
        <v>0</v>
      </c>
      <c r="P33">
        <v>0.34947</v>
      </c>
      <c r="Q33">
        <v>0</v>
      </c>
      <c r="R33">
        <v>0</v>
      </c>
      <c r="S33">
        <v>1.4290000000000001E-2</v>
      </c>
      <c r="T33">
        <v>8.788E-2</v>
      </c>
      <c r="U33">
        <v>0.22558</v>
      </c>
      <c r="V33">
        <v>17.200340000000001</v>
      </c>
      <c r="W33" t="s">
        <v>10</v>
      </c>
      <c r="X33">
        <v>54.981999999999999</v>
      </c>
      <c r="Y33">
        <v>392.65</v>
      </c>
      <c r="Z33">
        <v>0.90700000000000003</v>
      </c>
      <c r="AA33">
        <v>0</v>
      </c>
      <c r="AB33">
        <v>24.962</v>
      </c>
      <c r="AC33">
        <v>0</v>
      </c>
      <c r="AD33">
        <v>0</v>
      </c>
      <c r="AE33">
        <v>1.0209999999999999</v>
      </c>
      <c r="AF33">
        <v>0.94499999999999995</v>
      </c>
      <c r="AG33">
        <v>4.3979999999999997</v>
      </c>
      <c r="AH33">
        <v>479.86500000000001</v>
      </c>
      <c r="AI33" t="s">
        <v>22</v>
      </c>
      <c r="AJ33">
        <v>760</v>
      </c>
      <c r="AK33">
        <v>2655</v>
      </c>
      <c r="AL33">
        <v>207.5</v>
      </c>
      <c r="AM33">
        <v>0</v>
      </c>
      <c r="AN33">
        <v>10</v>
      </c>
      <c r="AO33">
        <v>0</v>
      </c>
      <c r="AP33">
        <v>0</v>
      </c>
      <c r="AQ33">
        <v>20</v>
      </c>
      <c r="AR33">
        <v>0</v>
      </c>
      <c r="AS33">
        <v>150</v>
      </c>
      <c r="AT33">
        <v>3802.5</v>
      </c>
      <c r="AU33" t="s">
        <v>34</v>
      </c>
    </row>
    <row r="34" spans="1:47" x14ac:dyDescent="0.2">
      <c r="A34">
        <v>1122</v>
      </c>
      <c r="B34" s="4" t="s">
        <v>933</v>
      </c>
      <c r="C34">
        <v>26</v>
      </c>
      <c r="D34" t="s">
        <v>549</v>
      </c>
      <c r="G34" t="str">
        <f t="shared" si="0"/>
        <v>PSEA200126NWC4A1</v>
      </c>
      <c r="H34">
        <v>62.325000000000003</v>
      </c>
      <c r="I34">
        <v>-174.184</v>
      </c>
      <c r="J34" s="3">
        <v>20010324</v>
      </c>
      <c r="K34">
        <v>2001</v>
      </c>
      <c r="L34">
        <v>2.06691</v>
      </c>
      <c r="M34">
        <v>5.2586000000000004</v>
      </c>
      <c r="N34">
        <v>0.77749000000000001</v>
      </c>
      <c r="O34">
        <v>0</v>
      </c>
      <c r="P34">
        <v>0.36886999999999998</v>
      </c>
      <c r="Q34">
        <v>0</v>
      </c>
      <c r="R34">
        <v>0</v>
      </c>
      <c r="S34">
        <v>0</v>
      </c>
      <c r="T34">
        <v>0</v>
      </c>
      <c r="U34">
        <v>1.005E-2</v>
      </c>
      <c r="V34">
        <v>8.4819200000000006</v>
      </c>
      <c r="W34" t="s">
        <v>10</v>
      </c>
      <c r="X34">
        <v>28.431999999999999</v>
      </c>
      <c r="Y34">
        <v>167.92599999999999</v>
      </c>
      <c r="Z34">
        <v>9.7629999999999999</v>
      </c>
      <c r="AA34">
        <v>0</v>
      </c>
      <c r="AB34">
        <v>26.347999999999999</v>
      </c>
      <c r="AC34">
        <v>0</v>
      </c>
      <c r="AD34">
        <v>0</v>
      </c>
      <c r="AE34">
        <v>0</v>
      </c>
      <c r="AF34">
        <v>0</v>
      </c>
      <c r="AG34">
        <v>0.20899999999999999</v>
      </c>
      <c r="AH34">
        <v>232.678</v>
      </c>
      <c r="AI34" t="s">
        <v>22</v>
      </c>
      <c r="AJ34">
        <v>622.5</v>
      </c>
      <c r="AK34">
        <v>277.5</v>
      </c>
      <c r="AL34">
        <v>615</v>
      </c>
      <c r="AM34">
        <v>0</v>
      </c>
      <c r="AN34">
        <v>20</v>
      </c>
      <c r="AO34">
        <v>0</v>
      </c>
      <c r="AP34">
        <v>0</v>
      </c>
      <c r="AQ34">
        <v>0</v>
      </c>
      <c r="AR34">
        <v>0</v>
      </c>
      <c r="AS34">
        <v>30</v>
      </c>
      <c r="AT34">
        <v>1565</v>
      </c>
      <c r="AU34" t="s">
        <v>33</v>
      </c>
    </row>
    <row r="35" spans="1:47" x14ac:dyDescent="0.2">
      <c r="A35">
        <v>1123</v>
      </c>
      <c r="B35" s="4" t="s">
        <v>933</v>
      </c>
      <c r="C35">
        <v>27</v>
      </c>
      <c r="D35" t="s">
        <v>231</v>
      </c>
      <c r="G35" t="str">
        <f t="shared" si="0"/>
        <v>PSEA200127SWC4</v>
      </c>
      <c r="H35">
        <v>62.250999999999998</v>
      </c>
      <c r="I35">
        <v>-173.73599999999999</v>
      </c>
      <c r="J35" s="3">
        <v>20010324</v>
      </c>
      <c r="K35">
        <v>2001</v>
      </c>
      <c r="L35">
        <v>4.3034400000000002</v>
      </c>
      <c r="M35">
        <v>1.94398</v>
      </c>
      <c r="N35">
        <v>0.84377000000000002</v>
      </c>
      <c r="O35">
        <v>0</v>
      </c>
      <c r="P35">
        <v>0.76312999999999998</v>
      </c>
      <c r="Q35">
        <v>0</v>
      </c>
      <c r="R35">
        <v>0</v>
      </c>
      <c r="S35">
        <v>0</v>
      </c>
      <c r="T35">
        <v>2.6880000000000001E-2</v>
      </c>
      <c r="U35">
        <v>4.5240000000000002E-2</v>
      </c>
      <c r="V35">
        <v>7.9264400000000004</v>
      </c>
      <c r="W35" t="s">
        <v>9</v>
      </c>
      <c r="X35">
        <v>61.293999999999997</v>
      </c>
      <c r="Y35">
        <v>52.274000000000001</v>
      </c>
      <c r="Z35">
        <v>11.353</v>
      </c>
      <c r="AA35">
        <v>0</v>
      </c>
      <c r="AB35">
        <v>54.509</v>
      </c>
      <c r="AC35">
        <v>0</v>
      </c>
      <c r="AD35">
        <v>0</v>
      </c>
      <c r="AE35">
        <v>0</v>
      </c>
      <c r="AF35">
        <v>0.28899999999999998</v>
      </c>
      <c r="AG35">
        <v>0.749</v>
      </c>
      <c r="AH35">
        <v>180.46799999999999</v>
      </c>
      <c r="AI35" t="s">
        <v>21</v>
      </c>
      <c r="AJ35">
        <v>1212.5</v>
      </c>
      <c r="AK35">
        <v>820</v>
      </c>
      <c r="AL35">
        <v>2440</v>
      </c>
      <c r="AM35">
        <v>0</v>
      </c>
      <c r="AN35">
        <v>12.5</v>
      </c>
      <c r="AO35">
        <v>0</v>
      </c>
      <c r="AP35">
        <v>0</v>
      </c>
      <c r="AQ35">
        <v>0</v>
      </c>
      <c r="AR35">
        <v>0</v>
      </c>
      <c r="AS35">
        <v>327.5</v>
      </c>
      <c r="AT35">
        <v>4812.5</v>
      </c>
      <c r="AU35" t="s">
        <v>35</v>
      </c>
    </row>
    <row r="36" spans="1:47" x14ac:dyDescent="0.2">
      <c r="A36">
        <v>1124</v>
      </c>
      <c r="B36" s="4" t="s">
        <v>933</v>
      </c>
      <c r="C36">
        <v>28</v>
      </c>
      <c r="D36" t="s">
        <v>261</v>
      </c>
      <c r="G36" t="str">
        <f t="shared" si="0"/>
        <v>PSEA200128SWC5</v>
      </c>
      <c r="H36">
        <v>61.886000000000003</v>
      </c>
      <c r="I36">
        <v>-174.376</v>
      </c>
      <c r="J36" s="3">
        <v>20010324</v>
      </c>
      <c r="K36">
        <v>2001</v>
      </c>
      <c r="L36">
        <v>2.46224</v>
      </c>
      <c r="M36">
        <v>12.627689999999999</v>
      </c>
      <c r="N36">
        <v>0.58421000000000001</v>
      </c>
      <c r="O36">
        <v>0</v>
      </c>
      <c r="P36">
        <v>0.36227999999999999</v>
      </c>
      <c r="Q36">
        <v>0</v>
      </c>
      <c r="R36">
        <v>0</v>
      </c>
      <c r="S36">
        <v>0</v>
      </c>
      <c r="T36">
        <v>2.5943299999999998</v>
      </c>
      <c r="U36">
        <v>0.12894</v>
      </c>
      <c r="V36">
        <v>18.759689999999999</v>
      </c>
      <c r="W36" t="s">
        <v>10</v>
      </c>
      <c r="X36">
        <v>35.286000000000001</v>
      </c>
      <c r="Y36">
        <v>337.09399999999999</v>
      </c>
      <c r="Z36">
        <v>8.2200000000000006</v>
      </c>
      <c r="AA36">
        <v>0</v>
      </c>
      <c r="AB36">
        <v>25.876999999999999</v>
      </c>
      <c r="AC36">
        <v>0</v>
      </c>
      <c r="AD36">
        <v>0</v>
      </c>
      <c r="AE36">
        <v>0</v>
      </c>
      <c r="AF36">
        <v>27.896000000000001</v>
      </c>
      <c r="AG36">
        <v>2.1720000000000002</v>
      </c>
      <c r="AH36">
        <v>436.54500000000002</v>
      </c>
      <c r="AI36" t="s">
        <v>22</v>
      </c>
      <c r="AJ36">
        <v>375</v>
      </c>
      <c r="AK36">
        <v>415</v>
      </c>
      <c r="AL36">
        <v>1445</v>
      </c>
      <c r="AM36">
        <v>0</v>
      </c>
      <c r="AN36">
        <v>10</v>
      </c>
      <c r="AO36">
        <v>0</v>
      </c>
      <c r="AP36">
        <v>0</v>
      </c>
      <c r="AQ36">
        <v>0</v>
      </c>
      <c r="AR36">
        <v>10</v>
      </c>
      <c r="AS36">
        <v>197.5</v>
      </c>
      <c r="AT36">
        <v>2452.5</v>
      </c>
      <c r="AU36" t="s">
        <v>35</v>
      </c>
    </row>
    <row r="37" spans="1:47" x14ac:dyDescent="0.2">
      <c r="A37">
        <v>1125</v>
      </c>
      <c r="B37" s="4" t="s">
        <v>933</v>
      </c>
      <c r="C37">
        <v>29</v>
      </c>
      <c r="D37" t="s">
        <v>251</v>
      </c>
      <c r="G37" t="str">
        <f t="shared" si="0"/>
        <v>PSEA200129SIL5</v>
      </c>
      <c r="H37">
        <v>61.718000000000004</v>
      </c>
      <c r="I37">
        <v>-173.608</v>
      </c>
      <c r="J37" s="3">
        <v>20010325</v>
      </c>
      <c r="K37">
        <v>2001</v>
      </c>
      <c r="L37">
        <v>1.6456999999999999</v>
      </c>
      <c r="M37">
        <v>4.6254900000000001</v>
      </c>
      <c r="N37">
        <v>0.37528</v>
      </c>
      <c r="O37">
        <v>0</v>
      </c>
      <c r="P37">
        <v>0.45568999999999998</v>
      </c>
      <c r="Q37">
        <v>0</v>
      </c>
      <c r="R37">
        <v>0</v>
      </c>
      <c r="S37">
        <v>0</v>
      </c>
      <c r="T37">
        <v>0.62012</v>
      </c>
      <c r="U37">
        <v>3.8089999999999999E-2</v>
      </c>
      <c r="V37">
        <v>7.76037</v>
      </c>
      <c r="W37" t="s">
        <v>10</v>
      </c>
      <c r="X37">
        <v>23.611000000000001</v>
      </c>
      <c r="Y37">
        <v>155.93299999999999</v>
      </c>
      <c r="Z37">
        <v>5.1829999999999998</v>
      </c>
      <c r="AA37">
        <v>0</v>
      </c>
      <c r="AB37">
        <v>32.548999999999999</v>
      </c>
      <c r="AC37">
        <v>0</v>
      </c>
      <c r="AD37">
        <v>0</v>
      </c>
      <c r="AE37">
        <v>0</v>
      </c>
      <c r="AF37">
        <v>6.6680000000000001</v>
      </c>
      <c r="AG37">
        <v>0.68400000000000005</v>
      </c>
      <c r="AH37">
        <v>224.62799999999999</v>
      </c>
      <c r="AI37" t="s">
        <v>22</v>
      </c>
      <c r="AJ37">
        <v>260</v>
      </c>
      <c r="AK37">
        <v>1850</v>
      </c>
      <c r="AL37">
        <v>1157.5</v>
      </c>
      <c r="AM37">
        <v>0</v>
      </c>
      <c r="AN37">
        <v>7.5</v>
      </c>
      <c r="AO37">
        <v>0</v>
      </c>
      <c r="AP37">
        <v>0</v>
      </c>
      <c r="AQ37">
        <v>0</v>
      </c>
      <c r="AR37">
        <v>2.5</v>
      </c>
      <c r="AS37">
        <v>165</v>
      </c>
      <c r="AT37">
        <v>3442.5</v>
      </c>
      <c r="AU37" t="s">
        <v>34</v>
      </c>
    </row>
    <row r="38" spans="1:47" x14ac:dyDescent="0.2">
      <c r="A38">
        <v>1126</v>
      </c>
      <c r="B38" s="4" t="s">
        <v>933</v>
      </c>
      <c r="C38">
        <v>30</v>
      </c>
      <c r="D38" t="s">
        <v>232</v>
      </c>
      <c r="G38" t="str">
        <f t="shared" si="0"/>
        <v>PSEA200130SIL4</v>
      </c>
      <c r="H38">
        <v>62.085999999999999</v>
      </c>
      <c r="I38">
        <v>-172.94800000000001</v>
      </c>
      <c r="J38" s="3">
        <v>20010325</v>
      </c>
      <c r="K38">
        <v>2001</v>
      </c>
      <c r="L38">
        <v>4.26403</v>
      </c>
      <c r="M38">
        <v>3.5946400000000001</v>
      </c>
      <c r="N38">
        <v>2.7896999999999998</v>
      </c>
      <c r="O38">
        <v>0</v>
      </c>
      <c r="P38">
        <v>6.0000000000000002E-5</v>
      </c>
      <c r="Q38">
        <v>0</v>
      </c>
      <c r="R38">
        <v>0</v>
      </c>
      <c r="S38">
        <v>0</v>
      </c>
      <c r="T38">
        <v>0.76158000000000003</v>
      </c>
      <c r="U38">
        <v>0.53049000000000002</v>
      </c>
      <c r="V38">
        <v>11.9405</v>
      </c>
      <c r="W38" t="s">
        <v>9</v>
      </c>
      <c r="X38">
        <v>57.006</v>
      </c>
      <c r="Y38">
        <v>98.244</v>
      </c>
      <c r="Z38">
        <v>40.585000000000001</v>
      </c>
      <c r="AA38">
        <v>0</v>
      </c>
      <c r="AB38">
        <v>4.0000000000000001E-3</v>
      </c>
      <c r="AC38">
        <v>0</v>
      </c>
      <c r="AD38">
        <v>0</v>
      </c>
      <c r="AE38">
        <v>0</v>
      </c>
      <c r="AF38">
        <v>8.1890000000000001</v>
      </c>
      <c r="AG38">
        <v>8.6329999999999991</v>
      </c>
      <c r="AH38">
        <v>212.661</v>
      </c>
      <c r="AI38" t="s">
        <v>22</v>
      </c>
      <c r="AJ38">
        <v>815</v>
      </c>
      <c r="AK38">
        <v>1020</v>
      </c>
      <c r="AL38">
        <v>3625</v>
      </c>
      <c r="AM38">
        <v>0</v>
      </c>
      <c r="AN38">
        <v>5</v>
      </c>
      <c r="AO38">
        <v>0</v>
      </c>
      <c r="AP38">
        <v>0</v>
      </c>
      <c r="AQ38">
        <v>0</v>
      </c>
      <c r="AR38">
        <v>27.5</v>
      </c>
      <c r="AS38">
        <v>200</v>
      </c>
      <c r="AT38">
        <v>5692.5</v>
      </c>
      <c r="AU38" t="s">
        <v>35</v>
      </c>
    </row>
    <row r="39" spans="1:47" x14ac:dyDescent="0.2">
      <c r="A39">
        <v>1127</v>
      </c>
      <c r="B39" s="4" t="s">
        <v>933</v>
      </c>
      <c r="C39">
        <v>31</v>
      </c>
      <c r="D39" t="s">
        <v>236</v>
      </c>
      <c r="G39" t="str">
        <f t="shared" si="0"/>
        <v>PSEA200131POP4</v>
      </c>
      <c r="H39">
        <v>62.405999999999999</v>
      </c>
      <c r="I39">
        <v>-172.691</v>
      </c>
      <c r="J39" s="3">
        <v>20010325</v>
      </c>
      <c r="K39">
        <v>2001</v>
      </c>
      <c r="L39">
        <v>5.8117400000000004</v>
      </c>
      <c r="M39">
        <v>19.552040000000002</v>
      </c>
      <c r="N39">
        <v>0.16528999999999999</v>
      </c>
      <c r="O39">
        <v>0</v>
      </c>
      <c r="P39">
        <v>0.38479999999999998</v>
      </c>
      <c r="Q39">
        <v>0</v>
      </c>
      <c r="R39">
        <v>0</v>
      </c>
      <c r="S39">
        <v>0</v>
      </c>
      <c r="T39">
        <v>0.63937999999999995</v>
      </c>
      <c r="U39">
        <v>7.739E-2</v>
      </c>
      <c r="V39">
        <v>26.63064</v>
      </c>
      <c r="W39" t="s">
        <v>10</v>
      </c>
      <c r="X39">
        <v>87.581999999999994</v>
      </c>
      <c r="Y39">
        <v>660.11900000000003</v>
      </c>
      <c r="Z39">
        <v>2.2759999999999998</v>
      </c>
      <c r="AA39">
        <v>0</v>
      </c>
      <c r="AB39">
        <v>27.486000000000001</v>
      </c>
      <c r="AC39">
        <v>0</v>
      </c>
      <c r="AD39">
        <v>0</v>
      </c>
      <c r="AE39">
        <v>0</v>
      </c>
      <c r="AF39">
        <v>6.875</v>
      </c>
      <c r="AG39">
        <v>1.5449999999999999</v>
      </c>
      <c r="AH39">
        <v>785.88300000000004</v>
      </c>
      <c r="AI39" t="s">
        <v>22</v>
      </c>
      <c r="AJ39">
        <v>507.5</v>
      </c>
      <c r="AK39">
        <v>3297.5</v>
      </c>
      <c r="AL39">
        <v>527.5</v>
      </c>
      <c r="AM39">
        <v>0</v>
      </c>
      <c r="AN39">
        <v>7.5</v>
      </c>
      <c r="AO39">
        <v>0</v>
      </c>
      <c r="AP39">
        <v>0</v>
      </c>
      <c r="AQ39">
        <v>0</v>
      </c>
      <c r="AR39">
        <v>2.5</v>
      </c>
      <c r="AS39">
        <v>140</v>
      </c>
      <c r="AT39">
        <v>4482.5</v>
      </c>
      <c r="AU39" t="s">
        <v>34</v>
      </c>
    </row>
    <row r="40" spans="1:47" x14ac:dyDescent="0.2">
      <c r="A40">
        <v>1128</v>
      </c>
      <c r="B40" s="4" t="s">
        <v>933</v>
      </c>
      <c r="C40">
        <v>32</v>
      </c>
      <c r="D40" t="s">
        <v>235</v>
      </c>
      <c r="G40" t="str">
        <f t="shared" si="0"/>
        <v>PSEA200132SIL3</v>
      </c>
      <c r="H40">
        <v>62.436</v>
      </c>
      <c r="I40">
        <v>-172.31</v>
      </c>
      <c r="J40" s="3">
        <v>20010325</v>
      </c>
      <c r="K40">
        <v>2001</v>
      </c>
      <c r="L40">
        <v>1.2785899999999999</v>
      </c>
      <c r="M40">
        <v>1.2386999999999999</v>
      </c>
      <c r="N40">
        <v>0.57806000000000002</v>
      </c>
      <c r="O40">
        <v>0</v>
      </c>
      <c r="P40">
        <v>8.4000000000000003E-4</v>
      </c>
      <c r="Q40">
        <v>0</v>
      </c>
      <c r="R40">
        <v>0</v>
      </c>
      <c r="S40">
        <v>0</v>
      </c>
      <c r="T40">
        <v>0.24031</v>
      </c>
      <c r="U40">
        <v>2.2079999999999999E-2</v>
      </c>
      <c r="V40">
        <v>3.3585799999999999</v>
      </c>
      <c r="W40" t="s">
        <v>9</v>
      </c>
      <c r="X40">
        <v>19.376000000000001</v>
      </c>
      <c r="Y40">
        <v>32.594999999999999</v>
      </c>
      <c r="Z40">
        <v>8.3219999999999992</v>
      </c>
      <c r="AA40">
        <v>0</v>
      </c>
      <c r="AB40">
        <v>0.06</v>
      </c>
      <c r="AC40">
        <v>0</v>
      </c>
      <c r="AD40">
        <v>0</v>
      </c>
      <c r="AE40">
        <v>0</v>
      </c>
      <c r="AF40">
        <v>2.5840000000000001</v>
      </c>
      <c r="AG40">
        <v>0.35599999999999998</v>
      </c>
      <c r="AH40">
        <v>63.292999999999999</v>
      </c>
      <c r="AI40" t="s">
        <v>22</v>
      </c>
      <c r="AJ40">
        <v>442.5</v>
      </c>
      <c r="AK40">
        <v>1397.5</v>
      </c>
      <c r="AL40">
        <v>2217.5</v>
      </c>
      <c r="AM40">
        <v>0</v>
      </c>
      <c r="AN40">
        <v>5</v>
      </c>
      <c r="AO40">
        <v>0</v>
      </c>
      <c r="AP40">
        <v>0</v>
      </c>
      <c r="AQ40">
        <v>0</v>
      </c>
      <c r="AR40">
        <v>5</v>
      </c>
      <c r="AS40">
        <v>80</v>
      </c>
      <c r="AT40">
        <v>4147.5</v>
      </c>
      <c r="AU40" t="s">
        <v>35</v>
      </c>
    </row>
    <row r="41" spans="1:47" x14ac:dyDescent="0.2">
      <c r="A41">
        <v>1129</v>
      </c>
      <c r="B41" s="4" t="s">
        <v>933</v>
      </c>
      <c r="C41">
        <v>33</v>
      </c>
      <c r="D41" t="s">
        <v>252</v>
      </c>
      <c r="G41" t="str">
        <f t="shared" si="0"/>
        <v>PSEA200133POP3A</v>
      </c>
      <c r="H41">
        <v>62.567999999999998</v>
      </c>
      <c r="I41">
        <v>-172.303</v>
      </c>
      <c r="J41" s="3">
        <v>20010325</v>
      </c>
      <c r="K41">
        <v>2001</v>
      </c>
      <c r="L41">
        <v>1.1508400000000001</v>
      </c>
      <c r="M41">
        <v>1.1853499999999999</v>
      </c>
      <c r="N41">
        <v>0.11441999999999999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2.1950000000000001E-2</v>
      </c>
      <c r="V41">
        <v>2.4725600000000001</v>
      </c>
      <c r="W41" t="s">
        <v>10</v>
      </c>
      <c r="X41">
        <v>16.803999999999998</v>
      </c>
      <c r="Y41">
        <v>50.652999999999999</v>
      </c>
      <c r="Z41">
        <v>1.5189999999999999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0.35399999999999998</v>
      </c>
      <c r="AH41">
        <v>69.33</v>
      </c>
      <c r="AI41" t="s">
        <v>22</v>
      </c>
      <c r="AJ41">
        <v>435</v>
      </c>
      <c r="AK41">
        <v>972.5</v>
      </c>
      <c r="AL41">
        <v>1172.5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40</v>
      </c>
      <c r="AT41">
        <v>2620</v>
      </c>
      <c r="AU41" t="s">
        <v>35</v>
      </c>
    </row>
    <row r="42" spans="1:47" x14ac:dyDescent="0.2">
      <c r="A42">
        <v>1130</v>
      </c>
      <c r="B42" s="4" t="s">
        <v>933</v>
      </c>
      <c r="C42">
        <v>34</v>
      </c>
      <c r="D42" t="s">
        <v>259</v>
      </c>
      <c r="G42" t="str">
        <f t="shared" si="0"/>
        <v>PSEA200134SIL2</v>
      </c>
      <c r="H42">
        <v>62.762</v>
      </c>
      <c r="I42">
        <v>-171.661</v>
      </c>
      <c r="J42" s="3">
        <v>20010327</v>
      </c>
      <c r="K42">
        <v>2001</v>
      </c>
      <c r="L42">
        <v>0.44308999999999998</v>
      </c>
      <c r="M42">
        <v>1.7408300000000001</v>
      </c>
      <c r="N42">
        <v>0.31434000000000001</v>
      </c>
      <c r="O42">
        <v>0</v>
      </c>
      <c r="P42">
        <v>0.33761999999999998</v>
      </c>
      <c r="Q42">
        <v>0</v>
      </c>
      <c r="R42">
        <v>0</v>
      </c>
      <c r="S42">
        <v>1.11714</v>
      </c>
      <c r="T42">
        <v>6.79E-3</v>
      </c>
      <c r="U42">
        <v>9.4369999999999996E-2</v>
      </c>
      <c r="V42">
        <v>4.0541799999999997</v>
      </c>
      <c r="W42" t="s">
        <v>10</v>
      </c>
      <c r="X42">
        <v>7.1820000000000004</v>
      </c>
      <c r="Y42">
        <v>48.311</v>
      </c>
      <c r="Z42">
        <v>3.9009999999999998</v>
      </c>
      <c r="AA42">
        <v>0</v>
      </c>
      <c r="AB42">
        <v>24.116</v>
      </c>
      <c r="AC42">
        <v>0</v>
      </c>
      <c r="AD42">
        <v>0</v>
      </c>
      <c r="AE42">
        <v>79.796000000000006</v>
      </c>
      <c r="AF42">
        <v>7.2999999999999995E-2</v>
      </c>
      <c r="AG42">
        <v>1.522</v>
      </c>
      <c r="AH42">
        <v>164.90100000000001</v>
      </c>
      <c r="AI42" t="s">
        <v>28</v>
      </c>
      <c r="AJ42">
        <v>250</v>
      </c>
      <c r="AK42">
        <v>1595</v>
      </c>
      <c r="AL42">
        <v>865</v>
      </c>
      <c r="AM42">
        <v>0</v>
      </c>
      <c r="AN42">
        <v>5</v>
      </c>
      <c r="AO42">
        <v>0</v>
      </c>
      <c r="AP42">
        <v>0</v>
      </c>
      <c r="AQ42">
        <v>67.5</v>
      </c>
      <c r="AR42">
        <v>5</v>
      </c>
      <c r="AS42">
        <v>45</v>
      </c>
      <c r="AT42">
        <v>2832.5</v>
      </c>
      <c r="AU42" t="s">
        <v>34</v>
      </c>
    </row>
    <row r="43" spans="1:47" x14ac:dyDescent="0.2">
      <c r="A43">
        <v>1131</v>
      </c>
      <c r="B43" s="4" t="s">
        <v>933</v>
      </c>
      <c r="C43">
        <v>35</v>
      </c>
      <c r="D43" t="s">
        <v>258</v>
      </c>
      <c r="G43" t="str">
        <f t="shared" si="0"/>
        <v>PSEA200135SEC2</v>
      </c>
      <c r="H43">
        <v>62.615000000000002</v>
      </c>
      <c r="I43">
        <v>-170.94800000000001</v>
      </c>
      <c r="J43" s="3">
        <v>20010328</v>
      </c>
      <c r="K43">
        <v>2001</v>
      </c>
      <c r="L43">
        <v>0.90636000000000005</v>
      </c>
      <c r="M43">
        <v>3.02075</v>
      </c>
      <c r="N43">
        <v>3.006E-2</v>
      </c>
      <c r="O43">
        <v>0</v>
      </c>
      <c r="P43">
        <v>9.2000000000000003E-4</v>
      </c>
      <c r="Q43">
        <v>0</v>
      </c>
      <c r="R43">
        <v>0</v>
      </c>
      <c r="S43">
        <v>0.23129</v>
      </c>
      <c r="T43">
        <v>3.81E-3</v>
      </c>
      <c r="U43">
        <v>1.155E-2</v>
      </c>
      <c r="V43">
        <v>4.2047400000000001</v>
      </c>
      <c r="W43" t="s">
        <v>10</v>
      </c>
      <c r="X43">
        <v>12.03</v>
      </c>
      <c r="Y43">
        <v>80.634</v>
      </c>
      <c r="Z43">
        <v>0.40899999999999997</v>
      </c>
      <c r="AA43">
        <v>0</v>
      </c>
      <c r="AB43">
        <v>6.6000000000000003E-2</v>
      </c>
      <c r="AC43">
        <v>0</v>
      </c>
      <c r="AD43">
        <v>0</v>
      </c>
      <c r="AE43">
        <v>16.521000000000001</v>
      </c>
      <c r="AF43">
        <v>4.1000000000000002E-2</v>
      </c>
      <c r="AG43">
        <v>0.25800000000000001</v>
      </c>
      <c r="AH43">
        <v>109.959</v>
      </c>
      <c r="AI43" t="s">
        <v>22</v>
      </c>
      <c r="AJ43">
        <v>280</v>
      </c>
      <c r="AK43">
        <v>1707.5</v>
      </c>
      <c r="AL43">
        <v>372.5</v>
      </c>
      <c r="AM43">
        <v>0</v>
      </c>
      <c r="AN43">
        <v>2.5</v>
      </c>
      <c r="AO43">
        <v>0</v>
      </c>
      <c r="AP43">
        <v>0</v>
      </c>
      <c r="AQ43">
        <v>72.5</v>
      </c>
      <c r="AR43">
        <v>7.5</v>
      </c>
      <c r="AS43">
        <v>7.5</v>
      </c>
      <c r="AT43">
        <v>2450</v>
      </c>
      <c r="AU43" t="s">
        <v>34</v>
      </c>
    </row>
    <row r="44" spans="1:47" x14ac:dyDescent="0.2">
      <c r="A44">
        <v>1132</v>
      </c>
      <c r="B44" s="4" t="s">
        <v>933</v>
      </c>
      <c r="C44">
        <v>36</v>
      </c>
      <c r="D44" t="s">
        <v>254</v>
      </c>
      <c r="G44" t="str">
        <f t="shared" si="0"/>
        <v>PSEA200136SEC3</v>
      </c>
      <c r="H44">
        <v>62.284999999999997</v>
      </c>
      <c r="I44">
        <v>-171.571</v>
      </c>
      <c r="J44" s="3">
        <v>20010328</v>
      </c>
      <c r="K44">
        <v>2001</v>
      </c>
      <c r="L44">
        <v>1.02729</v>
      </c>
      <c r="M44">
        <v>2.7815400000000001</v>
      </c>
      <c r="N44">
        <v>0.66598000000000002</v>
      </c>
      <c r="O44">
        <v>0</v>
      </c>
      <c r="P44">
        <v>0</v>
      </c>
      <c r="Q44">
        <v>0</v>
      </c>
      <c r="R44">
        <v>0</v>
      </c>
      <c r="S44">
        <v>0.38724999999999998</v>
      </c>
      <c r="T44">
        <v>2.7999999999999998E-4</v>
      </c>
      <c r="U44">
        <v>1.4386399999999999</v>
      </c>
      <c r="V44">
        <v>6.30098</v>
      </c>
      <c r="W44" t="s">
        <v>10</v>
      </c>
      <c r="X44">
        <v>14.602</v>
      </c>
      <c r="Y44">
        <v>94.144000000000005</v>
      </c>
      <c r="Z44">
        <v>9.6999999999999993</v>
      </c>
      <c r="AA44">
        <v>0</v>
      </c>
      <c r="AB44">
        <v>0</v>
      </c>
      <c r="AC44">
        <v>0</v>
      </c>
      <c r="AD44">
        <v>0</v>
      </c>
      <c r="AE44">
        <v>27.661000000000001</v>
      </c>
      <c r="AF44">
        <v>3.0000000000000001E-3</v>
      </c>
      <c r="AG44">
        <v>23.225999999999999</v>
      </c>
      <c r="AH44">
        <v>169.33600000000001</v>
      </c>
      <c r="AI44" t="s">
        <v>22</v>
      </c>
      <c r="AJ44">
        <v>340</v>
      </c>
      <c r="AK44">
        <v>2012.5</v>
      </c>
      <c r="AL44">
        <v>1620</v>
      </c>
      <c r="AM44">
        <v>0</v>
      </c>
      <c r="AN44">
        <v>0</v>
      </c>
      <c r="AO44">
        <v>0</v>
      </c>
      <c r="AP44">
        <v>0</v>
      </c>
      <c r="AQ44">
        <v>57.5</v>
      </c>
      <c r="AR44">
        <v>0</v>
      </c>
      <c r="AS44">
        <v>45</v>
      </c>
      <c r="AT44">
        <v>4075</v>
      </c>
      <c r="AU44" t="s">
        <v>34</v>
      </c>
    </row>
    <row r="45" spans="1:47" x14ac:dyDescent="0.2">
      <c r="A45">
        <v>1133</v>
      </c>
      <c r="B45" s="4" t="s">
        <v>933</v>
      </c>
      <c r="C45">
        <v>37</v>
      </c>
      <c r="D45" t="s">
        <v>233</v>
      </c>
      <c r="G45" t="str">
        <f t="shared" si="0"/>
        <v>PSEA200137SEC4</v>
      </c>
      <c r="H45">
        <v>61.936</v>
      </c>
      <c r="I45">
        <v>-172.21</v>
      </c>
      <c r="J45" s="3">
        <v>20010328</v>
      </c>
      <c r="K45">
        <v>2001</v>
      </c>
      <c r="L45">
        <v>2.9454699999999998</v>
      </c>
      <c r="M45">
        <v>13.64832</v>
      </c>
      <c r="N45">
        <v>0.92879999999999996</v>
      </c>
      <c r="O45">
        <v>3.5685500000000001</v>
      </c>
      <c r="P45">
        <v>5.5399999999999998E-3</v>
      </c>
      <c r="Q45">
        <v>0</v>
      </c>
      <c r="R45">
        <v>0</v>
      </c>
      <c r="S45">
        <v>0</v>
      </c>
      <c r="T45">
        <v>0.47765000000000002</v>
      </c>
      <c r="U45">
        <v>9.0130000000000002E-2</v>
      </c>
      <c r="V45">
        <v>21.664459999999998</v>
      </c>
      <c r="W45" t="s">
        <v>10</v>
      </c>
      <c r="X45">
        <v>43.031999999999996</v>
      </c>
      <c r="Y45">
        <v>434.834</v>
      </c>
      <c r="Z45">
        <v>13.379</v>
      </c>
      <c r="AA45">
        <v>79.301000000000002</v>
      </c>
      <c r="AB45">
        <v>0.39600000000000002</v>
      </c>
      <c r="AC45">
        <v>0</v>
      </c>
      <c r="AD45">
        <v>0</v>
      </c>
      <c r="AE45">
        <v>0</v>
      </c>
      <c r="AF45">
        <v>5.1360000000000001</v>
      </c>
      <c r="AG45">
        <v>1.992</v>
      </c>
      <c r="AH45">
        <v>578.07000000000005</v>
      </c>
      <c r="AI45" t="s">
        <v>22</v>
      </c>
      <c r="AJ45">
        <v>742.5</v>
      </c>
      <c r="AK45">
        <v>1060</v>
      </c>
      <c r="AL45">
        <v>1262.5</v>
      </c>
      <c r="AM45">
        <v>2.5</v>
      </c>
      <c r="AN45">
        <v>22.5</v>
      </c>
      <c r="AO45">
        <v>0</v>
      </c>
      <c r="AP45">
        <v>0</v>
      </c>
      <c r="AQ45">
        <v>0</v>
      </c>
      <c r="AR45">
        <v>2.5</v>
      </c>
      <c r="AS45">
        <v>260</v>
      </c>
      <c r="AT45">
        <v>3352.5</v>
      </c>
      <c r="AU45" t="s">
        <v>35</v>
      </c>
    </row>
    <row r="46" spans="1:47" x14ac:dyDescent="0.2">
      <c r="A46">
        <v>1134</v>
      </c>
      <c r="B46" s="4" t="s">
        <v>933</v>
      </c>
      <c r="C46">
        <v>38</v>
      </c>
      <c r="D46" t="s">
        <v>240</v>
      </c>
      <c r="G46" t="str">
        <f t="shared" si="0"/>
        <v>PSEA200138SEC5</v>
      </c>
      <c r="H46">
        <v>61.563000000000002</v>
      </c>
      <c r="I46">
        <v>-172.90600000000001</v>
      </c>
      <c r="J46" s="3">
        <v>20010329</v>
      </c>
      <c r="K46">
        <v>2001</v>
      </c>
      <c r="L46">
        <v>1.29966</v>
      </c>
      <c r="M46">
        <v>3.4128400000000001</v>
      </c>
      <c r="N46">
        <v>0.65893000000000002</v>
      </c>
      <c r="O46">
        <v>0</v>
      </c>
      <c r="P46">
        <v>0</v>
      </c>
      <c r="Q46">
        <v>0</v>
      </c>
      <c r="R46">
        <v>0</v>
      </c>
      <c r="S46">
        <v>0</v>
      </c>
      <c r="T46">
        <v>9.1789999999999997E-2</v>
      </c>
      <c r="U46">
        <v>8.3000000000000001E-3</v>
      </c>
      <c r="V46">
        <v>5.4715199999999999</v>
      </c>
      <c r="W46" t="s">
        <v>10</v>
      </c>
      <c r="X46">
        <v>19.995000000000001</v>
      </c>
      <c r="Y46">
        <v>106.36199999999999</v>
      </c>
      <c r="Z46">
        <v>8.7620000000000005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0.98699999999999999</v>
      </c>
      <c r="AG46">
        <v>0.159</v>
      </c>
      <c r="AH46">
        <v>136.26499999999999</v>
      </c>
      <c r="AI46" t="s">
        <v>22</v>
      </c>
      <c r="AJ46">
        <v>295</v>
      </c>
      <c r="AK46">
        <v>2600</v>
      </c>
      <c r="AL46">
        <v>1132.5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62.5</v>
      </c>
      <c r="AT46">
        <v>4090</v>
      </c>
      <c r="AU46" t="s">
        <v>34</v>
      </c>
    </row>
    <row r="47" spans="1:47" x14ac:dyDescent="0.2">
      <c r="A47">
        <v>1135</v>
      </c>
      <c r="B47" s="4" t="s">
        <v>933</v>
      </c>
      <c r="C47">
        <v>39</v>
      </c>
      <c r="D47" t="s">
        <v>228</v>
      </c>
      <c r="G47" t="str">
        <f t="shared" si="0"/>
        <v>PSEA200139NEC5</v>
      </c>
      <c r="H47">
        <v>61.384</v>
      </c>
      <c r="I47">
        <v>-171.95099999999999</v>
      </c>
      <c r="J47" s="3">
        <v>20010329</v>
      </c>
      <c r="K47">
        <v>2001</v>
      </c>
      <c r="L47">
        <v>1.02305</v>
      </c>
      <c r="M47">
        <v>4.7582800000000001</v>
      </c>
      <c r="N47">
        <v>0.20227999999999999</v>
      </c>
      <c r="O47">
        <v>0</v>
      </c>
      <c r="P47">
        <v>0</v>
      </c>
      <c r="Q47">
        <v>0</v>
      </c>
      <c r="R47">
        <v>0</v>
      </c>
      <c r="S47">
        <v>0</v>
      </c>
      <c r="T47">
        <v>7.6259999999999994E-2</v>
      </c>
      <c r="U47">
        <v>1.086E-2</v>
      </c>
      <c r="V47">
        <v>6.0707300000000002</v>
      </c>
      <c r="W47" t="s">
        <v>10</v>
      </c>
      <c r="X47">
        <v>15.099</v>
      </c>
      <c r="Y47">
        <v>224.75200000000001</v>
      </c>
      <c r="Z47">
        <v>2.9129999999999998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0.82</v>
      </c>
      <c r="AG47">
        <v>0.22700000000000001</v>
      </c>
      <c r="AH47">
        <v>243.81100000000001</v>
      </c>
      <c r="AI47" t="s">
        <v>22</v>
      </c>
      <c r="AJ47">
        <v>207.5</v>
      </c>
      <c r="AK47">
        <v>707.5</v>
      </c>
      <c r="AL47">
        <v>490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7.5</v>
      </c>
      <c r="AS47">
        <v>37.5</v>
      </c>
      <c r="AT47">
        <v>1450</v>
      </c>
      <c r="AU47" t="s">
        <v>34</v>
      </c>
    </row>
    <row r="48" spans="1:47" x14ac:dyDescent="0.2">
      <c r="A48">
        <v>1136</v>
      </c>
      <c r="B48" s="4" t="s">
        <v>933</v>
      </c>
      <c r="C48">
        <v>40</v>
      </c>
      <c r="D48" t="s">
        <v>234</v>
      </c>
      <c r="G48" t="str">
        <f t="shared" si="0"/>
        <v>PSEA200140NEC4</v>
      </c>
      <c r="H48">
        <v>61.78</v>
      </c>
      <c r="I48">
        <v>-171.31</v>
      </c>
      <c r="J48" s="3">
        <v>20010329</v>
      </c>
      <c r="K48">
        <v>2001</v>
      </c>
      <c r="L48">
        <v>1.66418</v>
      </c>
      <c r="M48">
        <v>3.1794199999999999</v>
      </c>
      <c r="N48">
        <v>0.61141999999999996</v>
      </c>
      <c r="O48">
        <v>0</v>
      </c>
      <c r="P48">
        <v>4.8000000000000001E-4</v>
      </c>
      <c r="Q48">
        <v>0</v>
      </c>
      <c r="R48">
        <v>0</v>
      </c>
      <c r="S48">
        <v>0</v>
      </c>
      <c r="T48">
        <v>4.1660000000000003E-2</v>
      </c>
      <c r="U48">
        <v>2.469E-2</v>
      </c>
      <c r="V48">
        <v>5.5218499999999997</v>
      </c>
      <c r="W48" t="s">
        <v>10</v>
      </c>
      <c r="X48">
        <v>25.437000000000001</v>
      </c>
      <c r="Y48">
        <v>83.944000000000003</v>
      </c>
      <c r="Z48">
        <v>8.8840000000000003</v>
      </c>
      <c r="AA48">
        <v>0</v>
      </c>
      <c r="AB48">
        <v>3.4000000000000002E-2</v>
      </c>
      <c r="AC48">
        <v>0</v>
      </c>
      <c r="AD48">
        <v>0</v>
      </c>
      <c r="AE48">
        <v>0</v>
      </c>
      <c r="AF48">
        <v>0.44800000000000001</v>
      </c>
      <c r="AG48">
        <v>0.41699999999999998</v>
      </c>
      <c r="AH48">
        <v>119.164</v>
      </c>
      <c r="AI48" t="s">
        <v>22</v>
      </c>
      <c r="AJ48">
        <v>485</v>
      </c>
      <c r="AK48">
        <v>1855</v>
      </c>
      <c r="AL48">
        <v>1030</v>
      </c>
      <c r="AM48">
        <v>0</v>
      </c>
      <c r="AN48">
        <v>12.5</v>
      </c>
      <c r="AO48">
        <v>0</v>
      </c>
      <c r="AP48">
        <v>0</v>
      </c>
      <c r="AQ48">
        <v>0</v>
      </c>
      <c r="AR48">
        <v>15</v>
      </c>
      <c r="AS48">
        <v>155</v>
      </c>
      <c r="AT48">
        <v>3552.5</v>
      </c>
      <c r="AU48" t="s">
        <v>34</v>
      </c>
    </row>
    <row r="49" spans="1:47" x14ac:dyDescent="0.2">
      <c r="A49">
        <v>1137</v>
      </c>
      <c r="B49" s="4" t="s">
        <v>933</v>
      </c>
      <c r="C49">
        <v>41</v>
      </c>
      <c r="D49" t="s">
        <v>255</v>
      </c>
      <c r="G49" t="str">
        <f t="shared" si="0"/>
        <v>PSEA200141NEC3</v>
      </c>
      <c r="H49">
        <v>62.067</v>
      </c>
      <c r="I49">
        <v>-170.625</v>
      </c>
      <c r="J49" s="3">
        <v>20010330</v>
      </c>
      <c r="K49">
        <v>2001</v>
      </c>
      <c r="L49">
        <v>2.4632200000000002</v>
      </c>
      <c r="M49">
        <v>0.87977000000000005</v>
      </c>
      <c r="N49">
        <v>0.23608000000000001</v>
      </c>
      <c r="O49">
        <v>0</v>
      </c>
      <c r="P49">
        <v>2.7E-4</v>
      </c>
      <c r="Q49">
        <v>0</v>
      </c>
      <c r="R49">
        <v>0</v>
      </c>
      <c r="S49">
        <v>0</v>
      </c>
      <c r="T49">
        <v>2.7999999999999998E-4</v>
      </c>
      <c r="U49">
        <v>3.5799999999999998E-3</v>
      </c>
      <c r="V49">
        <v>3.5832000000000002</v>
      </c>
      <c r="W49" t="s">
        <v>9</v>
      </c>
      <c r="X49">
        <v>37.104999999999997</v>
      </c>
      <c r="Y49">
        <v>22.718</v>
      </c>
      <c r="Z49">
        <v>3.278</v>
      </c>
      <c r="AA49">
        <v>0</v>
      </c>
      <c r="AB49">
        <v>1.9E-2</v>
      </c>
      <c r="AC49">
        <v>0</v>
      </c>
      <c r="AD49">
        <v>0</v>
      </c>
      <c r="AE49">
        <v>0</v>
      </c>
      <c r="AF49">
        <v>3.0000000000000001E-3</v>
      </c>
      <c r="AG49">
        <v>5.8999999999999997E-2</v>
      </c>
      <c r="AH49">
        <v>63.182000000000002</v>
      </c>
      <c r="AI49" t="s">
        <v>21</v>
      </c>
      <c r="AJ49">
        <v>467.5</v>
      </c>
      <c r="AK49">
        <v>1282.5</v>
      </c>
      <c r="AL49">
        <v>1032.5</v>
      </c>
      <c r="AM49">
        <v>0</v>
      </c>
      <c r="AN49">
        <v>7.5</v>
      </c>
      <c r="AO49">
        <v>0</v>
      </c>
      <c r="AP49">
        <v>0</v>
      </c>
      <c r="AQ49">
        <v>0</v>
      </c>
      <c r="AR49">
        <v>0</v>
      </c>
      <c r="AS49">
        <v>47.5</v>
      </c>
      <c r="AT49">
        <v>2837.5</v>
      </c>
      <c r="AU49" t="s">
        <v>34</v>
      </c>
    </row>
    <row r="50" spans="1:47" x14ac:dyDescent="0.2">
      <c r="A50">
        <v>1138</v>
      </c>
      <c r="B50" s="4" t="s">
        <v>933</v>
      </c>
      <c r="C50">
        <v>42</v>
      </c>
      <c r="D50" t="s">
        <v>256</v>
      </c>
      <c r="G50" t="str">
        <f t="shared" si="0"/>
        <v>PSEA200142NEC2</v>
      </c>
      <c r="H50">
        <v>62.430999999999997</v>
      </c>
      <c r="I50">
        <v>-170.07400000000001</v>
      </c>
      <c r="J50" s="3">
        <v>20010330</v>
      </c>
      <c r="K50">
        <v>2001</v>
      </c>
      <c r="L50">
        <v>1.11347</v>
      </c>
      <c r="M50">
        <v>0.42052</v>
      </c>
      <c r="N50">
        <v>0.33955000000000002</v>
      </c>
      <c r="O50">
        <v>0</v>
      </c>
      <c r="P50">
        <v>0</v>
      </c>
      <c r="Q50">
        <v>0</v>
      </c>
      <c r="R50">
        <v>0</v>
      </c>
      <c r="S50">
        <v>0</v>
      </c>
      <c r="T50">
        <v>4.8820000000000002E-2</v>
      </c>
      <c r="U50">
        <v>1.2083200000000001</v>
      </c>
      <c r="V50">
        <v>3.1306799999999999</v>
      </c>
      <c r="W50" t="s">
        <v>18</v>
      </c>
      <c r="X50">
        <v>15.877000000000001</v>
      </c>
      <c r="Y50">
        <v>13.566000000000001</v>
      </c>
      <c r="Z50">
        <v>4.8680000000000003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0.52500000000000002</v>
      </c>
      <c r="AG50">
        <v>19.489000000000001</v>
      </c>
      <c r="AH50">
        <v>54.325000000000003</v>
      </c>
      <c r="AI50" t="s">
        <v>30</v>
      </c>
      <c r="AJ50">
        <v>525</v>
      </c>
      <c r="AK50">
        <v>765</v>
      </c>
      <c r="AL50">
        <v>5470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17.5</v>
      </c>
      <c r="AT50">
        <v>6777.5</v>
      </c>
      <c r="AU50" t="s">
        <v>35</v>
      </c>
    </row>
    <row r="51" spans="1:47" x14ac:dyDescent="0.2">
      <c r="A51">
        <v>1139</v>
      </c>
      <c r="B51" s="4" t="s">
        <v>933</v>
      </c>
      <c r="C51">
        <v>43</v>
      </c>
      <c r="D51" t="s">
        <v>257</v>
      </c>
      <c r="G51" t="str">
        <f t="shared" si="0"/>
        <v>PSEA200143NEC2.5</v>
      </c>
      <c r="H51">
        <v>62.466999999999999</v>
      </c>
      <c r="I51">
        <v>-170.93899999999999</v>
      </c>
      <c r="J51" s="3">
        <v>20010331</v>
      </c>
      <c r="K51">
        <v>2001</v>
      </c>
      <c r="L51">
        <v>1.5996600000000001</v>
      </c>
      <c r="M51">
        <v>2.6845699999999999</v>
      </c>
      <c r="N51">
        <v>6.8029999999999993E-2</v>
      </c>
      <c r="O51">
        <v>0</v>
      </c>
      <c r="P51">
        <v>1.3469999999999999E-2</v>
      </c>
      <c r="Q51">
        <v>0</v>
      </c>
      <c r="R51">
        <v>0</v>
      </c>
      <c r="S51">
        <v>0.45573000000000002</v>
      </c>
      <c r="T51">
        <v>0</v>
      </c>
      <c r="U51">
        <v>8.9599999999999992E-3</v>
      </c>
      <c r="V51">
        <v>4.8304200000000002</v>
      </c>
      <c r="W51" t="s">
        <v>10</v>
      </c>
      <c r="X51">
        <v>20.015000000000001</v>
      </c>
      <c r="Y51">
        <v>73.272000000000006</v>
      </c>
      <c r="Z51">
        <v>0.97299999999999998</v>
      </c>
      <c r="AA51">
        <v>0</v>
      </c>
      <c r="AB51">
        <v>0.96199999999999997</v>
      </c>
      <c r="AC51">
        <v>0</v>
      </c>
      <c r="AD51">
        <v>0</v>
      </c>
      <c r="AE51">
        <v>32.552</v>
      </c>
      <c r="AF51">
        <v>0</v>
      </c>
      <c r="AG51">
        <v>0.28799999999999998</v>
      </c>
      <c r="AH51">
        <v>128.06200000000001</v>
      </c>
      <c r="AI51" t="s">
        <v>22</v>
      </c>
      <c r="AJ51">
        <v>372.5</v>
      </c>
      <c r="AK51">
        <v>1092.5</v>
      </c>
      <c r="AL51">
        <v>1787.5</v>
      </c>
      <c r="AM51">
        <v>0</v>
      </c>
      <c r="AN51">
        <v>2.5</v>
      </c>
      <c r="AO51">
        <v>0</v>
      </c>
      <c r="AP51">
        <v>0</v>
      </c>
      <c r="AQ51">
        <v>50</v>
      </c>
      <c r="AR51">
        <v>0</v>
      </c>
      <c r="AS51">
        <v>42.5</v>
      </c>
      <c r="AT51">
        <v>3347.5</v>
      </c>
      <c r="AU51" t="s">
        <v>35</v>
      </c>
    </row>
    <row r="52" spans="1:47" x14ac:dyDescent="0.2">
      <c r="A52">
        <v>1140</v>
      </c>
      <c r="B52" s="4" t="s">
        <v>933</v>
      </c>
      <c r="C52">
        <v>44</v>
      </c>
      <c r="D52" t="s">
        <v>253</v>
      </c>
      <c r="G52" t="str">
        <f t="shared" si="0"/>
        <v>PSEA200144SEC2.5</v>
      </c>
      <c r="H52">
        <v>62.494</v>
      </c>
      <c r="I52">
        <v>-171.84399999999999</v>
      </c>
      <c r="J52" s="3">
        <v>20010331</v>
      </c>
      <c r="K52">
        <v>2001</v>
      </c>
      <c r="L52">
        <v>2.0792600000000001</v>
      </c>
      <c r="M52">
        <v>6.9475199999999999</v>
      </c>
      <c r="N52">
        <v>0.48874000000000001</v>
      </c>
      <c r="O52">
        <v>0</v>
      </c>
      <c r="P52">
        <v>0</v>
      </c>
      <c r="Q52">
        <v>0</v>
      </c>
      <c r="R52">
        <v>0</v>
      </c>
      <c r="S52">
        <v>1.2058500000000001</v>
      </c>
      <c r="T52">
        <v>1.414E-2</v>
      </c>
      <c r="U52">
        <v>0.13478999999999999</v>
      </c>
      <c r="V52">
        <v>10.8703</v>
      </c>
      <c r="W52" t="s">
        <v>10</v>
      </c>
      <c r="X52">
        <v>28.795000000000002</v>
      </c>
      <c r="Y52">
        <v>220.67099999999999</v>
      </c>
      <c r="Z52">
        <v>7.0279999999999996</v>
      </c>
      <c r="AA52">
        <v>0</v>
      </c>
      <c r="AB52">
        <v>0</v>
      </c>
      <c r="AC52">
        <v>0</v>
      </c>
      <c r="AD52">
        <v>0</v>
      </c>
      <c r="AE52">
        <v>86.132000000000005</v>
      </c>
      <c r="AF52">
        <v>0.152</v>
      </c>
      <c r="AG52">
        <v>2.1739999999999999</v>
      </c>
      <c r="AH52">
        <v>344.952</v>
      </c>
      <c r="AI52" t="s">
        <v>22</v>
      </c>
      <c r="AJ52">
        <v>1305</v>
      </c>
      <c r="AK52">
        <v>5995</v>
      </c>
      <c r="AL52">
        <v>2397.5</v>
      </c>
      <c r="AM52">
        <v>0</v>
      </c>
      <c r="AN52">
        <v>0</v>
      </c>
      <c r="AO52">
        <v>0</v>
      </c>
      <c r="AP52">
        <v>0</v>
      </c>
      <c r="AQ52">
        <v>160</v>
      </c>
      <c r="AR52">
        <v>0</v>
      </c>
      <c r="AS52">
        <v>147.5</v>
      </c>
      <c r="AT52">
        <v>10005</v>
      </c>
      <c r="AU52" t="s">
        <v>34</v>
      </c>
    </row>
    <row r="53" spans="1:47" x14ac:dyDescent="0.2">
      <c r="A53">
        <v>1141</v>
      </c>
      <c r="B53" s="4" t="s">
        <v>933</v>
      </c>
      <c r="C53">
        <v>45</v>
      </c>
      <c r="D53" t="s">
        <v>239</v>
      </c>
      <c r="G53" t="str">
        <f t="shared" si="0"/>
        <v>PSEA200145VNG3.5</v>
      </c>
      <c r="H53">
        <v>62.575000000000003</v>
      </c>
      <c r="I53">
        <v>-173.566</v>
      </c>
      <c r="J53" s="3">
        <v>20010401</v>
      </c>
      <c r="K53">
        <v>2001</v>
      </c>
      <c r="L53">
        <v>2.7423199999999999</v>
      </c>
      <c r="M53">
        <v>10.62556</v>
      </c>
      <c r="N53">
        <v>0.22217000000000001</v>
      </c>
      <c r="O53">
        <v>0</v>
      </c>
      <c r="P53">
        <v>0.45800999999999997</v>
      </c>
      <c r="Q53">
        <v>0</v>
      </c>
      <c r="R53">
        <v>0</v>
      </c>
      <c r="S53">
        <v>0</v>
      </c>
      <c r="T53">
        <v>3.6115599999999999</v>
      </c>
      <c r="U53">
        <v>0.40547</v>
      </c>
      <c r="V53">
        <v>18.065090000000001</v>
      </c>
      <c r="W53" t="s">
        <v>10</v>
      </c>
      <c r="X53">
        <v>50.896999999999998</v>
      </c>
      <c r="Y53">
        <v>318.56799999999998</v>
      </c>
      <c r="Z53">
        <v>2.69</v>
      </c>
      <c r="AA53">
        <v>0</v>
      </c>
      <c r="AB53">
        <v>32.715000000000003</v>
      </c>
      <c r="AC53">
        <v>0</v>
      </c>
      <c r="AD53">
        <v>0</v>
      </c>
      <c r="AE53">
        <v>0</v>
      </c>
      <c r="AF53">
        <v>38.834000000000003</v>
      </c>
      <c r="AG53">
        <v>6.7030000000000003</v>
      </c>
      <c r="AH53">
        <v>450.40699999999998</v>
      </c>
      <c r="AI53" t="s">
        <v>22</v>
      </c>
      <c r="AJ53">
        <v>972.5</v>
      </c>
      <c r="AK53">
        <v>3532.5</v>
      </c>
      <c r="AL53">
        <v>152.5</v>
      </c>
      <c r="AM53">
        <v>0</v>
      </c>
      <c r="AN53">
        <v>17.5</v>
      </c>
      <c r="AO53">
        <v>0</v>
      </c>
      <c r="AP53">
        <v>0</v>
      </c>
      <c r="AQ53">
        <v>0</v>
      </c>
      <c r="AR53">
        <v>17.5</v>
      </c>
      <c r="AS53">
        <v>492.5</v>
      </c>
      <c r="AT53">
        <v>5185</v>
      </c>
      <c r="AU53" t="s">
        <v>34</v>
      </c>
    </row>
    <row r="54" spans="1:47" x14ac:dyDescent="0.2">
      <c r="A54">
        <v>1142</v>
      </c>
      <c r="B54" s="4" t="s">
        <v>933</v>
      </c>
      <c r="C54">
        <v>46</v>
      </c>
      <c r="D54" t="s">
        <v>241</v>
      </c>
      <c r="G54" t="str">
        <f t="shared" si="0"/>
        <v>PSEA200146CD1</v>
      </c>
      <c r="H54">
        <v>62.680999999999997</v>
      </c>
      <c r="I54">
        <v>-173.375</v>
      </c>
      <c r="J54" s="3">
        <v>20010401</v>
      </c>
      <c r="K54">
        <v>2001</v>
      </c>
      <c r="L54">
        <v>2.20933</v>
      </c>
      <c r="M54">
        <v>18.689900000000002</v>
      </c>
      <c r="N54">
        <v>7.2919999999999999E-2</v>
      </c>
      <c r="O54">
        <v>0</v>
      </c>
      <c r="P54">
        <v>0.46233999999999997</v>
      </c>
      <c r="Q54">
        <v>0</v>
      </c>
      <c r="R54">
        <v>0</v>
      </c>
      <c r="S54">
        <v>0</v>
      </c>
      <c r="T54">
        <v>8.4600000000000005E-3</v>
      </c>
      <c r="U54">
        <v>8.7069999999999995E-2</v>
      </c>
      <c r="V54">
        <v>21.53002</v>
      </c>
      <c r="W54" t="s">
        <v>10</v>
      </c>
      <c r="X54">
        <v>36.677999999999997</v>
      </c>
      <c r="Y54">
        <v>582.80200000000002</v>
      </c>
      <c r="Z54">
        <v>0.86099999999999999</v>
      </c>
      <c r="AA54">
        <v>0</v>
      </c>
      <c r="AB54">
        <v>33.024000000000001</v>
      </c>
      <c r="AC54">
        <v>0</v>
      </c>
      <c r="AD54">
        <v>0</v>
      </c>
      <c r="AE54">
        <v>0</v>
      </c>
      <c r="AF54">
        <v>9.0999999999999998E-2</v>
      </c>
      <c r="AG54">
        <v>2.093</v>
      </c>
      <c r="AH54">
        <v>655.54899999999998</v>
      </c>
      <c r="AI54" t="s">
        <v>22</v>
      </c>
      <c r="AJ54">
        <v>480</v>
      </c>
      <c r="AK54">
        <v>1897.5</v>
      </c>
      <c r="AL54">
        <v>97.5</v>
      </c>
      <c r="AM54">
        <v>0</v>
      </c>
      <c r="AN54">
        <v>27.5</v>
      </c>
      <c r="AO54">
        <v>0</v>
      </c>
      <c r="AP54">
        <v>0</v>
      </c>
      <c r="AQ54">
        <v>0</v>
      </c>
      <c r="AR54">
        <v>2.5</v>
      </c>
      <c r="AS54">
        <v>225</v>
      </c>
      <c r="AT54">
        <v>2730</v>
      </c>
      <c r="AU54" t="s">
        <v>34</v>
      </c>
    </row>
    <row r="55" spans="1:47" x14ac:dyDescent="0.2">
      <c r="A55">
        <v>1143</v>
      </c>
      <c r="B55" s="4" t="s">
        <v>933</v>
      </c>
      <c r="C55">
        <v>9</v>
      </c>
      <c r="D55" s="4" t="s">
        <v>551</v>
      </c>
      <c r="E55" s="4" t="s">
        <v>551</v>
      </c>
      <c r="F55" s="4" t="s">
        <v>268</v>
      </c>
      <c r="G55" t="str">
        <f t="shared" si="0"/>
        <v>PSEA20019SLIP1</v>
      </c>
      <c r="H55">
        <v>62.015999999999998</v>
      </c>
      <c r="I55">
        <v>-175.059</v>
      </c>
      <c r="J55" s="3">
        <v>20010318</v>
      </c>
      <c r="K55">
        <v>2001</v>
      </c>
      <c r="L55">
        <v>3.9371800000000001</v>
      </c>
      <c r="M55">
        <v>15.707420000000001</v>
      </c>
      <c r="N55">
        <v>8.1269999999999995E-2</v>
      </c>
      <c r="O55">
        <v>0</v>
      </c>
      <c r="P55">
        <v>0.13335</v>
      </c>
      <c r="Q55">
        <v>0</v>
      </c>
      <c r="R55">
        <v>0</v>
      </c>
      <c r="S55">
        <v>0.25618999999999997</v>
      </c>
      <c r="T55">
        <v>0.95911000000000002</v>
      </c>
      <c r="U55">
        <v>9.9330000000000002E-2</v>
      </c>
      <c r="V55">
        <v>21.173850000000002</v>
      </c>
      <c r="W55" t="s">
        <v>10</v>
      </c>
      <c r="X55">
        <v>55.454999999999998</v>
      </c>
      <c r="Y55">
        <v>543.39400000000001</v>
      </c>
      <c r="Z55">
        <v>1.1539999999999999</v>
      </c>
      <c r="AA55">
        <v>0</v>
      </c>
      <c r="AB55">
        <v>9.5250000000000004</v>
      </c>
      <c r="AC55">
        <v>0</v>
      </c>
      <c r="AD55">
        <v>0</v>
      </c>
      <c r="AE55">
        <v>18.298999999999999</v>
      </c>
      <c r="AF55">
        <v>10.313000000000001</v>
      </c>
      <c r="AG55">
        <v>1.718</v>
      </c>
      <c r="AH55">
        <v>639.85799999999995</v>
      </c>
      <c r="AI55" t="s">
        <v>22</v>
      </c>
      <c r="AJ55">
        <v>392.5</v>
      </c>
      <c r="AK55">
        <v>555</v>
      </c>
      <c r="AL55">
        <v>202.5</v>
      </c>
      <c r="AM55">
        <v>0</v>
      </c>
      <c r="AN55">
        <v>27.5</v>
      </c>
      <c r="AO55">
        <v>0</v>
      </c>
      <c r="AP55">
        <v>0</v>
      </c>
      <c r="AQ55">
        <v>2.5</v>
      </c>
      <c r="AR55">
        <v>2.5</v>
      </c>
      <c r="AS55">
        <v>55</v>
      </c>
      <c r="AT55">
        <v>1237.5</v>
      </c>
      <c r="AU55" t="s">
        <v>34</v>
      </c>
    </row>
    <row r="56" spans="1:47" x14ac:dyDescent="0.2">
      <c r="A56">
        <v>1416</v>
      </c>
      <c r="B56" t="s">
        <v>565</v>
      </c>
      <c r="C56">
        <v>10</v>
      </c>
      <c r="D56" t="s">
        <v>554</v>
      </c>
      <c r="E56" s="5" t="s">
        <v>239</v>
      </c>
      <c r="F56" s="4" t="s">
        <v>554</v>
      </c>
      <c r="G56" t="str">
        <f t="shared" si="0"/>
        <v>SWL200110SLIP5</v>
      </c>
      <c r="H56">
        <v>62.562800000000003</v>
      </c>
      <c r="I56">
        <v>-173.5552667</v>
      </c>
      <c r="J56" s="3">
        <v>20010718</v>
      </c>
      <c r="K56">
        <v>2001</v>
      </c>
      <c r="L56">
        <v>2.80091</v>
      </c>
      <c r="M56">
        <v>8.6637500000000003</v>
      </c>
      <c r="N56">
        <v>8.6819999999999994E-2</v>
      </c>
      <c r="O56">
        <v>0</v>
      </c>
      <c r="P56">
        <v>0.48093999999999998</v>
      </c>
      <c r="Q56">
        <v>0</v>
      </c>
      <c r="R56">
        <v>0</v>
      </c>
      <c r="S56">
        <v>0</v>
      </c>
      <c r="T56">
        <v>3.8660999999999999</v>
      </c>
      <c r="U56">
        <v>1.35649</v>
      </c>
      <c r="V56">
        <v>17.255009999999999</v>
      </c>
      <c r="W56" t="s">
        <v>10</v>
      </c>
      <c r="X56">
        <v>46.17</v>
      </c>
      <c r="Y56">
        <v>274.62900000000002</v>
      </c>
      <c r="Z56">
        <v>1.0629999999999999</v>
      </c>
      <c r="AA56">
        <v>0</v>
      </c>
      <c r="AB56">
        <v>34.353000000000002</v>
      </c>
      <c r="AC56">
        <v>0</v>
      </c>
      <c r="AD56">
        <v>0</v>
      </c>
      <c r="AE56">
        <v>0</v>
      </c>
      <c r="AF56">
        <v>41.570999999999998</v>
      </c>
      <c r="AG56">
        <v>26.338999999999999</v>
      </c>
      <c r="AH56">
        <v>424.125</v>
      </c>
      <c r="AI56" t="s">
        <v>22</v>
      </c>
      <c r="AJ56">
        <v>747.5</v>
      </c>
      <c r="AK56">
        <v>2287.5</v>
      </c>
      <c r="AL56">
        <v>120</v>
      </c>
      <c r="AM56">
        <v>0</v>
      </c>
      <c r="AN56">
        <v>12.5</v>
      </c>
      <c r="AO56">
        <v>0</v>
      </c>
      <c r="AP56">
        <v>0</v>
      </c>
      <c r="AQ56">
        <v>0</v>
      </c>
      <c r="AR56">
        <v>32.5</v>
      </c>
      <c r="AS56">
        <v>442.5</v>
      </c>
      <c r="AT56">
        <v>3642.5</v>
      </c>
      <c r="AU56" t="s">
        <v>34</v>
      </c>
    </row>
    <row r="57" spans="1:47" x14ac:dyDescent="0.2">
      <c r="A57">
        <v>1417</v>
      </c>
      <c r="B57" t="s">
        <v>565</v>
      </c>
      <c r="C57">
        <v>11</v>
      </c>
      <c r="D57" t="s">
        <v>555</v>
      </c>
      <c r="E57" s="5" t="s">
        <v>246</v>
      </c>
      <c r="F57" s="4" t="s">
        <v>555</v>
      </c>
      <c r="G57" t="str">
        <f t="shared" si="0"/>
        <v>SWL200111SLIP4</v>
      </c>
      <c r="H57">
        <v>63.02463333</v>
      </c>
      <c r="I57">
        <v>-173.4623167</v>
      </c>
      <c r="J57" s="3">
        <v>20010718</v>
      </c>
      <c r="K57">
        <v>2001</v>
      </c>
      <c r="L57">
        <v>7.4310299999999998</v>
      </c>
      <c r="M57">
        <v>12.098990000000001</v>
      </c>
      <c r="N57">
        <v>0.36718000000000001</v>
      </c>
      <c r="O57">
        <v>2.5240999999999998</v>
      </c>
      <c r="P57">
        <v>9.0999999999999998E-2</v>
      </c>
      <c r="Q57">
        <v>0</v>
      </c>
      <c r="R57">
        <v>0</v>
      </c>
      <c r="S57">
        <v>0</v>
      </c>
      <c r="T57">
        <v>3.29555</v>
      </c>
      <c r="U57">
        <v>0.35574</v>
      </c>
      <c r="V57">
        <v>26.163589999999999</v>
      </c>
      <c r="W57" t="s">
        <v>10</v>
      </c>
      <c r="X57">
        <v>134.00299999999999</v>
      </c>
      <c r="Y57">
        <v>352.41699999999997</v>
      </c>
      <c r="Z57">
        <v>5.3029999999999999</v>
      </c>
      <c r="AA57">
        <v>56.091000000000001</v>
      </c>
      <c r="AB57">
        <v>6.5</v>
      </c>
      <c r="AC57">
        <v>0</v>
      </c>
      <c r="AD57">
        <v>0</v>
      </c>
      <c r="AE57">
        <v>0</v>
      </c>
      <c r="AF57">
        <v>35.436</v>
      </c>
      <c r="AG57">
        <v>7.9770000000000003</v>
      </c>
      <c r="AH57">
        <v>597.72699999999998</v>
      </c>
      <c r="AI57" t="s">
        <v>22</v>
      </c>
      <c r="AJ57">
        <v>805</v>
      </c>
      <c r="AK57">
        <v>1035</v>
      </c>
      <c r="AL57">
        <v>205</v>
      </c>
      <c r="AM57">
        <v>2.5</v>
      </c>
      <c r="AN57">
        <v>2.5</v>
      </c>
      <c r="AO57">
        <v>0</v>
      </c>
      <c r="AP57">
        <v>0</v>
      </c>
      <c r="AQ57">
        <v>0</v>
      </c>
      <c r="AR57">
        <v>12.5</v>
      </c>
      <c r="AS57">
        <v>145</v>
      </c>
      <c r="AT57">
        <v>2207.5</v>
      </c>
      <c r="AU57" t="s">
        <v>34</v>
      </c>
    </row>
    <row r="58" spans="1:47" x14ac:dyDescent="0.2">
      <c r="A58">
        <v>1418</v>
      </c>
      <c r="B58" t="s">
        <v>565</v>
      </c>
      <c r="C58">
        <v>12</v>
      </c>
      <c r="D58" t="s">
        <v>556</v>
      </c>
      <c r="G58" t="str">
        <f t="shared" si="0"/>
        <v>SWL200112UTBS5</v>
      </c>
      <c r="H58">
        <v>64.666499999999999</v>
      </c>
      <c r="I58">
        <v>-169.92755</v>
      </c>
      <c r="J58" s="3">
        <v>20010718</v>
      </c>
      <c r="K58">
        <v>2001</v>
      </c>
      <c r="L58">
        <v>6.6636800000000003</v>
      </c>
      <c r="M58">
        <v>20.350909999999999</v>
      </c>
      <c r="N58">
        <v>0.31724000000000002</v>
      </c>
      <c r="O58">
        <v>0</v>
      </c>
      <c r="P58">
        <v>4.0000000000000003E-5</v>
      </c>
      <c r="Q58">
        <v>0</v>
      </c>
      <c r="R58">
        <v>0</v>
      </c>
      <c r="S58">
        <v>0.16880000000000001</v>
      </c>
      <c r="T58">
        <v>4.9300000000000004E-3</v>
      </c>
      <c r="U58">
        <v>0.28899000000000002</v>
      </c>
      <c r="V58">
        <v>27.794589999999999</v>
      </c>
      <c r="W58" t="s">
        <v>10</v>
      </c>
      <c r="X58">
        <v>94.093000000000004</v>
      </c>
      <c r="Y58">
        <v>583.54100000000005</v>
      </c>
      <c r="Z58">
        <v>4.649</v>
      </c>
      <c r="AA58">
        <v>0</v>
      </c>
      <c r="AB58">
        <v>3.0000000000000001E-3</v>
      </c>
      <c r="AC58">
        <v>0</v>
      </c>
      <c r="AD58">
        <v>0</v>
      </c>
      <c r="AE58">
        <v>12.057</v>
      </c>
      <c r="AF58">
        <v>5.2999999999999999E-2</v>
      </c>
      <c r="AG58">
        <v>6.4219999999999997</v>
      </c>
      <c r="AH58">
        <v>700.81799999999998</v>
      </c>
      <c r="AI58" t="s">
        <v>22</v>
      </c>
      <c r="AJ58">
        <v>1927.5</v>
      </c>
      <c r="AK58">
        <v>1490</v>
      </c>
      <c r="AL58">
        <v>857.5</v>
      </c>
      <c r="AM58">
        <v>0</v>
      </c>
      <c r="AN58">
        <v>2.5</v>
      </c>
      <c r="AO58">
        <v>0</v>
      </c>
      <c r="AP58">
        <v>0</v>
      </c>
      <c r="AQ58">
        <v>15</v>
      </c>
      <c r="AR58">
        <v>5</v>
      </c>
      <c r="AS58">
        <v>2.5</v>
      </c>
      <c r="AT58">
        <v>4300</v>
      </c>
      <c r="AU58" t="s">
        <v>33</v>
      </c>
    </row>
    <row r="59" spans="1:47" x14ac:dyDescent="0.2">
      <c r="A59">
        <v>1419</v>
      </c>
      <c r="B59" t="s">
        <v>565</v>
      </c>
      <c r="C59">
        <v>13</v>
      </c>
      <c r="D59" t="s">
        <v>557</v>
      </c>
      <c r="G59" t="str">
        <f t="shared" si="0"/>
        <v>SWL200113UTBS2</v>
      </c>
      <c r="H59">
        <v>64.782300000000006</v>
      </c>
      <c r="I59">
        <v>-169.10319999999999</v>
      </c>
      <c r="J59" s="3">
        <v>20010718</v>
      </c>
      <c r="K59">
        <v>2001</v>
      </c>
      <c r="L59">
        <v>4.6740500000000003</v>
      </c>
      <c r="M59">
        <v>1.6282099999999999</v>
      </c>
      <c r="N59">
        <v>17.227360000000001</v>
      </c>
      <c r="O59">
        <v>0</v>
      </c>
      <c r="P59">
        <v>0</v>
      </c>
      <c r="Q59">
        <v>0</v>
      </c>
      <c r="R59">
        <v>0</v>
      </c>
      <c r="S59">
        <v>1.83E-2</v>
      </c>
      <c r="T59">
        <v>0</v>
      </c>
      <c r="U59">
        <v>0.44985999999999998</v>
      </c>
      <c r="V59">
        <v>23.997779999999999</v>
      </c>
      <c r="W59" t="s">
        <v>11</v>
      </c>
      <c r="X59">
        <v>68.162999999999997</v>
      </c>
      <c r="Y59">
        <v>88.691999999999993</v>
      </c>
      <c r="Z59">
        <v>251.07499999999999</v>
      </c>
      <c r="AA59">
        <v>0</v>
      </c>
      <c r="AB59">
        <v>0</v>
      </c>
      <c r="AC59">
        <v>0</v>
      </c>
      <c r="AD59">
        <v>0</v>
      </c>
      <c r="AE59">
        <v>1.3069999999999999</v>
      </c>
      <c r="AF59">
        <v>0</v>
      </c>
      <c r="AG59">
        <v>9.9619999999999997</v>
      </c>
      <c r="AH59">
        <v>419.19900000000001</v>
      </c>
      <c r="AI59" t="s">
        <v>23</v>
      </c>
      <c r="AJ59">
        <v>1240</v>
      </c>
      <c r="AK59">
        <v>477.5</v>
      </c>
      <c r="AL59">
        <v>12222.5</v>
      </c>
      <c r="AM59">
        <v>0</v>
      </c>
      <c r="AN59">
        <v>0</v>
      </c>
      <c r="AO59">
        <v>0</v>
      </c>
      <c r="AP59">
        <v>0</v>
      </c>
      <c r="AQ59">
        <v>5</v>
      </c>
      <c r="AR59">
        <v>0</v>
      </c>
      <c r="AS59">
        <v>37.5</v>
      </c>
      <c r="AT59">
        <v>13982.5</v>
      </c>
      <c r="AU59" t="s">
        <v>35</v>
      </c>
    </row>
    <row r="60" spans="1:47" x14ac:dyDescent="0.2">
      <c r="A60">
        <v>1420</v>
      </c>
      <c r="B60" t="s">
        <v>565</v>
      </c>
      <c r="C60">
        <v>14</v>
      </c>
      <c r="D60" t="s">
        <v>558</v>
      </c>
      <c r="G60" t="str">
        <f t="shared" si="0"/>
        <v>SWL200114UTBS4</v>
      </c>
      <c r="H60">
        <v>64.957366669999999</v>
      </c>
      <c r="I60">
        <v>-169.88711670000001</v>
      </c>
      <c r="J60" s="3">
        <v>20010719</v>
      </c>
      <c r="K60">
        <v>2001</v>
      </c>
      <c r="L60">
        <v>3.39602</v>
      </c>
      <c r="M60">
        <v>5.1369899999999999</v>
      </c>
      <c r="N60">
        <v>17.113479999999999</v>
      </c>
      <c r="O60">
        <v>0</v>
      </c>
      <c r="P60">
        <v>0</v>
      </c>
      <c r="Q60">
        <v>0</v>
      </c>
      <c r="R60">
        <v>2.7820000000000001E-2</v>
      </c>
      <c r="S60">
        <v>0</v>
      </c>
      <c r="T60">
        <v>0.13857</v>
      </c>
      <c r="U60">
        <v>4.8700000000000002E-3</v>
      </c>
      <c r="V60">
        <v>25.81775</v>
      </c>
      <c r="W60" t="s">
        <v>11</v>
      </c>
      <c r="X60">
        <v>46.881999999999998</v>
      </c>
      <c r="Y60">
        <v>145.55799999999999</v>
      </c>
      <c r="Z60">
        <v>249.346</v>
      </c>
      <c r="AA60">
        <v>0</v>
      </c>
      <c r="AB60">
        <v>0</v>
      </c>
      <c r="AC60">
        <v>0</v>
      </c>
      <c r="AD60">
        <v>0.45600000000000002</v>
      </c>
      <c r="AE60">
        <v>0</v>
      </c>
      <c r="AF60">
        <v>1.49</v>
      </c>
      <c r="AG60">
        <v>0.108</v>
      </c>
      <c r="AH60">
        <v>443.84</v>
      </c>
      <c r="AI60" t="s">
        <v>23</v>
      </c>
      <c r="AJ60">
        <v>722.5</v>
      </c>
      <c r="AK60">
        <v>852.5</v>
      </c>
      <c r="AL60">
        <v>13910</v>
      </c>
      <c r="AM60">
        <v>0</v>
      </c>
      <c r="AN60">
        <v>0</v>
      </c>
      <c r="AO60">
        <v>0</v>
      </c>
      <c r="AP60">
        <v>5</v>
      </c>
      <c r="AQ60">
        <v>0</v>
      </c>
      <c r="AR60">
        <v>20</v>
      </c>
      <c r="AS60">
        <v>15</v>
      </c>
      <c r="AT60">
        <v>15525</v>
      </c>
      <c r="AU60" t="s">
        <v>35</v>
      </c>
    </row>
    <row r="61" spans="1:47" x14ac:dyDescent="0.2">
      <c r="A61">
        <v>1421</v>
      </c>
      <c r="B61" t="s">
        <v>565</v>
      </c>
      <c r="C61">
        <v>15</v>
      </c>
      <c r="D61" t="s">
        <v>179</v>
      </c>
      <c r="G61" t="str">
        <f t="shared" si="0"/>
        <v>SWL200115UTBS1</v>
      </c>
      <c r="H61">
        <v>64.989116670000001</v>
      </c>
      <c r="I61">
        <v>-169.14099999999999</v>
      </c>
      <c r="J61" s="3">
        <v>20010719</v>
      </c>
      <c r="K61">
        <v>2001</v>
      </c>
      <c r="L61">
        <v>3.8961600000000001</v>
      </c>
      <c r="M61">
        <v>11.116440000000001</v>
      </c>
      <c r="N61">
        <v>11.187379999999999</v>
      </c>
      <c r="O61">
        <v>0</v>
      </c>
      <c r="P61">
        <v>0</v>
      </c>
      <c r="Q61">
        <v>0</v>
      </c>
      <c r="R61">
        <v>0.16964000000000001</v>
      </c>
      <c r="S61">
        <v>3.3500000000000001E-3</v>
      </c>
      <c r="T61">
        <v>0.37935000000000002</v>
      </c>
      <c r="U61">
        <v>3.5608499999999998</v>
      </c>
      <c r="V61">
        <v>30.31317</v>
      </c>
      <c r="W61" t="s">
        <v>11</v>
      </c>
      <c r="X61">
        <v>53.442</v>
      </c>
      <c r="Y61">
        <v>416.03699999999998</v>
      </c>
      <c r="Z61">
        <v>164.30099999999999</v>
      </c>
      <c r="AA61">
        <v>0</v>
      </c>
      <c r="AB61">
        <v>0</v>
      </c>
      <c r="AC61">
        <v>0</v>
      </c>
      <c r="AD61">
        <v>2.7810000000000001</v>
      </c>
      <c r="AE61">
        <v>0.23899999999999999</v>
      </c>
      <c r="AF61">
        <v>4.0789999999999997</v>
      </c>
      <c r="AG61">
        <v>57.555</v>
      </c>
      <c r="AH61">
        <v>698.43399999999997</v>
      </c>
      <c r="AI61" t="s">
        <v>22</v>
      </c>
      <c r="AJ61">
        <v>880</v>
      </c>
      <c r="AK61">
        <v>635</v>
      </c>
      <c r="AL61">
        <v>8995</v>
      </c>
      <c r="AM61">
        <v>0</v>
      </c>
      <c r="AN61">
        <v>0</v>
      </c>
      <c r="AO61">
        <v>0</v>
      </c>
      <c r="AP61">
        <v>2.5</v>
      </c>
      <c r="AQ61">
        <v>2.5</v>
      </c>
      <c r="AR61">
        <v>45</v>
      </c>
      <c r="AS61">
        <v>90</v>
      </c>
      <c r="AT61">
        <v>10650</v>
      </c>
      <c r="AU61" t="s">
        <v>35</v>
      </c>
    </row>
    <row r="62" spans="1:47" x14ac:dyDescent="0.2">
      <c r="A62">
        <v>1422</v>
      </c>
      <c r="B62" t="s">
        <v>565</v>
      </c>
      <c r="C62">
        <v>21</v>
      </c>
      <c r="D62" t="s">
        <v>559</v>
      </c>
      <c r="G62" t="str">
        <f t="shared" si="0"/>
        <v>SWL200121UTN1</v>
      </c>
      <c r="H62">
        <v>66.710266669999996</v>
      </c>
      <c r="I62">
        <v>-168.4007833</v>
      </c>
      <c r="J62" s="3">
        <v>20010720</v>
      </c>
      <c r="K62">
        <v>2001</v>
      </c>
      <c r="L62">
        <v>3.1126999999999998</v>
      </c>
      <c r="M62">
        <v>1.08975</v>
      </c>
      <c r="N62">
        <v>7.5620000000000007E-2</v>
      </c>
      <c r="O62">
        <v>0</v>
      </c>
      <c r="P62">
        <v>9.2000000000000003E-4</v>
      </c>
      <c r="Q62">
        <v>9.7746999999999993</v>
      </c>
      <c r="R62">
        <v>3.04677</v>
      </c>
      <c r="S62">
        <v>3.0633300000000001</v>
      </c>
      <c r="T62">
        <v>0</v>
      </c>
      <c r="U62">
        <v>1.0393300000000001</v>
      </c>
      <c r="V62">
        <v>21.203119999999998</v>
      </c>
      <c r="W62" t="s">
        <v>14</v>
      </c>
      <c r="X62">
        <v>44.006</v>
      </c>
      <c r="Y62">
        <v>69.412999999999997</v>
      </c>
      <c r="Z62">
        <v>1.02</v>
      </c>
      <c r="AA62">
        <v>0</v>
      </c>
      <c r="AB62">
        <v>6.6000000000000003E-2</v>
      </c>
      <c r="AC62">
        <v>1221.837</v>
      </c>
      <c r="AD62">
        <v>49.947000000000003</v>
      </c>
      <c r="AE62">
        <v>218.809</v>
      </c>
      <c r="AF62">
        <v>0</v>
      </c>
      <c r="AG62">
        <v>27.402999999999999</v>
      </c>
      <c r="AH62">
        <v>1632.501</v>
      </c>
      <c r="AI62" t="s">
        <v>26</v>
      </c>
      <c r="AJ62">
        <v>385</v>
      </c>
      <c r="AK62">
        <v>267.5</v>
      </c>
      <c r="AL62">
        <v>345</v>
      </c>
      <c r="AM62">
        <v>0</v>
      </c>
      <c r="AN62">
        <v>22.5</v>
      </c>
      <c r="AO62">
        <v>352.5</v>
      </c>
      <c r="AP62">
        <v>25</v>
      </c>
      <c r="AQ62">
        <v>70</v>
      </c>
      <c r="AR62">
        <v>0</v>
      </c>
      <c r="AS62">
        <v>82.5</v>
      </c>
      <c r="AT62">
        <v>1550</v>
      </c>
      <c r="AU62" t="s">
        <v>33</v>
      </c>
    </row>
    <row r="63" spans="1:47" x14ac:dyDescent="0.2">
      <c r="A63">
        <v>1423</v>
      </c>
      <c r="B63" t="s">
        <v>565</v>
      </c>
      <c r="C63">
        <v>22</v>
      </c>
      <c r="D63" t="s">
        <v>560</v>
      </c>
      <c r="G63" t="str">
        <f t="shared" si="0"/>
        <v>SWL200122UTN2</v>
      </c>
      <c r="H63">
        <v>67.050349999999995</v>
      </c>
      <c r="I63">
        <v>-168.7291333</v>
      </c>
      <c r="J63" s="3">
        <v>20010720</v>
      </c>
      <c r="K63">
        <v>2001</v>
      </c>
      <c r="L63">
        <v>2.7797700000000001</v>
      </c>
      <c r="M63">
        <v>4.8528799999999999</v>
      </c>
      <c r="N63">
        <v>0.32382</v>
      </c>
      <c r="O63">
        <v>0</v>
      </c>
      <c r="P63">
        <v>6.9999999999999999E-4</v>
      </c>
      <c r="Q63">
        <v>0</v>
      </c>
      <c r="R63">
        <v>0.49880000000000002</v>
      </c>
      <c r="S63">
        <v>0</v>
      </c>
      <c r="T63">
        <v>0</v>
      </c>
      <c r="U63">
        <v>1.1936899999999999</v>
      </c>
      <c r="V63">
        <v>9.6496600000000008</v>
      </c>
      <c r="W63" t="s">
        <v>10</v>
      </c>
      <c r="X63">
        <v>39.106999999999999</v>
      </c>
      <c r="Y63">
        <v>138.08099999999999</v>
      </c>
      <c r="Z63">
        <v>4.4649999999999999</v>
      </c>
      <c r="AA63">
        <v>0</v>
      </c>
      <c r="AB63">
        <v>0.05</v>
      </c>
      <c r="AC63">
        <v>0</v>
      </c>
      <c r="AD63">
        <v>8.1769999999999996</v>
      </c>
      <c r="AE63">
        <v>0</v>
      </c>
      <c r="AF63">
        <v>0</v>
      </c>
      <c r="AG63">
        <v>19.253</v>
      </c>
      <c r="AH63">
        <v>209.13300000000001</v>
      </c>
      <c r="AI63" t="s">
        <v>22</v>
      </c>
      <c r="AJ63">
        <v>805</v>
      </c>
      <c r="AK63">
        <v>897.5</v>
      </c>
      <c r="AL63">
        <v>1757.5</v>
      </c>
      <c r="AM63">
        <v>0</v>
      </c>
      <c r="AN63">
        <v>20</v>
      </c>
      <c r="AO63">
        <v>0</v>
      </c>
      <c r="AP63">
        <v>70</v>
      </c>
      <c r="AQ63">
        <v>0</v>
      </c>
      <c r="AR63">
        <v>0</v>
      </c>
      <c r="AS63">
        <v>27.5</v>
      </c>
      <c r="AT63">
        <v>3577.5</v>
      </c>
      <c r="AU63" t="s">
        <v>35</v>
      </c>
    </row>
    <row r="64" spans="1:47" x14ac:dyDescent="0.2">
      <c r="A64">
        <v>1424</v>
      </c>
      <c r="B64" t="s">
        <v>565</v>
      </c>
      <c r="C64">
        <v>23</v>
      </c>
      <c r="D64" t="s">
        <v>561</v>
      </c>
      <c r="G64" t="str">
        <f t="shared" si="0"/>
        <v>SWL200123UTN3</v>
      </c>
      <c r="H64">
        <v>67.330600000000004</v>
      </c>
      <c r="I64">
        <v>-168.9952667</v>
      </c>
      <c r="J64" s="3">
        <v>20010720</v>
      </c>
      <c r="K64">
        <v>2001</v>
      </c>
      <c r="L64">
        <v>5.0920699999999997</v>
      </c>
      <c r="M64">
        <v>23.550219999999999</v>
      </c>
      <c r="N64">
        <v>1.7146300000000001</v>
      </c>
      <c r="O64">
        <v>0</v>
      </c>
      <c r="P64">
        <v>0.21809000000000001</v>
      </c>
      <c r="Q64">
        <v>0</v>
      </c>
      <c r="R64">
        <v>1.6161300000000001</v>
      </c>
      <c r="S64">
        <v>0</v>
      </c>
      <c r="T64">
        <v>8.6499999999999997E-3</v>
      </c>
      <c r="U64">
        <v>0.53969999999999996</v>
      </c>
      <c r="V64">
        <v>32.739490000000004</v>
      </c>
      <c r="W64" t="s">
        <v>10</v>
      </c>
      <c r="X64">
        <v>72.42</v>
      </c>
      <c r="Y64">
        <v>615.66399999999999</v>
      </c>
      <c r="Z64">
        <v>23.251000000000001</v>
      </c>
      <c r="AA64">
        <v>0</v>
      </c>
      <c r="AB64">
        <v>15.577999999999999</v>
      </c>
      <c r="AC64">
        <v>0</v>
      </c>
      <c r="AD64">
        <v>26.494</v>
      </c>
      <c r="AE64">
        <v>0</v>
      </c>
      <c r="AF64">
        <v>9.2999999999999999E-2</v>
      </c>
      <c r="AG64">
        <v>22.425000000000001</v>
      </c>
      <c r="AH64">
        <v>775.92499999999995</v>
      </c>
      <c r="AI64" t="s">
        <v>22</v>
      </c>
      <c r="AJ64">
        <v>1267.5</v>
      </c>
      <c r="AK64">
        <v>757.5</v>
      </c>
      <c r="AL64">
        <v>2520</v>
      </c>
      <c r="AM64">
        <v>0</v>
      </c>
      <c r="AN64">
        <v>7.5</v>
      </c>
      <c r="AO64">
        <v>0</v>
      </c>
      <c r="AP64">
        <v>87.5</v>
      </c>
      <c r="AQ64">
        <v>0</v>
      </c>
      <c r="AR64">
        <v>2.5</v>
      </c>
      <c r="AS64">
        <v>260</v>
      </c>
      <c r="AT64">
        <v>4902.5</v>
      </c>
      <c r="AU64" t="s">
        <v>35</v>
      </c>
    </row>
    <row r="65" spans="1:47" x14ac:dyDescent="0.2">
      <c r="A65">
        <v>1425</v>
      </c>
      <c r="B65" t="s">
        <v>565</v>
      </c>
      <c r="C65">
        <v>24</v>
      </c>
      <c r="D65" t="s">
        <v>562</v>
      </c>
      <c r="G65" t="str">
        <f t="shared" si="0"/>
        <v>SWL200124UTN4</v>
      </c>
      <c r="H65">
        <v>67.495766669999995</v>
      </c>
      <c r="I65">
        <v>-168.9141333</v>
      </c>
      <c r="J65" s="3">
        <v>20010720</v>
      </c>
      <c r="K65">
        <v>2001</v>
      </c>
      <c r="L65">
        <v>6.4235699999999998</v>
      </c>
      <c r="M65">
        <v>13.066380000000001</v>
      </c>
      <c r="N65">
        <v>4.5439699999999998</v>
      </c>
      <c r="O65">
        <v>0</v>
      </c>
      <c r="P65">
        <v>0.19800000000000001</v>
      </c>
      <c r="Q65">
        <v>0</v>
      </c>
      <c r="R65">
        <v>2.4400599999999999</v>
      </c>
      <c r="S65">
        <v>1.24E-2</v>
      </c>
      <c r="T65">
        <v>2.614E-2</v>
      </c>
      <c r="U65">
        <v>0.12523999999999999</v>
      </c>
      <c r="V65">
        <v>26.835760000000001</v>
      </c>
      <c r="W65" t="s">
        <v>10</v>
      </c>
      <c r="X65">
        <v>92.72</v>
      </c>
      <c r="Y65">
        <v>361.16800000000001</v>
      </c>
      <c r="Z65">
        <v>56.612000000000002</v>
      </c>
      <c r="AA65">
        <v>0</v>
      </c>
      <c r="AB65">
        <v>14.143000000000001</v>
      </c>
      <c r="AC65">
        <v>0</v>
      </c>
      <c r="AD65">
        <v>40.000999999999998</v>
      </c>
      <c r="AE65">
        <v>0.88600000000000001</v>
      </c>
      <c r="AF65">
        <v>0.28100000000000003</v>
      </c>
      <c r="AG65">
        <v>5.4219999999999997</v>
      </c>
      <c r="AH65">
        <v>571.23299999999995</v>
      </c>
      <c r="AI65" t="s">
        <v>22</v>
      </c>
      <c r="AJ65">
        <v>962.5</v>
      </c>
      <c r="AK65">
        <v>620</v>
      </c>
      <c r="AL65">
        <v>4577.5</v>
      </c>
      <c r="AM65">
        <v>0</v>
      </c>
      <c r="AN65">
        <v>10</v>
      </c>
      <c r="AO65">
        <v>0</v>
      </c>
      <c r="AP65">
        <v>27.5</v>
      </c>
      <c r="AQ65">
        <v>2.5</v>
      </c>
      <c r="AR65">
        <v>5</v>
      </c>
      <c r="AS65">
        <v>72.5</v>
      </c>
      <c r="AT65">
        <v>6277.5</v>
      </c>
      <c r="AU65" t="s">
        <v>35</v>
      </c>
    </row>
    <row r="66" spans="1:47" x14ac:dyDescent="0.2">
      <c r="A66">
        <v>1426</v>
      </c>
      <c r="B66" t="s">
        <v>565</v>
      </c>
      <c r="C66">
        <v>25</v>
      </c>
      <c r="D66" t="s">
        <v>306</v>
      </c>
      <c r="G66" t="str">
        <f t="shared" si="0"/>
        <v>SWL200125UTN5=SEC1</v>
      </c>
      <c r="H66">
        <v>67.66825</v>
      </c>
      <c r="I66">
        <v>-168.95325</v>
      </c>
      <c r="J66" s="3">
        <v>20010720</v>
      </c>
      <c r="K66">
        <v>2001</v>
      </c>
      <c r="L66">
        <v>4.6364999999999998</v>
      </c>
      <c r="M66">
        <v>17.92024</v>
      </c>
      <c r="N66">
        <v>5.0110599999999996</v>
      </c>
      <c r="O66">
        <v>0</v>
      </c>
      <c r="P66">
        <v>8.0000000000000007E-5</v>
      </c>
      <c r="Q66">
        <v>0</v>
      </c>
      <c r="R66">
        <v>2.3102499999999999</v>
      </c>
      <c r="S66">
        <v>0</v>
      </c>
      <c r="T66">
        <v>8.7330000000000005E-2</v>
      </c>
      <c r="U66">
        <v>0.22716</v>
      </c>
      <c r="V66">
        <v>30.192620000000002</v>
      </c>
      <c r="W66" t="s">
        <v>10</v>
      </c>
      <c r="X66">
        <v>64.522000000000006</v>
      </c>
      <c r="Y66">
        <v>507.75400000000002</v>
      </c>
      <c r="Z66">
        <v>57.753999999999998</v>
      </c>
      <c r="AA66">
        <v>0</v>
      </c>
      <c r="AB66">
        <v>6.0000000000000001E-3</v>
      </c>
      <c r="AC66">
        <v>0</v>
      </c>
      <c r="AD66">
        <v>37.872999999999998</v>
      </c>
      <c r="AE66">
        <v>0</v>
      </c>
      <c r="AF66">
        <v>0.93899999999999995</v>
      </c>
      <c r="AG66">
        <v>7.4139999999999997</v>
      </c>
      <c r="AH66">
        <v>676.26199999999994</v>
      </c>
      <c r="AI66" t="s">
        <v>22</v>
      </c>
      <c r="AJ66">
        <v>877.5</v>
      </c>
      <c r="AK66">
        <v>1577.5</v>
      </c>
      <c r="AL66">
        <v>7985</v>
      </c>
      <c r="AM66">
        <v>0</v>
      </c>
      <c r="AN66">
        <v>5</v>
      </c>
      <c r="AO66">
        <v>0</v>
      </c>
      <c r="AP66">
        <v>157.5</v>
      </c>
      <c r="AQ66">
        <v>0</v>
      </c>
      <c r="AR66">
        <v>5</v>
      </c>
      <c r="AS66">
        <v>155</v>
      </c>
      <c r="AT66">
        <v>10762.5</v>
      </c>
      <c r="AU66" t="s">
        <v>35</v>
      </c>
    </row>
    <row r="67" spans="1:47" x14ac:dyDescent="0.2">
      <c r="A67">
        <v>1427</v>
      </c>
      <c r="B67" t="s">
        <v>565</v>
      </c>
      <c r="C67">
        <v>26</v>
      </c>
      <c r="D67" t="s">
        <v>563</v>
      </c>
      <c r="G67" t="str">
        <f t="shared" ref="G67:G130" si="1">CONCATENATE(B67,C67,D67)</f>
        <v>SWL200126UTN6</v>
      </c>
      <c r="H67">
        <v>67.735583329999997</v>
      </c>
      <c r="I67">
        <v>-168.95325</v>
      </c>
      <c r="J67" s="3">
        <v>20010720</v>
      </c>
      <c r="K67">
        <v>2001</v>
      </c>
      <c r="L67">
        <v>3.2570100000000002</v>
      </c>
      <c r="M67">
        <v>22.551729999999999</v>
      </c>
      <c r="N67">
        <v>1.67069</v>
      </c>
      <c r="O67">
        <v>0</v>
      </c>
      <c r="P67">
        <v>2.7999999999999998E-4</v>
      </c>
      <c r="Q67">
        <v>0</v>
      </c>
      <c r="R67">
        <v>1.3915299999999999</v>
      </c>
      <c r="S67">
        <v>0</v>
      </c>
      <c r="T67">
        <v>3.6920000000000001E-2</v>
      </c>
      <c r="U67">
        <v>0.1089</v>
      </c>
      <c r="V67">
        <v>29.017060000000001</v>
      </c>
      <c r="W67" t="s">
        <v>10</v>
      </c>
      <c r="X67">
        <v>42.924999999999997</v>
      </c>
      <c r="Y67">
        <v>618.72</v>
      </c>
      <c r="Z67">
        <v>20.259</v>
      </c>
      <c r="AA67">
        <v>0</v>
      </c>
      <c r="AB67">
        <v>0.02</v>
      </c>
      <c r="AC67">
        <v>0</v>
      </c>
      <c r="AD67">
        <v>22.812000000000001</v>
      </c>
      <c r="AE67">
        <v>0</v>
      </c>
      <c r="AF67">
        <v>0.39700000000000002</v>
      </c>
      <c r="AG67">
        <v>5.1779999999999999</v>
      </c>
      <c r="AH67">
        <v>710.31100000000004</v>
      </c>
      <c r="AI67" t="s">
        <v>22</v>
      </c>
      <c r="AJ67">
        <v>810</v>
      </c>
      <c r="AK67">
        <v>642.5</v>
      </c>
      <c r="AL67">
        <v>1570</v>
      </c>
      <c r="AM67">
        <v>0</v>
      </c>
      <c r="AN67">
        <v>7.5</v>
      </c>
      <c r="AO67">
        <v>0</v>
      </c>
      <c r="AP67">
        <v>45</v>
      </c>
      <c r="AQ67">
        <v>0</v>
      </c>
      <c r="AR67">
        <v>5</v>
      </c>
      <c r="AS67">
        <v>95</v>
      </c>
      <c r="AT67">
        <v>3175</v>
      </c>
      <c r="AU67" t="s">
        <v>35</v>
      </c>
    </row>
    <row r="68" spans="1:47" x14ac:dyDescent="0.2">
      <c r="A68">
        <v>1428</v>
      </c>
      <c r="B68" t="s">
        <v>565</v>
      </c>
      <c r="C68">
        <v>27</v>
      </c>
      <c r="D68" t="s">
        <v>564</v>
      </c>
      <c r="G68" t="str">
        <f t="shared" si="1"/>
        <v>SWL200127UTN7</v>
      </c>
      <c r="H68">
        <v>67.994950000000003</v>
      </c>
      <c r="I68">
        <v>-168.93538330000001</v>
      </c>
      <c r="J68" s="3">
        <v>20010720</v>
      </c>
      <c r="K68">
        <v>2001</v>
      </c>
      <c r="L68">
        <v>4.1345499999999999</v>
      </c>
      <c r="M68">
        <v>42.762720000000002</v>
      </c>
      <c r="N68">
        <v>7.8353000000000002</v>
      </c>
      <c r="O68">
        <v>0</v>
      </c>
      <c r="P68">
        <v>1.9769999999999999E-2</v>
      </c>
      <c r="Q68">
        <v>0</v>
      </c>
      <c r="R68">
        <v>1.4969399999999999</v>
      </c>
      <c r="S68">
        <v>7.43E-3</v>
      </c>
      <c r="T68">
        <v>6.8260000000000001E-2</v>
      </c>
      <c r="U68">
        <v>2.3043</v>
      </c>
      <c r="V68">
        <v>58.629269999999998</v>
      </c>
      <c r="W68" t="s">
        <v>10</v>
      </c>
      <c r="X68">
        <v>56.856000000000002</v>
      </c>
      <c r="Y68">
        <v>1135.0050000000001</v>
      </c>
      <c r="Z68">
        <v>85.281000000000006</v>
      </c>
      <c r="AA68">
        <v>0</v>
      </c>
      <c r="AB68">
        <v>1.4119999999999999</v>
      </c>
      <c r="AC68">
        <v>0</v>
      </c>
      <c r="AD68">
        <v>24.54</v>
      </c>
      <c r="AE68">
        <v>0.53100000000000003</v>
      </c>
      <c r="AF68">
        <v>0.73399999999999999</v>
      </c>
      <c r="AG68">
        <v>78.936999999999998</v>
      </c>
      <c r="AH68">
        <v>1383.296</v>
      </c>
      <c r="AI68" t="s">
        <v>22</v>
      </c>
      <c r="AJ68">
        <v>687.5</v>
      </c>
      <c r="AK68">
        <v>1662.5</v>
      </c>
      <c r="AL68">
        <v>5062.5</v>
      </c>
      <c r="AM68">
        <v>0</v>
      </c>
      <c r="AN68">
        <v>5</v>
      </c>
      <c r="AO68">
        <v>0</v>
      </c>
      <c r="AP68">
        <v>57.5</v>
      </c>
      <c r="AQ68">
        <v>2.5</v>
      </c>
      <c r="AR68">
        <v>2.5</v>
      </c>
      <c r="AS68">
        <v>75</v>
      </c>
      <c r="AT68">
        <v>7555</v>
      </c>
      <c r="AU68" t="s">
        <v>35</v>
      </c>
    </row>
    <row r="69" spans="1:47" x14ac:dyDescent="0.2">
      <c r="A69">
        <v>1429</v>
      </c>
      <c r="B69" t="s">
        <v>565</v>
      </c>
      <c r="C69">
        <v>7</v>
      </c>
      <c r="D69" t="s">
        <v>551</v>
      </c>
      <c r="E69" s="5" t="s">
        <v>268</v>
      </c>
      <c r="F69" s="4" t="s">
        <v>551</v>
      </c>
      <c r="G69" t="str">
        <f t="shared" si="1"/>
        <v>SWL20017SLIP1</v>
      </c>
      <c r="H69">
        <v>62.012583329999998</v>
      </c>
      <c r="I69">
        <v>-175.05441669999999</v>
      </c>
      <c r="J69" s="3">
        <v>20010717</v>
      </c>
      <c r="K69">
        <v>2001</v>
      </c>
      <c r="L69">
        <v>5.7107599999999996</v>
      </c>
      <c r="M69">
        <v>13.128920000000001</v>
      </c>
      <c r="N69">
        <v>0.12572</v>
      </c>
      <c r="O69">
        <v>0</v>
      </c>
      <c r="P69">
        <v>0.29987999999999998</v>
      </c>
      <c r="Q69">
        <v>0</v>
      </c>
      <c r="R69">
        <v>0</v>
      </c>
      <c r="S69">
        <v>0</v>
      </c>
      <c r="T69">
        <v>9.2099999999999994E-3</v>
      </c>
      <c r="U69">
        <v>4.2250000000000003E-2</v>
      </c>
      <c r="V69">
        <v>19.316739999999999</v>
      </c>
      <c r="W69" t="s">
        <v>10</v>
      </c>
      <c r="X69">
        <v>81.917000000000002</v>
      </c>
      <c r="Y69">
        <v>475.702</v>
      </c>
      <c r="Z69">
        <v>1.68</v>
      </c>
      <c r="AA69">
        <v>0</v>
      </c>
      <c r="AB69">
        <v>21.42</v>
      </c>
      <c r="AC69">
        <v>0</v>
      </c>
      <c r="AD69">
        <v>0</v>
      </c>
      <c r="AE69">
        <v>0</v>
      </c>
      <c r="AF69">
        <v>9.9000000000000005E-2</v>
      </c>
      <c r="AG69">
        <v>1.0580000000000001</v>
      </c>
      <c r="AH69">
        <v>581.87599999999998</v>
      </c>
      <c r="AI69" t="s">
        <v>22</v>
      </c>
      <c r="AJ69">
        <v>700</v>
      </c>
      <c r="AK69">
        <v>507.5</v>
      </c>
      <c r="AL69">
        <v>317.5</v>
      </c>
      <c r="AM69">
        <v>0</v>
      </c>
      <c r="AN69">
        <v>17.5</v>
      </c>
      <c r="AO69">
        <v>0</v>
      </c>
      <c r="AP69">
        <v>0</v>
      </c>
      <c r="AQ69">
        <v>0</v>
      </c>
      <c r="AR69">
        <v>2.5</v>
      </c>
      <c r="AS69">
        <v>145</v>
      </c>
      <c r="AT69">
        <v>1690</v>
      </c>
      <c r="AU69" t="s">
        <v>33</v>
      </c>
    </row>
    <row r="70" spans="1:47" x14ac:dyDescent="0.2">
      <c r="A70">
        <v>1430</v>
      </c>
      <c r="B70" t="s">
        <v>565</v>
      </c>
      <c r="C70">
        <v>8</v>
      </c>
      <c r="D70" t="s">
        <v>552</v>
      </c>
      <c r="E70" s="5" t="s">
        <v>279</v>
      </c>
      <c r="F70" s="4" t="s">
        <v>552</v>
      </c>
      <c r="G70" t="str">
        <f t="shared" si="1"/>
        <v>SWL20018SLIP2</v>
      </c>
      <c r="H70">
        <v>62.049950000000003</v>
      </c>
      <c r="I70">
        <v>-175.20439999999999</v>
      </c>
      <c r="J70" s="3">
        <v>20010717</v>
      </c>
      <c r="K70">
        <v>2001</v>
      </c>
      <c r="L70">
        <v>4.7242699999999997</v>
      </c>
      <c r="M70">
        <v>13.752090000000001</v>
      </c>
      <c r="N70">
        <v>5.9119999999999999E-2</v>
      </c>
      <c r="O70">
        <v>0</v>
      </c>
      <c r="P70">
        <v>0.3402</v>
      </c>
      <c r="Q70">
        <v>3.0000000000000001E-5</v>
      </c>
      <c r="R70">
        <v>0</v>
      </c>
      <c r="S70">
        <v>0.12508</v>
      </c>
      <c r="T70">
        <v>0.90888999999999998</v>
      </c>
      <c r="U70">
        <v>0.11454</v>
      </c>
      <c r="V70">
        <v>20.02422</v>
      </c>
      <c r="W70" t="s">
        <v>10</v>
      </c>
      <c r="X70">
        <v>68.825000000000003</v>
      </c>
      <c r="Y70">
        <v>587.42700000000002</v>
      </c>
      <c r="Z70">
        <v>0.85599999999999998</v>
      </c>
      <c r="AA70">
        <v>0</v>
      </c>
      <c r="AB70">
        <v>24.3</v>
      </c>
      <c r="AC70">
        <v>3.0000000000000001E-3</v>
      </c>
      <c r="AD70">
        <v>0</v>
      </c>
      <c r="AE70">
        <v>8.9339999999999993</v>
      </c>
      <c r="AF70">
        <v>9.7729999999999997</v>
      </c>
      <c r="AG70">
        <v>2.1480000000000001</v>
      </c>
      <c r="AH70">
        <v>702.26599999999996</v>
      </c>
      <c r="AI70" t="s">
        <v>22</v>
      </c>
      <c r="AJ70">
        <v>642.5</v>
      </c>
      <c r="AK70">
        <v>567.5</v>
      </c>
      <c r="AL70">
        <v>142.5</v>
      </c>
      <c r="AM70">
        <v>0</v>
      </c>
      <c r="AN70">
        <v>37.5</v>
      </c>
      <c r="AO70">
        <v>2.5</v>
      </c>
      <c r="AP70">
        <v>0</v>
      </c>
      <c r="AQ70">
        <v>2.5</v>
      </c>
      <c r="AR70">
        <v>7.5</v>
      </c>
      <c r="AS70">
        <v>195</v>
      </c>
      <c r="AT70">
        <v>1597.5</v>
      </c>
      <c r="AU70" t="s">
        <v>33</v>
      </c>
    </row>
    <row r="71" spans="1:47" x14ac:dyDescent="0.2">
      <c r="A71">
        <v>1431</v>
      </c>
      <c r="B71" t="s">
        <v>565</v>
      </c>
      <c r="C71">
        <v>9</v>
      </c>
      <c r="D71" t="s">
        <v>553</v>
      </c>
      <c r="E71" s="5" t="s">
        <v>301</v>
      </c>
      <c r="F71" s="4" t="s">
        <v>553</v>
      </c>
      <c r="G71" t="str">
        <f t="shared" si="1"/>
        <v>SWL20019SLIP3</v>
      </c>
      <c r="H71">
        <v>62.394100000000002</v>
      </c>
      <c r="I71">
        <v>-174.56729999999999</v>
      </c>
      <c r="J71" s="3">
        <v>20010717</v>
      </c>
      <c r="K71">
        <v>2001</v>
      </c>
      <c r="L71">
        <v>4.3033099999999997</v>
      </c>
      <c r="M71">
        <v>13.27352</v>
      </c>
      <c r="N71">
        <v>0.26440999999999998</v>
      </c>
      <c r="O71">
        <v>0</v>
      </c>
      <c r="P71">
        <v>0.75978000000000001</v>
      </c>
      <c r="Q71">
        <v>0</v>
      </c>
      <c r="R71">
        <v>1.1000000000000001E-3</v>
      </c>
      <c r="S71">
        <v>0.20494999999999999</v>
      </c>
      <c r="T71">
        <v>1.6E-2</v>
      </c>
      <c r="U71">
        <v>4.0099999999999997E-2</v>
      </c>
      <c r="V71">
        <v>18.86317</v>
      </c>
      <c r="W71" t="s">
        <v>10</v>
      </c>
      <c r="X71">
        <v>58.215000000000003</v>
      </c>
      <c r="Y71">
        <v>542.20399999999995</v>
      </c>
      <c r="Z71">
        <v>3.5089999999999999</v>
      </c>
      <c r="AA71">
        <v>0</v>
      </c>
      <c r="AB71">
        <v>54.27</v>
      </c>
      <c r="AC71">
        <v>0</v>
      </c>
      <c r="AD71">
        <v>1.7999999999999999E-2</v>
      </c>
      <c r="AE71">
        <v>14.638999999999999</v>
      </c>
      <c r="AF71">
        <v>0.17199999999999999</v>
      </c>
      <c r="AG71">
        <v>0.91700000000000004</v>
      </c>
      <c r="AH71">
        <v>673.94399999999996</v>
      </c>
      <c r="AI71" t="s">
        <v>22</v>
      </c>
      <c r="AJ71">
        <v>855</v>
      </c>
      <c r="AK71">
        <v>465</v>
      </c>
      <c r="AL71">
        <v>235</v>
      </c>
      <c r="AM71">
        <v>0</v>
      </c>
      <c r="AN71">
        <v>70</v>
      </c>
      <c r="AO71">
        <v>0</v>
      </c>
      <c r="AP71">
        <v>2.5</v>
      </c>
      <c r="AQ71">
        <v>7.5</v>
      </c>
      <c r="AR71">
        <v>5</v>
      </c>
      <c r="AS71">
        <v>150</v>
      </c>
      <c r="AT71">
        <v>1790</v>
      </c>
      <c r="AU71" t="s">
        <v>33</v>
      </c>
    </row>
    <row r="72" spans="1:47" x14ac:dyDescent="0.2">
      <c r="A72">
        <v>190</v>
      </c>
      <c r="B72" t="s">
        <v>922</v>
      </c>
      <c r="C72">
        <v>0</v>
      </c>
      <c r="D72" t="s">
        <v>179</v>
      </c>
      <c r="G72" t="str">
        <f t="shared" si="1"/>
        <v>HLY0201=SBI-02SPRING0UTBS1</v>
      </c>
      <c r="H72">
        <v>65.003833</v>
      </c>
      <c r="I72">
        <v>-169.113833</v>
      </c>
      <c r="J72" s="3">
        <v>20020508</v>
      </c>
      <c r="K72">
        <v>2002</v>
      </c>
      <c r="L72">
        <v>2.5916700000000001</v>
      </c>
      <c r="M72">
        <v>7.2799500000000004</v>
      </c>
      <c r="N72">
        <v>12.80372</v>
      </c>
      <c r="O72">
        <v>0</v>
      </c>
      <c r="P72">
        <v>3.8999999999999999E-4</v>
      </c>
      <c r="Q72">
        <v>0</v>
      </c>
      <c r="R72">
        <v>0.15726000000000001</v>
      </c>
      <c r="S72">
        <v>0</v>
      </c>
      <c r="T72">
        <v>0.51104000000000005</v>
      </c>
      <c r="U72">
        <v>7.3999999999999999E-4</v>
      </c>
      <c r="V72">
        <v>23.34477</v>
      </c>
      <c r="W72" t="s">
        <v>11</v>
      </c>
      <c r="X72">
        <v>37.600999999999999</v>
      </c>
      <c r="Y72">
        <v>272.02300000000002</v>
      </c>
      <c r="Z72">
        <v>186.79900000000001</v>
      </c>
      <c r="AA72">
        <v>0</v>
      </c>
      <c r="AB72">
        <v>2.8000000000000001E-2</v>
      </c>
      <c r="AC72">
        <v>0</v>
      </c>
      <c r="AD72">
        <v>2.5779999999999998</v>
      </c>
      <c r="AE72">
        <v>0</v>
      </c>
      <c r="AF72">
        <v>5.4950000000000001</v>
      </c>
      <c r="AG72">
        <v>1.2E-2</v>
      </c>
      <c r="AH72">
        <v>504.536</v>
      </c>
      <c r="AI72" t="s">
        <v>22</v>
      </c>
      <c r="AJ72">
        <v>590</v>
      </c>
      <c r="AK72">
        <v>1172.5</v>
      </c>
      <c r="AL72">
        <v>9865</v>
      </c>
      <c r="AM72">
        <v>0</v>
      </c>
      <c r="AN72">
        <v>2.5</v>
      </c>
      <c r="AO72">
        <v>0</v>
      </c>
      <c r="AP72">
        <v>2.5</v>
      </c>
      <c r="AQ72">
        <v>0</v>
      </c>
      <c r="AR72">
        <v>82.5</v>
      </c>
      <c r="AS72">
        <v>2.5</v>
      </c>
      <c r="AT72">
        <v>11717.5</v>
      </c>
      <c r="AU72" t="s">
        <v>35</v>
      </c>
    </row>
    <row r="73" spans="1:47" x14ac:dyDescent="0.2">
      <c r="A73">
        <v>191</v>
      </c>
      <c r="B73" t="s">
        <v>922</v>
      </c>
      <c r="C73">
        <v>1</v>
      </c>
      <c r="D73" t="s">
        <v>180</v>
      </c>
      <c r="G73" t="str">
        <f t="shared" si="1"/>
        <v>HLY0201=SBI-02SPRING1HV1</v>
      </c>
      <c r="H73">
        <v>67.503167000000005</v>
      </c>
      <c r="I73">
        <v>-168.94049999999999</v>
      </c>
      <c r="J73" s="3">
        <v>20020510</v>
      </c>
      <c r="K73">
        <v>2002</v>
      </c>
      <c r="L73">
        <v>4.4402100000000004</v>
      </c>
      <c r="M73">
        <v>9.7155100000000001</v>
      </c>
      <c r="N73">
        <v>7.2028299999999996</v>
      </c>
      <c r="O73">
        <v>0</v>
      </c>
      <c r="P73">
        <v>0.63063000000000002</v>
      </c>
      <c r="Q73">
        <v>0</v>
      </c>
      <c r="R73">
        <v>2.0894300000000001</v>
      </c>
      <c r="S73">
        <v>0</v>
      </c>
      <c r="T73">
        <v>5.636E-2</v>
      </c>
      <c r="U73">
        <v>0.53720999999999997</v>
      </c>
      <c r="V73">
        <v>24.672180000000001</v>
      </c>
      <c r="W73" t="s">
        <v>10</v>
      </c>
      <c r="X73">
        <v>63.911999999999999</v>
      </c>
      <c r="Y73">
        <v>268.60300000000001</v>
      </c>
      <c r="Z73">
        <v>86.906000000000006</v>
      </c>
      <c r="AA73">
        <v>0</v>
      </c>
      <c r="AB73">
        <v>45.045000000000002</v>
      </c>
      <c r="AC73">
        <v>0</v>
      </c>
      <c r="AD73">
        <v>34.253</v>
      </c>
      <c r="AE73">
        <v>0</v>
      </c>
      <c r="AF73">
        <v>0.60599999999999998</v>
      </c>
      <c r="AG73">
        <v>19.349</v>
      </c>
      <c r="AH73">
        <v>518.67399999999998</v>
      </c>
      <c r="AI73" t="s">
        <v>22</v>
      </c>
      <c r="AJ73">
        <v>692.5</v>
      </c>
      <c r="AK73">
        <v>1992.5</v>
      </c>
      <c r="AL73">
        <v>8395</v>
      </c>
      <c r="AM73">
        <v>0</v>
      </c>
      <c r="AN73">
        <v>27.5</v>
      </c>
      <c r="AO73">
        <v>0</v>
      </c>
      <c r="AP73">
        <v>65</v>
      </c>
      <c r="AQ73">
        <v>0</v>
      </c>
      <c r="AR73">
        <v>10</v>
      </c>
      <c r="AS73">
        <v>110</v>
      </c>
      <c r="AT73">
        <v>11292.5</v>
      </c>
      <c r="AU73" t="s">
        <v>35</v>
      </c>
    </row>
    <row r="74" spans="1:47" x14ac:dyDescent="0.2">
      <c r="A74">
        <v>192</v>
      </c>
      <c r="B74" t="s">
        <v>922</v>
      </c>
      <c r="C74">
        <v>10</v>
      </c>
      <c r="D74" t="s">
        <v>181</v>
      </c>
      <c r="G74" t="str">
        <f t="shared" si="1"/>
        <v>HLY0201=SBI-02SPRING10WHS6</v>
      </c>
      <c r="H74">
        <v>73.453166999999993</v>
      </c>
      <c r="I74">
        <v>-159.852</v>
      </c>
      <c r="J74" s="3">
        <v>20020520</v>
      </c>
      <c r="K74">
        <v>2002</v>
      </c>
      <c r="L74">
        <v>8.1399999999999997E-3</v>
      </c>
      <c r="M74">
        <v>6.2899999999999998E-2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7.1040000000000006E-2</v>
      </c>
      <c r="W74" t="s">
        <v>10</v>
      </c>
      <c r="X74">
        <v>0.11799999999999999</v>
      </c>
      <c r="Y74">
        <v>2.2309999999999999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2.3490000000000002</v>
      </c>
      <c r="AI74" t="s">
        <v>22</v>
      </c>
      <c r="AJ74">
        <v>25.062999999999999</v>
      </c>
      <c r="AK74">
        <v>50.125999999999998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75.188999999999993</v>
      </c>
      <c r="AU74" t="s">
        <v>34</v>
      </c>
    </row>
    <row r="75" spans="1:47" x14ac:dyDescent="0.2">
      <c r="A75">
        <v>193</v>
      </c>
      <c r="B75" t="s">
        <v>922</v>
      </c>
      <c r="C75">
        <v>11</v>
      </c>
      <c r="D75" t="s">
        <v>182</v>
      </c>
      <c r="G75" t="str">
        <f t="shared" si="1"/>
        <v>HLY0201=SBI-02SPRING11WHS7</v>
      </c>
      <c r="H75">
        <v>73.776167000000001</v>
      </c>
      <c r="I75">
        <v>-159.0515</v>
      </c>
      <c r="J75" s="3">
        <v>20020521</v>
      </c>
      <c r="K75">
        <v>2002</v>
      </c>
      <c r="L75">
        <v>9.11E-3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9.11E-3</v>
      </c>
      <c r="W75" t="s">
        <v>9</v>
      </c>
      <c r="X75">
        <v>0.13200000000000001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0.13200000000000001</v>
      </c>
      <c r="AI75" t="s">
        <v>21</v>
      </c>
      <c r="AJ75">
        <v>37.594000000000001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37.594000000000001</v>
      </c>
      <c r="AU75" t="s">
        <v>33</v>
      </c>
    </row>
    <row r="76" spans="1:47" x14ac:dyDescent="0.2">
      <c r="A76">
        <v>194</v>
      </c>
      <c r="B76" t="s">
        <v>922</v>
      </c>
      <c r="C76">
        <v>12</v>
      </c>
      <c r="D76" t="s">
        <v>183</v>
      </c>
      <c r="G76" t="str">
        <f t="shared" si="1"/>
        <v>HLY0201=SBI-02SPRING12EHS11</v>
      </c>
      <c r="H76">
        <v>73.488332999999997</v>
      </c>
      <c r="I76">
        <v>-157.68799999999999</v>
      </c>
      <c r="J76" s="3">
        <v>20020523</v>
      </c>
      <c r="K76">
        <v>2002</v>
      </c>
      <c r="L76">
        <v>1.14768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1.14768</v>
      </c>
      <c r="W76" t="s">
        <v>9</v>
      </c>
      <c r="X76">
        <v>15.94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15.94</v>
      </c>
      <c r="AI76" t="s">
        <v>21</v>
      </c>
      <c r="AJ76">
        <v>25.062999999999999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25.062999999999999</v>
      </c>
      <c r="AU76" t="s">
        <v>33</v>
      </c>
    </row>
    <row r="77" spans="1:47" x14ac:dyDescent="0.2">
      <c r="A77">
        <v>195</v>
      </c>
      <c r="B77" t="s">
        <v>922</v>
      </c>
      <c r="C77">
        <v>14</v>
      </c>
      <c r="D77" t="s">
        <v>184</v>
      </c>
      <c r="G77" t="str">
        <f t="shared" si="1"/>
        <v>HLY0201=SBI-02SPRING14EHS9</v>
      </c>
      <c r="H77">
        <v>73.107332999999997</v>
      </c>
      <c r="I77">
        <v>-158.25883300000001</v>
      </c>
      <c r="J77" s="3">
        <v>20020524</v>
      </c>
      <c r="K77">
        <v>2002</v>
      </c>
      <c r="L77">
        <v>1.7170000000000001E-2</v>
      </c>
      <c r="M77">
        <v>6.1999999999999998E-3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3.2299999999999998E-3</v>
      </c>
      <c r="V77">
        <v>2.6599999999999999E-2</v>
      </c>
      <c r="W77" t="s">
        <v>9</v>
      </c>
      <c r="X77">
        <v>0.24</v>
      </c>
      <c r="Y77">
        <v>0.13200000000000001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0.154</v>
      </c>
      <c r="AH77">
        <v>0.52600000000000002</v>
      </c>
      <c r="AI77" t="s">
        <v>21</v>
      </c>
      <c r="AJ77">
        <v>37.594000000000001</v>
      </c>
      <c r="AK77">
        <v>75.188000000000002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18.797000000000001</v>
      </c>
      <c r="AT77">
        <v>131.57900000000001</v>
      </c>
      <c r="AU77" t="s">
        <v>34</v>
      </c>
    </row>
    <row r="78" spans="1:47" x14ac:dyDescent="0.2">
      <c r="A78">
        <v>196</v>
      </c>
      <c r="B78" t="s">
        <v>922</v>
      </c>
      <c r="C78">
        <v>16</v>
      </c>
      <c r="D78" t="s">
        <v>185</v>
      </c>
      <c r="G78" t="str">
        <f t="shared" si="1"/>
        <v>HLY0201=SBI-02SPRING16EHS7</v>
      </c>
      <c r="H78">
        <v>72.877832999999995</v>
      </c>
      <c r="I78">
        <v>-158.413667</v>
      </c>
      <c r="J78" s="3">
        <v>20020526</v>
      </c>
      <c r="K78">
        <v>2002</v>
      </c>
      <c r="L78">
        <v>0.24113999999999999</v>
      </c>
      <c r="M78">
        <v>0.16547999999999999</v>
      </c>
      <c r="N78">
        <v>8.3599999999999994E-3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0.41498000000000002</v>
      </c>
      <c r="W78" t="s">
        <v>9</v>
      </c>
      <c r="X78">
        <v>3.1469999999999998</v>
      </c>
      <c r="Y78">
        <v>5.726</v>
      </c>
      <c r="Z78">
        <v>0.113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8.9860000000000007</v>
      </c>
      <c r="AI78" t="s">
        <v>22</v>
      </c>
      <c r="AJ78">
        <v>187.97</v>
      </c>
      <c r="AK78">
        <v>1315.79</v>
      </c>
      <c r="AL78">
        <v>37.594000000000001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1541.354</v>
      </c>
      <c r="AU78" t="s">
        <v>34</v>
      </c>
    </row>
    <row r="79" spans="1:47" x14ac:dyDescent="0.2">
      <c r="A79">
        <v>197</v>
      </c>
      <c r="B79" t="s">
        <v>922</v>
      </c>
      <c r="C79">
        <v>17</v>
      </c>
      <c r="D79" t="s">
        <v>186</v>
      </c>
      <c r="G79" t="str">
        <f t="shared" si="1"/>
        <v>HLY0201=SBI-02SPRING17EHS6</v>
      </c>
      <c r="H79">
        <v>72.868667000000002</v>
      </c>
      <c r="I79">
        <v>-158.54750000000001</v>
      </c>
      <c r="J79" s="3">
        <v>20020527</v>
      </c>
      <c r="K79">
        <v>2002</v>
      </c>
      <c r="L79">
        <v>0.65776999999999997</v>
      </c>
      <c r="M79">
        <v>1.26E-2</v>
      </c>
      <c r="N79">
        <v>6.7119999999999999E-2</v>
      </c>
      <c r="O79">
        <v>9.4599999999999997E-3</v>
      </c>
      <c r="P79">
        <v>0.35355999999999999</v>
      </c>
      <c r="Q79">
        <v>0</v>
      </c>
      <c r="R79">
        <v>0</v>
      </c>
      <c r="S79">
        <v>0</v>
      </c>
      <c r="T79">
        <v>0.19744</v>
      </c>
      <c r="U79">
        <v>5.466E-2</v>
      </c>
      <c r="V79">
        <v>1.3526100000000001</v>
      </c>
      <c r="W79" t="s">
        <v>9</v>
      </c>
      <c r="X79">
        <v>9.2420000000000009</v>
      </c>
      <c r="Y79">
        <v>0.501</v>
      </c>
      <c r="Z79">
        <v>0.86799999999999999</v>
      </c>
      <c r="AA79">
        <v>0.21</v>
      </c>
      <c r="AB79">
        <v>25.254000000000001</v>
      </c>
      <c r="AC79">
        <v>0</v>
      </c>
      <c r="AD79">
        <v>0</v>
      </c>
      <c r="AE79">
        <v>0</v>
      </c>
      <c r="AF79">
        <v>2.1230000000000002</v>
      </c>
      <c r="AG79">
        <v>2.3159999999999998</v>
      </c>
      <c r="AH79">
        <v>40.514000000000003</v>
      </c>
      <c r="AI79" t="s">
        <v>25</v>
      </c>
      <c r="AJ79">
        <v>480</v>
      </c>
      <c r="AK79">
        <v>180</v>
      </c>
      <c r="AL79">
        <v>360</v>
      </c>
      <c r="AM79">
        <v>47.5</v>
      </c>
      <c r="AN79">
        <v>2.5</v>
      </c>
      <c r="AO79">
        <v>0</v>
      </c>
      <c r="AP79">
        <v>0</v>
      </c>
      <c r="AQ79">
        <v>0</v>
      </c>
      <c r="AR79">
        <v>5</v>
      </c>
      <c r="AS79">
        <v>22.5</v>
      </c>
      <c r="AT79">
        <v>1097.5</v>
      </c>
      <c r="AU79" t="s">
        <v>33</v>
      </c>
    </row>
    <row r="80" spans="1:47" x14ac:dyDescent="0.2">
      <c r="A80">
        <v>198</v>
      </c>
      <c r="B80" t="s">
        <v>922</v>
      </c>
      <c r="C80">
        <v>18</v>
      </c>
      <c r="D80" t="s">
        <v>187</v>
      </c>
      <c r="G80" t="str">
        <f t="shared" si="1"/>
        <v>HLY0201=SBI-02SPRING18EHS5</v>
      </c>
      <c r="H80">
        <v>72.754333000000003</v>
      </c>
      <c r="I80">
        <v>-158.7475</v>
      </c>
      <c r="J80" s="3">
        <v>20020528</v>
      </c>
      <c r="K80">
        <v>2002</v>
      </c>
      <c r="L80">
        <v>1.79901</v>
      </c>
      <c r="M80">
        <v>2.3449999999999999E-2</v>
      </c>
      <c r="N80">
        <v>0.20508000000000001</v>
      </c>
      <c r="O80">
        <v>0.91278999999999999</v>
      </c>
      <c r="P80">
        <v>0</v>
      </c>
      <c r="Q80">
        <v>0</v>
      </c>
      <c r="R80">
        <v>0</v>
      </c>
      <c r="S80">
        <v>0</v>
      </c>
      <c r="T80">
        <v>1.4409999999999999E-2</v>
      </c>
      <c r="U80">
        <v>0.47040999999999999</v>
      </c>
      <c r="V80">
        <v>3.4251499999999999</v>
      </c>
      <c r="W80" t="s">
        <v>9</v>
      </c>
      <c r="X80">
        <v>25.907</v>
      </c>
      <c r="Y80">
        <v>0.57599999999999996</v>
      </c>
      <c r="Z80">
        <v>3.0059999999999998</v>
      </c>
      <c r="AA80">
        <v>20.283999999999999</v>
      </c>
      <c r="AB80">
        <v>0</v>
      </c>
      <c r="AC80">
        <v>0</v>
      </c>
      <c r="AD80">
        <v>0</v>
      </c>
      <c r="AE80">
        <v>0</v>
      </c>
      <c r="AF80">
        <v>0.155</v>
      </c>
      <c r="AG80">
        <v>10.37</v>
      </c>
      <c r="AH80">
        <v>60.298000000000002</v>
      </c>
      <c r="AI80" t="s">
        <v>21</v>
      </c>
      <c r="AJ80">
        <v>562.5</v>
      </c>
      <c r="AK80">
        <v>107.5</v>
      </c>
      <c r="AL80">
        <v>155</v>
      </c>
      <c r="AM80">
        <v>7.5</v>
      </c>
      <c r="AN80">
        <v>0</v>
      </c>
      <c r="AO80">
        <v>0</v>
      </c>
      <c r="AP80">
        <v>0</v>
      </c>
      <c r="AQ80">
        <v>0</v>
      </c>
      <c r="AR80">
        <v>2.5</v>
      </c>
      <c r="AS80">
        <v>132.5</v>
      </c>
      <c r="AT80">
        <v>967.5</v>
      </c>
      <c r="AU80" t="s">
        <v>33</v>
      </c>
    </row>
    <row r="81" spans="1:47" x14ac:dyDescent="0.2">
      <c r="A81">
        <v>199</v>
      </c>
      <c r="B81" t="s">
        <v>922</v>
      </c>
      <c r="C81">
        <v>19</v>
      </c>
      <c r="D81" t="s">
        <v>188</v>
      </c>
      <c r="G81" t="str">
        <f t="shared" si="1"/>
        <v>HLY0201=SBI-02SPRING19EHS4</v>
      </c>
      <c r="H81">
        <v>72.603166999999999</v>
      </c>
      <c r="I81">
        <v>-158.94966700000001</v>
      </c>
      <c r="J81" s="3">
        <v>20020529</v>
      </c>
      <c r="K81">
        <v>2002</v>
      </c>
      <c r="L81">
        <v>3.0090699999999999</v>
      </c>
      <c r="M81">
        <v>5.6953300000000002</v>
      </c>
      <c r="N81">
        <v>0.1744</v>
      </c>
      <c r="O81">
        <v>0</v>
      </c>
      <c r="P81">
        <v>0.13947999999999999</v>
      </c>
      <c r="Q81">
        <v>0</v>
      </c>
      <c r="R81">
        <v>5.3379999999999997E-2</v>
      </c>
      <c r="S81">
        <v>0</v>
      </c>
      <c r="T81">
        <v>0.15995999999999999</v>
      </c>
      <c r="U81">
        <v>0.10738</v>
      </c>
      <c r="V81">
        <v>9.3390000000000004</v>
      </c>
      <c r="W81" t="s">
        <v>10</v>
      </c>
      <c r="X81">
        <v>42.002000000000002</v>
      </c>
      <c r="Y81">
        <v>162.958</v>
      </c>
      <c r="Z81">
        <v>2.4849999999999999</v>
      </c>
      <c r="AA81">
        <v>0</v>
      </c>
      <c r="AB81">
        <v>9.9629999999999992</v>
      </c>
      <c r="AC81">
        <v>0</v>
      </c>
      <c r="AD81">
        <v>0.875</v>
      </c>
      <c r="AE81">
        <v>0</v>
      </c>
      <c r="AF81">
        <v>1.72</v>
      </c>
      <c r="AG81">
        <v>2.7669999999999999</v>
      </c>
      <c r="AH81">
        <v>222.77</v>
      </c>
      <c r="AI81" t="s">
        <v>22</v>
      </c>
      <c r="AJ81">
        <v>780</v>
      </c>
      <c r="AK81">
        <v>1212.5</v>
      </c>
      <c r="AL81">
        <v>515</v>
      </c>
      <c r="AM81">
        <v>0</v>
      </c>
      <c r="AN81">
        <v>145</v>
      </c>
      <c r="AO81">
        <v>0</v>
      </c>
      <c r="AP81">
        <v>15</v>
      </c>
      <c r="AQ81">
        <v>0</v>
      </c>
      <c r="AR81">
        <v>5</v>
      </c>
      <c r="AS81">
        <v>145</v>
      </c>
      <c r="AT81">
        <v>2817.5</v>
      </c>
      <c r="AU81" t="s">
        <v>34</v>
      </c>
    </row>
    <row r="82" spans="1:47" x14ac:dyDescent="0.2">
      <c r="A82">
        <v>200</v>
      </c>
      <c r="B82" t="s">
        <v>922</v>
      </c>
      <c r="C82">
        <v>2</v>
      </c>
      <c r="D82" t="s">
        <v>189</v>
      </c>
      <c r="G82" t="str">
        <f t="shared" si="1"/>
        <v>HLY0201=SBI-02SPRING2HV2</v>
      </c>
      <c r="H82">
        <v>70.671499999999995</v>
      </c>
      <c r="I82">
        <v>-167.297</v>
      </c>
      <c r="J82" s="3">
        <v>20020512</v>
      </c>
      <c r="K82">
        <v>2002</v>
      </c>
      <c r="L82">
        <v>3.1866699999999999</v>
      </c>
      <c r="M82">
        <v>1.45323</v>
      </c>
      <c r="N82">
        <v>0.74521000000000004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2.4199999999999998E-3</v>
      </c>
      <c r="V82">
        <v>5.3875299999999999</v>
      </c>
      <c r="W82" t="s">
        <v>9</v>
      </c>
      <c r="X82">
        <v>46.472999999999999</v>
      </c>
      <c r="Y82">
        <v>37.840000000000003</v>
      </c>
      <c r="Z82">
        <v>9.5570000000000004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3.9E-2</v>
      </c>
      <c r="AH82">
        <v>93.909000000000006</v>
      </c>
      <c r="AI82" t="s">
        <v>21</v>
      </c>
      <c r="AJ82">
        <v>244.36099999999999</v>
      </c>
      <c r="AK82">
        <v>357.14299999999997</v>
      </c>
      <c r="AL82">
        <v>150.376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37.594000000000001</v>
      </c>
      <c r="AT82">
        <v>789.47400000000005</v>
      </c>
      <c r="AU82" t="s">
        <v>34</v>
      </c>
    </row>
    <row r="83" spans="1:47" x14ac:dyDescent="0.2">
      <c r="A83">
        <v>201</v>
      </c>
      <c r="B83" t="s">
        <v>922</v>
      </c>
      <c r="C83">
        <v>22</v>
      </c>
      <c r="D83" t="s">
        <v>190</v>
      </c>
      <c r="G83" t="str">
        <f t="shared" si="1"/>
        <v>HLY0201=SBI-02SPRING22EHS1</v>
      </c>
      <c r="H83">
        <v>72.244</v>
      </c>
      <c r="I83">
        <v>-159.886167</v>
      </c>
      <c r="J83" s="3">
        <v>20020530</v>
      </c>
      <c r="K83">
        <v>2002</v>
      </c>
      <c r="L83">
        <v>0.97604999999999997</v>
      </c>
      <c r="M83">
        <v>16.157800000000002</v>
      </c>
      <c r="N83">
        <v>0.48252</v>
      </c>
      <c r="O83">
        <v>5.1885899999999996</v>
      </c>
      <c r="P83">
        <v>4.8900000000000002E-3</v>
      </c>
      <c r="Q83">
        <v>0</v>
      </c>
      <c r="R83">
        <v>0</v>
      </c>
      <c r="S83">
        <v>0</v>
      </c>
      <c r="T83">
        <v>2.98E-3</v>
      </c>
      <c r="U83">
        <v>0.10459</v>
      </c>
      <c r="V83">
        <v>22.91742</v>
      </c>
      <c r="W83" t="s">
        <v>10</v>
      </c>
      <c r="X83">
        <v>15.036</v>
      </c>
      <c r="Y83">
        <v>459.125</v>
      </c>
      <c r="Z83">
        <v>6.9889999999999999</v>
      </c>
      <c r="AA83">
        <v>115.30200000000001</v>
      </c>
      <c r="AB83">
        <v>0.34899999999999998</v>
      </c>
      <c r="AC83">
        <v>0</v>
      </c>
      <c r="AD83">
        <v>0</v>
      </c>
      <c r="AE83">
        <v>0</v>
      </c>
      <c r="AF83">
        <v>3.2000000000000001E-2</v>
      </c>
      <c r="AG83">
        <v>1.6890000000000001</v>
      </c>
      <c r="AH83">
        <v>598.52200000000005</v>
      </c>
      <c r="AI83" t="s">
        <v>22</v>
      </c>
      <c r="AJ83">
        <v>237.5</v>
      </c>
      <c r="AK83">
        <v>1647.5</v>
      </c>
      <c r="AL83">
        <v>137.5</v>
      </c>
      <c r="AM83">
        <v>15</v>
      </c>
      <c r="AN83">
        <v>2.5</v>
      </c>
      <c r="AO83">
        <v>0</v>
      </c>
      <c r="AP83">
        <v>0</v>
      </c>
      <c r="AQ83">
        <v>0</v>
      </c>
      <c r="AR83">
        <v>0</v>
      </c>
      <c r="AS83">
        <v>45</v>
      </c>
      <c r="AT83">
        <v>2085</v>
      </c>
      <c r="AU83" t="s">
        <v>34</v>
      </c>
    </row>
    <row r="84" spans="1:47" x14ac:dyDescent="0.2">
      <c r="A84">
        <v>202</v>
      </c>
      <c r="B84" t="s">
        <v>922</v>
      </c>
      <c r="C84">
        <v>24</v>
      </c>
      <c r="D84" t="s">
        <v>191</v>
      </c>
      <c r="G84" t="str">
        <f t="shared" si="1"/>
        <v>HLY0201=SBI-02SPRING24BC2A</v>
      </c>
      <c r="H84">
        <v>71.820667</v>
      </c>
      <c r="I84">
        <v>-155.78233299999999</v>
      </c>
      <c r="J84" s="3">
        <v>20020603</v>
      </c>
      <c r="K84">
        <v>2002</v>
      </c>
      <c r="L84">
        <v>1.9986600000000001</v>
      </c>
      <c r="M84">
        <v>0.89100000000000001</v>
      </c>
      <c r="N84">
        <v>0.1278</v>
      </c>
      <c r="O84">
        <v>2.9287800000000002</v>
      </c>
      <c r="P84">
        <v>5.611E-2</v>
      </c>
      <c r="Q84">
        <v>3.0000000000000001E-5</v>
      </c>
      <c r="R84">
        <v>0.54715999999999998</v>
      </c>
      <c r="S84">
        <v>0</v>
      </c>
      <c r="T84">
        <v>0.12275999999999999</v>
      </c>
      <c r="U84">
        <v>0.51273999999999997</v>
      </c>
      <c r="V84">
        <v>7.1850399999999999</v>
      </c>
      <c r="W84" t="s">
        <v>12</v>
      </c>
      <c r="X84">
        <v>31.198</v>
      </c>
      <c r="Y84">
        <v>42.018999999999998</v>
      </c>
      <c r="Z84">
        <v>1.7829999999999999</v>
      </c>
      <c r="AA84">
        <v>65.084000000000003</v>
      </c>
      <c r="AB84">
        <v>4.008</v>
      </c>
      <c r="AC84">
        <v>4.0000000000000001E-3</v>
      </c>
      <c r="AD84">
        <v>13.122</v>
      </c>
      <c r="AE84">
        <v>0</v>
      </c>
      <c r="AF84">
        <v>1.32</v>
      </c>
      <c r="AG84">
        <v>25.887</v>
      </c>
      <c r="AH84">
        <v>184.42500000000001</v>
      </c>
      <c r="AI84" t="s">
        <v>24</v>
      </c>
      <c r="AJ84">
        <v>607.5</v>
      </c>
      <c r="AK84">
        <v>435</v>
      </c>
      <c r="AL84">
        <v>780</v>
      </c>
      <c r="AM84">
        <v>32.5</v>
      </c>
      <c r="AN84">
        <v>212.5</v>
      </c>
      <c r="AO84">
        <v>2.5</v>
      </c>
      <c r="AP84">
        <v>27.5</v>
      </c>
      <c r="AQ84">
        <v>0</v>
      </c>
      <c r="AR84">
        <v>0</v>
      </c>
      <c r="AS84">
        <v>77.5</v>
      </c>
      <c r="AT84">
        <v>2175</v>
      </c>
      <c r="AU84" t="s">
        <v>35</v>
      </c>
    </row>
    <row r="85" spans="1:47" x14ac:dyDescent="0.2">
      <c r="A85">
        <v>203</v>
      </c>
      <c r="B85" t="s">
        <v>922</v>
      </c>
      <c r="C85">
        <v>27</v>
      </c>
      <c r="D85" t="s">
        <v>192</v>
      </c>
      <c r="G85" t="str">
        <f t="shared" si="1"/>
        <v>HLY0201=SBI-02SPRING27SB1</v>
      </c>
      <c r="H85">
        <v>71.492999999999995</v>
      </c>
      <c r="I85">
        <v>-153.90033299999999</v>
      </c>
      <c r="J85" s="3">
        <v>20020603</v>
      </c>
      <c r="K85">
        <v>2002</v>
      </c>
      <c r="L85">
        <v>0.51319000000000004</v>
      </c>
      <c r="M85">
        <v>0.88641999999999999</v>
      </c>
      <c r="N85">
        <v>2.2669999999999999E-2</v>
      </c>
      <c r="O85">
        <v>0</v>
      </c>
      <c r="P85">
        <v>2.0000000000000001E-4</v>
      </c>
      <c r="Q85">
        <v>0</v>
      </c>
      <c r="R85">
        <v>0</v>
      </c>
      <c r="S85">
        <v>0</v>
      </c>
      <c r="T85">
        <v>4.7239999999999997E-2</v>
      </c>
      <c r="U85">
        <v>5.1970000000000002E-2</v>
      </c>
      <c r="V85">
        <v>1.52169</v>
      </c>
      <c r="W85" t="s">
        <v>10</v>
      </c>
      <c r="X85">
        <v>6.9770000000000003</v>
      </c>
      <c r="Y85">
        <v>51.728000000000002</v>
      </c>
      <c r="Z85">
        <v>0.32200000000000001</v>
      </c>
      <c r="AA85">
        <v>0</v>
      </c>
      <c r="AB85">
        <v>1.4E-2</v>
      </c>
      <c r="AC85">
        <v>0</v>
      </c>
      <c r="AD85">
        <v>0</v>
      </c>
      <c r="AE85">
        <v>0</v>
      </c>
      <c r="AF85">
        <v>0.50800000000000001</v>
      </c>
      <c r="AG85">
        <v>1.1970000000000001</v>
      </c>
      <c r="AH85">
        <v>60.746000000000002</v>
      </c>
      <c r="AI85" t="s">
        <v>22</v>
      </c>
      <c r="AJ85">
        <v>120</v>
      </c>
      <c r="AK85">
        <v>120</v>
      </c>
      <c r="AL85">
        <v>50</v>
      </c>
      <c r="AM85">
        <v>0</v>
      </c>
      <c r="AN85">
        <v>2.5</v>
      </c>
      <c r="AO85">
        <v>0</v>
      </c>
      <c r="AP85">
        <v>0</v>
      </c>
      <c r="AQ85">
        <v>0</v>
      </c>
      <c r="AR85">
        <v>2.5</v>
      </c>
      <c r="AS85">
        <v>57.5</v>
      </c>
      <c r="AT85">
        <v>352.5</v>
      </c>
      <c r="AU85" t="s">
        <v>33</v>
      </c>
    </row>
    <row r="86" spans="1:47" x14ac:dyDescent="0.2">
      <c r="A86">
        <v>204</v>
      </c>
      <c r="B86" t="s">
        <v>922</v>
      </c>
      <c r="C86">
        <v>3</v>
      </c>
      <c r="D86" t="s">
        <v>193</v>
      </c>
      <c r="G86" t="str">
        <f t="shared" si="1"/>
        <v>HLY0201=SBI-02SPRING3HV3</v>
      </c>
      <c r="H86">
        <v>71.868667000000002</v>
      </c>
      <c r="I86">
        <v>-166.04300000000001</v>
      </c>
      <c r="J86" s="3">
        <v>20020514</v>
      </c>
      <c r="K86">
        <v>2002</v>
      </c>
      <c r="L86">
        <v>0.65012999999999999</v>
      </c>
      <c r="M86">
        <v>4.8649500000000003</v>
      </c>
      <c r="N86">
        <v>1.6999999999999999E-3</v>
      </c>
      <c r="O86">
        <v>0</v>
      </c>
      <c r="P86">
        <v>1.81E-3</v>
      </c>
      <c r="Q86">
        <v>0</v>
      </c>
      <c r="R86">
        <v>0</v>
      </c>
      <c r="S86">
        <v>0</v>
      </c>
      <c r="T86">
        <v>4.5599999999999998E-3</v>
      </c>
      <c r="U86">
        <v>5.5799999999999999E-3</v>
      </c>
      <c r="V86">
        <v>5.5287300000000004</v>
      </c>
      <c r="W86" t="s">
        <v>10</v>
      </c>
      <c r="X86">
        <v>12.504</v>
      </c>
      <c r="Y86">
        <v>138.20099999999999</v>
      </c>
      <c r="Z86">
        <v>2.3E-2</v>
      </c>
      <c r="AA86">
        <v>0</v>
      </c>
      <c r="AB86">
        <v>0.129</v>
      </c>
      <c r="AC86">
        <v>0</v>
      </c>
      <c r="AD86">
        <v>0</v>
      </c>
      <c r="AE86">
        <v>0</v>
      </c>
      <c r="AF86">
        <v>4.9000000000000002E-2</v>
      </c>
      <c r="AG86">
        <v>0.11799999999999999</v>
      </c>
      <c r="AH86">
        <v>151.024</v>
      </c>
      <c r="AI86" t="s">
        <v>22</v>
      </c>
      <c r="AJ86">
        <v>190</v>
      </c>
      <c r="AK86">
        <v>852.5</v>
      </c>
      <c r="AL86">
        <v>27.5</v>
      </c>
      <c r="AM86">
        <v>0</v>
      </c>
      <c r="AN86">
        <v>2.5</v>
      </c>
      <c r="AO86">
        <v>0</v>
      </c>
      <c r="AP86">
        <v>0</v>
      </c>
      <c r="AQ86">
        <v>0</v>
      </c>
      <c r="AR86">
        <v>2.5</v>
      </c>
      <c r="AS86">
        <v>12.5</v>
      </c>
      <c r="AT86">
        <v>1087.5</v>
      </c>
      <c r="AU86" t="s">
        <v>34</v>
      </c>
    </row>
    <row r="87" spans="1:47" x14ac:dyDescent="0.2">
      <c r="A87">
        <v>205</v>
      </c>
      <c r="B87" t="s">
        <v>922</v>
      </c>
      <c r="C87">
        <v>31</v>
      </c>
      <c r="D87" t="s">
        <v>194</v>
      </c>
      <c r="G87" t="str">
        <f t="shared" si="1"/>
        <v>HLY0201=SBI-02SPRING31BC4</v>
      </c>
      <c r="H87">
        <v>71.930166999999997</v>
      </c>
      <c r="I87">
        <v>-154.87950000000001</v>
      </c>
      <c r="J87" s="3">
        <v>20020604</v>
      </c>
      <c r="K87">
        <v>2002</v>
      </c>
      <c r="L87">
        <v>2.08657</v>
      </c>
      <c r="M87">
        <v>1.1127899999999999</v>
      </c>
      <c r="N87">
        <v>0.1163</v>
      </c>
      <c r="O87">
        <v>4.1900000000000001E-3</v>
      </c>
      <c r="P87">
        <v>3.1949999999999999E-2</v>
      </c>
      <c r="Q87">
        <v>0</v>
      </c>
      <c r="R87">
        <v>0</v>
      </c>
      <c r="S87">
        <v>0</v>
      </c>
      <c r="T87">
        <v>0.45282</v>
      </c>
      <c r="U87">
        <v>6.7989999999999995E-2</v>
      </c>
      <c r="V87">
        <v>3.8726099999999999</v>
      </c>
      <c r="W87" t="s">
        <v>9</v>
      </c>
      <c r="X87">
        <v>30.146999999999998</v>
      </c>
      <c r="Y87">
        <v>30.178000000000001</v>
      </c>
      <c r="Z87">
        <v>1.5189999999999999</v>
      </c>
      <c r="AA87">
        <v>9.2999999999999999E-2</v>
      </c>
      <c r="AB87">
        <v>2.282</v>
      </c>
      <c r="AC87">
        <v>0</v>
      </c>
      <c r="AD87">
        <v>0</v>
      </c>
      <c r="AE87">
        <v>0</v>
      </c>
      <c r="AF87">
        <v>4.8689999999999998</v>
      </c>
      <c r="AG87">
        <v>1.5569999999999999</v>
      </c>
      <c r="AH87">
        <v>70.644999999999996</v>
      </c>
      <c r="AI87" t="s">
        <v>22</v>
      </c>
      <c r="AJ87">
        <v>530</v>
      </c>
      <c r="AK87">
        <v>447.5</v>
      </c>
      <c r="AL87">
        <v>550</v>
      </c>
      <c r="AM87">
        <v>10</v>
      </c>
      <c r="AN87">
        <v>12.5</v>
      </c>
      <c r="AO87">
        <v>0</v>
      </c>
      <c r="AP87">
        <v>0</v>
      </c>
      <c r="AQ87">
        <v>0</v>
      </c>
      <c r="AR87">
        <v>7.5</v>
      </c>
      <c r="AS87">
        <v>45</v>
      </c>
      <c r="AT87">
        <v>1602.5</v>
      </c>
      <c r="AU87" t="s">
        <v>35</v>
      </c>
    </row>
    <row r="88" spans="1:47" x14ac:dyDescent="0.2">
      <c r="A88">
        <v>206</v>
      </c>
      <c r="B88" t="s">
        <v>922</v>
      </c>
      <c r="C88">
        <v>32</v>
      </c>
      <c r="D88" t="s">
        <v>195</v>
      </c>
      <c r="G88" t="str">
        <f t="shared" si="1"/>
        <v>HLY0201=SBI-02SPRING32BC5</v>
      </c>
      <c r="H88">
        <v>72.131</v>
      </c>
      <c r="I88">
        <v>-154.48483300000001</v>
      </c>
      <c r="J88" s="3">
        <v>20020605</v>
      </c>
      <c r="K88">
        <v>2002</v>
      </c>
      <c r="L88">
        <v>4.4569999999999999E-2</v>
      </c>
      <c r="M88">
        <v>0.23973</v>
      </c>
      <c r="N88">
        <v>8.5800000000000008E-3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0.29287999999999997</v>
      </c>
      <c r="W88" t="s">
        <v>10</v>
      </c>
      <c r="X88">
        <v>0.64600000000000002</v>
      </c>
      <c r="Y88">
        <v>8.3829999999999991</v>
      </c>
      <c r="Z88">
        <v>0.11600000000000001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9.1449999999999996</v>
      </c>
      <c r="AI88" t="s">
        <v>22</v>
      </c>
      <c r="AJ88">
        <v>37.594000000000001</v>
      </c>
      <c r="AK88">
        <v>545.11300000000006</v>
      </c>
      <c r="AL88">
        <v>37.594000000000001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620.30100000000004</v>
      </c>
      <c r="AU88" t="s">
        <v>34</v>
      </c>
    </row>
    <row r="89" spans="1:47" x14ac:dyDescent="0.2">
      <c r="A89">
        <v>207</v>
      </c>
      <c r="B89" t="s">
        <v>922</v>
      </c>
      <c r="C89">
        <v>33</v>
      </c>
      <c r="D89" t="s">
        <v>196</v>
      </c>
      <c r="G89" t="str">
        <f t="shared" si="1"/>
        <v>HLY0201=SBI-02SPRING33BC6</v>
      </c>
      <c r="H89">
        <v>72.201333000000005</v>
      </c>
      <c r="I89">
        <v>-154.24466699999999</v>
      </c>
      <c r="J89" s="3">
        <v>20020607</v>
      </c>
      <c r="K89">
        <v>2002</v>
      </c>
      <c r="L89">
        <v>4.7870000000000003E-2</v>
      </c>
      <c r="M89">
        <v>0.14196</v>
      </c>
      <c r="N89">
        <v>1.8800000000000001E-2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0.20863000000000001</v>
      </c>
      <c r="W89" t="s">
        <v>10</v>
      </c>
      <c r="X89">
        <v>0.67100000000000004</v>
      </c>
      <c r="Y89">
        <v>5.07</v>
      </c>
      <c r="Z89">
        <v>0.254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5.9950000000000001</v>
      </c>
      <c r="AI89" t="s">
        <v>22</v>
      </c>
      <c r="AJ89">
        <v>37.594000000000001</v>
      </c>
      <c r="AK89">
        <v>338.346</v>
      </c>
      <c r="AL89">
        <v>18.797000000000001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394.73700000000002</v>
      </c>
      <c r="AU89" t="s">
        <v>34</v>
      </c>
    </row>
    <row r="90" spans="1:47" x14ac:dyDescent="0.2">
      <c r="A90">
        <v>208</v>
      </c>
      <c r="B90" t="s">
        <v>922</v>
      </c>
      <c r="C90">
        <v>34</v>
      </c>
      <c r="D90" t="s">
        <v>197</v>
      </c>
      <c r="G90" t="str">
        <f t="shared" si="1"/>
        <v>HLY0201=SBI-02SPRING34BC7</v>
      </c>
      <c r="H90">
        <v>72.561667</v>
      </c>
      <c r="I90">
        <v>-154.61250000000001</v>
      </c>
      <c r="J90" s="3">
        <v>20020608</v>
      </c>
      <c r="K90">
        <v>2002</v>
      </c>
      <c r="L90">
        <v>0</v>
      </c>
      <c r="M90">
        <v>3.4499999999999999E-3</v>
      </c>
      <c r="N90">
        <v>1.6999999999999999E-3</v>
      </c>
      <c r="O90">
        <v>0</v>
      </c>
      <c r="P90">
        <v>0</v>
      </c>
      <c r="Q90">
        <v>0</v>
      </c>
      <c r="R90">
        <v>2.99E-3</v>
      </c>
      <c r="S90">
        <v>0</v>
      </c>
      <c r="T90">
        <v>0</v>
      </c>
      <c r="U90">
        <v>0</v>
      </c>
      <c r="V90">
        <v>8.1399999999999997E-3</v>
      </c>
      <c r="W90" t="s">
        <v>10</v>
      </c>
      <c r="X90">
        <v>0</v>
      </c>
      <c r="Y90">
        <v>7.6999999999999999E-2</v>
      </c>
      <c r="Z90">
        <v>2.3E-2</v>
      </c>
      <c r="AA90">
        <v>0</v>
      </c>
      <c r="AB90">
        <v>0</v>
      </c>
      <c r="AC90">
        <v>0</v>
      </c>
      <c r="AD90">
        <v>4.9000000000000002E-2</v>
      </c>
      <c r="AE90">
        <v>0</v>
      </c>
      <c r="AF90">
        <v>0</v>
      </c>
      <c r="AG90">
        <v>0</v>
      </c>
      <c r="AH90">
        <v>0.14899999999999999</v>
      </c>
      <c r="AI90" t="s">
        <v>22</v>
      </c>
      <c r="AJ90">
        <v>0</v>
      </c>
      <c r="AK90">
        <v>112.782</v>
      </c>
      <c r="AL90">
        <v>18.797000000000001</v>
      </c>
      <c r="AM90">
        <v>0</v>
      </c>
      <c r="AN90">
        <v>0</v>
      </c>
      <c r="AO90">
        <v>0</v>
      </c>
      <c r="AP90">
        <v>18.797000000000001</v>
      </c>
      <c r="AQ90">
        <v>0</v>
      </c>
      <c r="AR90">
        <v>0</v>
      </c>
      <c r="AS90">
        <v>0</v>
      </c>
      <c r="AT90">
        <v>150.376</v>
      </c>
      <c r="AU90" t="s">
        <v>34</v>
      </c>
    </row>
    <row r="91" spans="1:47" x14ac:dyDescent="0.2">
      <c r="A91">
        <v>209</v>
      </c>
      <c r="B91" t="s">
        <v>922</v>
      </c>
      <c r="C91">
        <v>35</v>
      </c>
      <c r="D91" t="s">
        <v>198</v>
      </c>
      <c r="G91" t="str">
        <f t="shared" si="1"/>
        <v>HLY0201=SBI-02SPRING35BC5A</v>
      </c>
      <c r="H91">
        <v>72.183000000000007</v>
      </c>
      <c r="I91">
        <v>-155.059167</v>
      </c>
      <c r="J91" s="3">
        <v>20020609</v>
      </c>
      <c r="K91">
        <v>2002</v>
      </c>
      <c r="L91">
        <v>0.25135000000000002</v>
      </c>
      <c r="M91">
        <v>0.25444</v>
      </c>
      <c r="N91">
        <v>4.1399999999999996E-3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0.50992999999999999</v>
      </c>
      <c r="W91" t="s">
        <v>10</v>
      </c>
      <c r="X91">
        <v>3.5209999999999999</v>
      </c>
      <c r="Y91">
        <v>8.9990000000000006</v>
      </c>
      <c r="Z91">
        <v>5.6000000000000001E-2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12.576000000000001</v>
      </c>
      <c r="AI91" t="s">
        <v>22</v>
      </c>
      <c r="AJ91">
        <v>244.36099999999999</v>
      </c>
      <c r="AK91">
        <v>1973.6849999999999</v>
      </c>
      <c r="AL91">
        <v>37.594000000000001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2255.64</v>
      </c>
      <c r="AU91" t="s">
        <v>34</v>
      </c>
    </row>
    <row r="92" spans="1:47" x14ac:dyDescent="0.2">
      <c r="A92">
        <v>210</v>
      </c>
      <c r="B92" t="s">
        <v>922</v>
      </c>
      <c r="C92">
        <v>37</v>
      </c>
      <c r="D92" t="s">
        <v>199</v>
      </c>
      <c r="G92" t="str">
        <f t="shared" si="1"/>
        <v>HLY0201=SBI-02SPRING37BC3</v>
      </c>
      <c r="H92">
        <v>71.646000000000001</v>
      </c>
      <c r="I92">
        <v>-155.75833299999999</v>
      </c>
      <c r="J92" s="3">
        <v>20020611</v>
      </c>
      <c r="K92">
        <v>2002</v>
      </c>
      <c r="L92">
        <v>7.74648</v>
      </c>
      <c r="M92">
        <v>0.32818000000000003</v>
      </c>
      <c r="N92">
        <v>0.17559</v>
      </c>
      <c r="O92">
        <v>6.9300000000000004E-3</v>
      </c>
      <c r="P92">
        <v>0.34089000000000003</v>
      </c>
      <c r="Q92">
        <v>0</v>
      </c>
      <c r="R92">
        <v>0</v>
      </c>
      <c r="S92">
        <v>0</v>
      </c>
      <c r="T92">
        <v>4.9009999999999998E-2</v>
      </c>
      <c r="U92">
        <v>0.16572999999999999</v>
      </c>
      <c r="V92">
        <v>8.8128100000000007</v>
      </c>
      <c r="W92" t="s">
        <v>9</v>
      </c>
      <c r="X92">
        <v>106.756</v>
      </c>
      <c r="Y92">
        <v>9.2319999999999993</v>
      </c>
      <c r="Z92">
        <v>2.35</v>
      </c>
      <c r="AA92">
        <v>0.154</v>
      </c>
      <c r="AB92">
        <v>24.349</v>
      </c>
      <c r="AC92">
        <v>0</v>
      </c>
      <c r="AD92">
        <v>0</v>
      </c>
      <c r="AE92">
        <v>0</v>
      </c>
      <c r="AF92">
        <v>0.52700000000000002</v>
      </c>
      <c r="AG92">
        <v>3.5569999999999999</v>
      </c>
      <c r="AH92">
        <v>146.92500000000001</v>
      </c>
      <c r="AI92" t="s">
        <v>21</v>
      </c>
      <c r="AJ92">
        <v>1662.5</v>
      </c>
      <c r="AK92">
        <v>160</v>
      </c>
      <c r="AL92">
        <v>417.5</v>
      </c>
      <c r="AM92">
        <v>15</v>
      </c>
      <c r="AN92">
        <v>25</v>
      </c>
      <c r="AO92">
        <v>0</v>
      </c>
      <c r="AP92">
        <v>0</v>
      </c>
      <c r="AQ92">
        <v>0</v>
      </c>
      <c r="AR92">
        <v>2.5</v>
      </c>
      <c r="AS92">
        <v>80</v>
      </c>
      <c r="AT92">
        <v>2362.5</v>
      </c>
      <c r="AU92" t="s">
        <v>33</v>
      </c>
    </row>
    <row r="93" spans="1:47" x14ac:dyDescent="0.2">
      <c r="A93">
        <v>211</v>
      </c>
      <c r="B93" t="s">
        <v>922</v>
      </c>
      <c r="C93">
        <v>39</v>
      </c>
      <c r="D93" t="s">
        <v>200</v>
      </c>
      <c r="G93" t="str">
        <f t="shared" si="1"/>
        <v>HLY0201=SBI-02SPRING39BC2</v>
      </c>
      <c r="H93">
        <v>71.413667000000004</v>
      </c>
      <c r="I93">
        <v>-157.20583300000001</v>
      </c>
      <c r="J93" s="3">
        <v>20020612</v>
      </c>
      <c r="K93">
        <v>2002</v>
      </c>
      <c r="L93">
        <v>2.9388399999999999</v>
      </c>
      <c r="M93">
        <v>1.95879</v>
      </c>
      <c r="N93">
        <v>0.27210000000000001</v>
      </c>
      <c r="O93">
        <v>1.1493500000000001</v>
      </c>
      <c r="P93">
        <v>3.0799999999999998E-3</v>
      </c>
      <c r="Q93">
        <v>0</v>
      </c>
      <c r="R93">
        <v>2.5990000000000002</v>
      </c>
      <c r="S93">
        <v>0</v>
      </c>
      <c r="T93">
        <v>1.4420000000000001E-2</v>
      </c>
      <c r="U93">
        <v>2.7937500000000002</v>
      </c>
      <c r="V93">
        <v>11.729329999999999</v>
      </c>
      <c r="W93" t="s">
        <v>9</v>
      </c>
      <c r="X93">
        <v>42.325000000000003</v>
      </c>
      <c r="Y93">
        <v>125.753</v>
      </c>
      <c r="Z93">
        <v>3.7930000000000001</v>
      </c>
      <c r="AA93">
        <v>25.541</v>
      </c>
      <c r="AB93">
        <v>0.22</v>
      </c>
      <c r="AC93">
        <v>0</v>
      </c>
      <c r="AD93">
        <v>64.974999999999994</v>
      </c>
      <c r="AE93">
        <v>0</v>
      </c>
      <c r="AF93">
        <v>0.155</v>
      </c>
      <c r="AG93">
        <v>99.72</v>
      </c>
      <c r="AH93">
        <v>362.48200000000003</v>
      </c>
      <c r="AI93" t="s">
        <v>22</v>
      </c>
      <c r="AJ93">
        <v>1175</v>
      </c>
      <c r="AK93">
        <v>732.5</v>
      </c>
      <c r="AL93">
        <v>2265</v>
      </c>
      <c r="AM93">
        <v>5</v>
      </c>
      <c r="AN93">
        <v>10</v>
      </c>
      <c r="AO93">
        <v>0</v>
      </c>
      <c r="AP93">
        <v>37.5</v>
      </c>
      <c r="AQ93">
        <v>0</v>
      </c>
      <c r="AR93">
        <v>20</v>
      </c>
      <c r="AS93">
        <v>232.5</v>
      </c>
      <c r="AT93">
        <v>4477.5</v>
      </c>
      <c r="AU93" t="s">
        <v>35</v>
      </c>
    </row>
    <row r="94" spans="1:47" x14ac:dyDescent="0.2">
      <c r="A94">
        <v>212</v>
      </c>
      <c r="B94" t="s">
        <v>922</v>
      </c>
      <c r="C94">
        <v>5</v>
      </c>
      <c r="D94" t="s">
        <v>201</v>
      </c>
      <c r="G94" t="str">
        <f t="shared" si="1"/>
        <v>HLY0201=SBI-02SPRING5WHS1</v>
      </c>
      <c r="H94">
        <v>72.713333000000006</v>
      </c>
      <c r="I94">
        <v>-161.2405</v>
      </c>
      <c r="J94" s="3">
        <v>20020516</v>
      </c>
      <c r="K94">
        <v>2002</v>
      </c>
      <c r="L94">
        <v>1.2179899999999999</v>
      </c>
      <c r="M94">
        <v>2.4510700000000001</v>
      </c>
      <c r="N94">
        <v>4.6699999999999997E-3</v>
      </c>
      <c r="O94">
        <v>0</v>
      </c>
      <c r="P94">
        <v>0</v>
      </c>
      <c r="Q94">
        <v>0</v>
      </c>
      <c r="R94">
        <v>0</v>
      </c>
      <c r="S94">
        <v>0</v>
      </c>
      <c r="T94">
        <v>0.26477000000000001</v>
      </c>
      <c r="U94">
        <v>6.8700000000000002E-3</v>
      </c>
      <c r="V94">
        <v>3.94537</v>
      </c>
      <c r="W94" t="s">
        <v>10</v>
      </c>
      <c r="X94">
        <v>18.548999999999999</v>
      </c>
      <c r="Y94">
        <v>75.212999999999994</v>
      </c>
      <c r="Z94">
        <v>6.6000000000000003E-2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2.847</v>
      </c>
      <c r="AG94">
        <v>0.28399999999999997</v>
      </c>
      <c r="AH94">
        <v>96.959000000000003</v>
      </c>
      <c r="AI94" t="s">
        <v>22</v>
      </c>
      <c r="AJ94">
        <v>117.5</v>
      </c>
      <c r="AK94">
        <v>257.5</v>
      </c>
      <c r="AL94">
        <v>12.5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2.5</v>
      </c>
      <c r="AS94">
        <v>17.5</v>
      </c>
      <c r="AT94">
        <v>407.5</v>
      </c>
      <c r="AU94" t="s">
        <v>34</v>
      </c>
    </row>
    <row r="95" spans="1:47" x14ac:dyDescent="0.2">
      <c r="A95">
        <v>213</v>
      </c>
      <c r="B95" t="s">
        <v>922</v>
      </c>
      <c r="C95">
        <v>6</v>
      </c>
      <c r="D95" t="s">
        <v>202</v>
      </c>
      <c r="G95" t="str">
        <f t="shared" si="1"/>
        <v>HLY0201=SBI-02SPRING6WHS2</v>
      </c>
      <c r="H95">
        <v>72.943167000000003</v>
      </c>
      <c r="I95">
        <v>-160.521333</v>
      </c>
      <c r="J95" s="3">
        <v>20020517</v>
      </c>
      <c r="K95">
        <v>2002</v>
      </c>
      <c r="L95">
        <v>2.6985000000000001</v>
      </c>
      <c r="M95">
        <v>12.05819</v>
      </c>
      <c r="N95">
        <v>0.1195</v>
      </c>
      <c r="O95">
        <v>1.89E-3</v>
      </c>
      <c r="P95">
        <v>0.27826000000000001</v>
      </c>
      <c r="Q95">
        <v>0</v>
      </c>
      <c r="R95">
        <v>0</v>
      </c>
      <c r="S95">
        <v>0.12138</v>
      </c>
      <c r="T95">
        <v>0.67825000000000002</v>
      </c>
      <c r="U95">
        <v>8.1030000000000005E-2</v>
      </c>
      <c r="V95">
        <v>16.036999999999999</v>
      </c>
      <c r="W95" t="s">
        <v>10</v>
      </c>
      <c r="X95">
        <v>40.706000000000003</v>
      </c>
      <c r="Y95">
        <v>309.32</v>
      </c>
      <c r="Z95">
        <v>1.5780000000000001</v>
      </c>
      <c r="AA95">
        <v>4.2000000000000003E-2</v>
      </c>
      <c r="AB95">
        <v>19.876000000000001</v>
      </c>
      <c r="AC95">
        <v>0</v>
      </c>
      <c r="AD95">
        <v>0</v>
      </c>
      <c r="AE95">
        <v>8.67</v>
      </c>
      <c r="AF95">
        <v>7.2930000000000001</v>
      </c>
      <c r="AG95">
        <v>2.4769999999999999</v>
      </c>
      <c r="AH95">
        <v>389.96199999999999</v>
      </c>
      <c r="AI95" t="s">
        <v>22</v>
      </c>
      <c r="AJ95">
        <v>310</v>
      </c>
      <c r="AK95">
        <v>942.5</v>
      </c>
      <c r="AL95">
        <v>375</v>
      </c>
      <c r="AM95">
        <v>5</v>
      </c>
      <c r="AN95">
        <v>62.5</v>
      </c>
      <c r="AO95">
        <v>0</v>
      </c>
      <c r="AP95">
        <v>0</v>
      </c>
      <c r="AQ95">
        <v>7.5</v>
      </c>
      <c r="AR95">
        <v>5</v>
      </c>
      <c r="AS95">
        <v>65</v>
      </c>
      <c r="AT95">
        <v>1772.5</v>
      </c>
      <c r="AU95" t="s">
        <v>34</v>
      </c>
    </row>
    <row r="96" spans="1:47" x14ac:dyDescent="0.2">
      <c r="A96">
        <v>214</v>
      </c>
      <c r="B96" t="s">
        <v>922</v>
      </c>
      <c r="C96">
        <v>7</v>
      </c>
      <c r="D96" t="s">
        <v>203</v>
      </c>
      <c r="G96" t="str">
        <f t="shared" si="1"/>
        <v>HLY0201=SBI-02SPRING7WHS3</v>
      </c>
      <c r="H96">
        <v>73.046666999999999</v>
      </c>
      <c r="I96">
        <v>-160.4845</v>
      </c>
      <c r="J96" s="3">
        <v>20020518</v>
      </c>
      <c r="K96">
        <v>2002</v>
      </c>
      <c r="L96">
        <v>4.9921600000000002</v>
      </c>
      <c r="M96">
        <v>10.18576</v>
      </c>
      <c r="N96">
        <v>1.4069999999999999E-2</v>
      </c>
      <c r="O96">
        <v>1.026E-2</v>
      </c>
      <c r="P96">
        <v>0.10496999999999999</v>
      </c>
      <c r="Q96">
        <v>0</v>
      </c>
      <c r="R96">
        <v>0</v>
      </c>
      <c r="S96">
        <v>0</v>
      </c>
      <c r="T96">
        <v>0.39701999999999998</v>
      </c>
      <c r="U96">
        <v>2.8139999999999998E-2</v>
      </c>
      <c r="V96">
        <v>15.732379999999999</v>
      </c>
      <c r="W96" t="s">
        <v>10</v>
      </c>
      <c r="X96">
        <v>70.358999999999995</v>
      </c>
      <c r="Y96">
        <v>245.958</v>
      </c>
      <c r="Z96">
        <v>0.17599999999999999</v>
      </c>
      <c r="AA96">
        <v>0.22800000000000001</v>
      </c>
      <c r="AB96">
        <v>7.4980000000000002</v>
      </c>
      <c r="AC96">
        <v>0</v>
      </c>
      <c r="AD96">
        <v>0</v>
      </c>
      <c r="AE96">
        <v>0</v>
      </c>
      <c r="AF96">
        <v>4.2690000000000001</v>
      </c>
      <c r="AG96">
        <v>0.59799999999999998</v>
      </c>
      <c r="AH96">
        <v>329.08600000000001</v>
      </c>
      <c r="AI96" t="s">
        <v>22</v>
      </c>
      <c r="AJ96">
        <v>3627.5</v>
      </c>
      <c r="AK96">
        <v>712.5</v>
      </c>
      <c r="AL96">
        <v>40</v>
      </c>
      <c r="AM96">
        <v>10</v>
      </c>
      <c r="AN96">
        <v>17.5</v>
      </c>
      <c r="AO96">
        <v>0</v>
      </c>
      <c r="AP96">
        <v>0</v>
      </c>
      <c r="AQ96">
        <v>0</v>
      </c>
      <c r="AR96">
        <v>7.5</v>
      </c>
      <c r="AS96">
        <v>60</v>
      </c>
      <c r="AT96">
        <v>4475</v>
      </c>
      <c r="AU96" t="s">
        <v>33</v>
      </c>
    </row>
    <row r="97" spans="1:47" x14ac:dyDescent="0.2">
      <c r="A97">
        <v>215</v>
      </c>
      <c r="B97" t="s">
        <v>922</v>
      </c>
      <c r="C97">
        <v>8</v>
      </c>
      <c r="D97" t="s">
        <v>204</v>
      </c>
      <c r="G97" t="str">
        <f t="shared" si="1"/>
        <v>HLY0201=SBI-02SPRING8WHS4</v>
      </c>
      <c r="H97">
        <v>73.223167000000004</v>
      </c>
      <c r="I97">
        <v>-160.17066700000001</v>
      </c>
      <c r="J97" s="3">
        <v>20020518</v>
      </c>
      <c r="K97">
        <v>2002</v>
      </c>
      <c r="L97">
        <v>0.76520999999999995</v>
      </c>
      <c r="M97">
        <v>2.31E-3</v>
      </c>
      <c r="N97">
        <v>7.6189999999999994E-2</v>
      </c>
      <c r="O97">
        <v>0</v>
      </c>
      <c r="P97">
        <v>7.9930000000000001E-2</v>
      </c>
      <c r="Q97">
        <v>0</v>
      </c>
      <c r="R97">
        <v>0</v>
      </c>
      <c r="S97">
        <v>0</v>
      </c>
      <c r="T97">
        <v>6.79E-3</v>
      </c>
      <c r="U97">
        <v>3.0300000000000001E-3</v>
      </c>
      <c r="V97">
        <v>0.93345999999999996</v>
      </c>
      <c r="W97" t="s">
        <v>9</v>
      </c>
      <c r="X97">
        <v>10.925000000000001</v>
      </c>
      <c r="Y97">
        <v>0.104</v>
      </c>
      <c r="Z97">
        <v>1.028</v>
      </c>
      <c r="AA97">
        <v>0</v>
      </c>
      <c r="AB97">
        <v>5.7089999999999996</v>
      </c>
      <c r="AC97">
        <v>0</v>
      </c>
      <c r="AD97">
        <v>0</v>
      </c>
      <c r="AE97">
        <v>0</v>
      </c>
      <c r="AF97">
        <v>7.2999999999999995E-2</v>
      </c>
      <c r="AG97">
        <v>5.6000000000000001E-2</v>
      </c>
      <c r="AH97">
        <v>17.895</v>
      </c>
      <c r="AI97" t="s">
        <v>21</v>
      </c>
      <c r="AJ97">
        <v>145</v>
      </c>
      <c r="AK97">
        <v>17.5</v>
      </c>
      <c r="AL97">
        <v>437.5</v>
      </c>
      <c r="AM97">
        <v>0</v>
      </c>
      <c r="AN97">
        <v>5</v>
      </c>
      <c r="AO97">
        <v>0</v>
      </c>
      <c r="AP97">
        <v>0</v>
      </c>
      <c r="AQ97">
        <v>0</v>
      </c>
      <c r="AR97">
        <v>2.5</v>
      </c>
      <c r="AS97">
        <v>17.5</v>
      </c>
      <c r="AT97">
        <v>625</v>
      </c>
      <c r="AU97" t="s">
        <v>35</v>
      </c>
    </row>
    <row r="98" spans="1:47" x14ac:dyDescent="0.2">
      <c r="A98">
        <v>216</v>
      </c>
      <c r="B98" t="s">
        <v>922</v>
      </c>
      <c r="C98">
        <v>9</v>
      </c>
      <c r="D98" t="s">
        <v>205</v>
      </c>
      <c r="G98" t="str">
        <f t="shared" si="1"/>
        <v>HLY0201=SBI-02SPRING9WHS5</v>
      </c>
      <c r="H98">
        <v>73.385499999999993</v>
      </c>
      <c r="I98">
        <v>-160.39666700000001</v>
      </c>
      <c r="J98" s="3">
        <v>20020519</v>
      </c>
      <c r="K98">
        <v>2002</v>
      </c>
      <c r="L98">
        <v>5.799E-2</v>
      </c>
      <c r="M98">
        <v>0</v>
      </c>
      <c r="N98">
        <v>2.1649999999999999E-2</v>
      </c>
      <c r="O98">
        <v>1.917E-2</v>
      </c>
      <c r="P98">
        <v>0</v>
      </c>
      <c r="Q98">
        <v>0</v>
      </c>
      <c r="R98">
        <v>0</v>
      </c>
      <c r="S98">
        <v>0</v>
      </c>
      <c r="T98">
        <v>0.80464000000000002</v>
      </c>
      <c r="U98">
        <v>0</v>
      </c>
      <c r="V98">
        <v>0.90344999999999998</v>
      </c>
      <c r="W98" t="s">
        <v>17</v>
      </c>
      <c r="X98">
        <v>0.81200000000000006</v>
      </c>
      <c r="Y98">
        <v>0</v>
      </c>
      <c r="Z98">
        <v>0.29099999999999998</v>
      </c>
      <c r="AA98">
        <v>0.42599999999999999</v>
      </c>
      <c r="AB98">
        <v>0</v>
      </c>
      <c r="AC98">
        <v>0</v>
      </c>
      <c r="AD98">
        <v>0</v>
      </c>
      <c r="AE98">
        <v>0</v>
      </c>
      <c r="AF98">
        <v>8.6519999999999992</v>
      </c>
      <c r="AG98">
        <v>0</v>
      </c>
      <c r="AH98">
        <v>10.180999999999999</v>
      </c>
      <c r="AI98" t="s">
        <v>29</v>
      </c>
      <c r="AJ98">
        <v>75.188999999999993</v>
      </c>
      <c r="AK98">
        <v>0</v>
      </c>
      <c r="AL98">
        <v>100.251</v>
      </c>
      <c r="AM98">
        <v>200.501</v>
      </c>
      <c r="AN98">
        <v>0</v>
      </c>
      <c r="AO98">
        <v>0</v>
      </c>
      <c r="AP98">
        <v>0</v>
      </c>
      <c r="AQ98">
        <v>0</v>
      </c>
      <c r="AR98">
        <v>25.062999999999999</v>
      </c>
      <c r="AS98">
        <v>0</v>
      </c>
      <c r="AT98">
        <v>401.00400000000002</v>
      </c>
      <c r="AU98" t="s">
        <v>36</v>
      </c>
    </row>
    <row r="99" spans="1:47" x14ac:dyDescent="0.2">
      <c r="A99">
        <v>217</v>
      </c>
      <c r="B99" t="s">
        <v>929</v>
      </c>
      <c r="C99">
        <v>12</v>
      </c>
      <c r="D99" s="4" t="s">
        <v>375</v>
      </c>
      <c r="E99" s="4" t="s">
        <v>375</v>
      </c>
      <c r="F99" s="4" t="s">
        <v>200</v>
      </c>
      <c r="G99" t="str">
        <f t="shared" si="1"/>
        <v>HLY020312BarC5</v>
      </c>
      <c r="H99">
        <v>71.412000000000006</v>
      </c>
      <c r="I99">
        <v>-157.49299999999999</v>
      </c>
      <c r="J99" s="3">
        <v>20020721</v>
      </c>
      <c r="K99">
        <v>2002</v>
      </c>
      <c r="L99">
        <v>9.1323100000000004</v>
      </c>
      <c r="M99">
        <v>44.693429999999999</v>
      </c>
      <c r="N99">
        <v>1.04942</v>
      </c>
      <c r="O99">
        <v>41.801130000000001</v>
      </c>
      <c r="P99">
        <v>1.6710700000000001</v>
      </c>
      <c r="Q99">
        <v>0</v>
      </c>
      <c r="R99">
        <v>0</v>
      </c>
      <c r="S99">
        <v>0</v>
      </c>
      <c r="T99">
        <v>5.5710000000000003E-2</v>
      </c>
      <c r="U99">
        <v>0.53588999999999998</v>
      </c>
      <c r="V99">
        <v>98.938959999999994</v>
      </c>
      <c r="W99" t="s">
        <v>10</v>
      </c>
      <c r="X99">
        <v>136.97300000000001</v>
      </c>
      <c r="Y99">
        <v>1586.9580000000001</v>
      </c>
      <c r="Z99">
        <v>13.974</v>
      </c>
      <c r="AA99">
        <v>928.91399999999999</v>
      </c>
      <c r="AB99">
        <v>119.36199999999999</v>
      </c>
      <c r="AC99">
        <v>0</v>
      </c>
      <c r="AD99">
        <v>0</v>
      </c>
      <c r="AE99">
        <v>0</v>
      </c>
      <c r="AF99">
        <v>0.59899999999999998</v>
      </c>
      <c r="AG99">
        <v>22.013999999999999</v>
      </c>
      <c r="AH99">
        <v>2808.7939999999999</v>
      </c>
      <c r="AI99" t="s">
        <v>22</v>
      </c>
      <c r="AJ99">
        <v>3297.5</v>
      </c>
      <c r="AK99">
        <v>2505</v>
      </c>
      <c r="AL99">
        <v>4840</v>
      </c>
      <c r="AM99">
        <v>1207.5</v>
      </c>
      <c r="AN99">
        <v>247.5</v>
      </c>
      <c r="AO99">
        <v>0</v>
      </c>
      <c r="AP99">
        <v>0</v>
      </c>
      <c r="AQ99">
        <v>0</v>
      </c>
      <c r="AR99">
        <v>22.5</v>
      </c>
      <c r="AS99">
        <v>37.5</v>
      </c>
      <c r="AT99">
        <v>12157.5</v>
      </c>
      <c r="AU99" t="s">
        <v>35</v>
      </c>
    </row>
    <row r="100" spans="1:47" x14ac:dyDescent="0.2">
      <c r="A100">
        <v>218</v>
      </c>
      <c r="B100" t="s">
        <v>929</v>
      </c>
      <c r="C100">
        <v>13</v>
      </c>
      <c r="D100" t="s">
        <v>199</v>
      </c>
      <c r="G100" t="str">
        <f t="shared" si="1"/>
        <v>HLY020313BC3</v>
      </c>
      <c r="H100">
        <v>71.637332999999998</v>
      </c>
      <c r="I100">
        <v>-155.90266700000001</v>
      </c>
      <c r="J100" s="3">
        <v>20020722</v>
      </c>
      <c r="K100">
        <v>2002</v>
      </c>
      <c r="L100">
        <v>2.7666499999999998</v>
      </c>
      <c r="M100">
        <v>55.491439999999997</v>
      </c>
      <c r="N100">
        <v>5.6520000000000001E-2</v>
      </c>
      <c r="O100">
        <v>3.024E-2</v>
      </c>
      <c r="P100">
        <v>0.43123</v>
      </c>
      <c r="Q100">
        <v>0</v>
      </c>
      <c r="R100">
        <v>0</v>
      </c>
      <c r="S100">
        <v>0</v>
      </c>
      <c r="T100">
        <v>5.9709999999999999E-2</v>
      </c>
      <c r="U100">
        <v>1.6959999999999999E-2</v>
      </c>
      <c r="V100">
        <v>58.85275</v>
      </c>
      <c r="W100" t="s">
        <v>10</v>
      </c>
      <c r="X100">
        <v>42.481000000000002</v>
      </c>
      <c r="Y100">
        <v>1583.3989999999999</v>
      </c>
      <c r="Z100">
        <v>0.73399999999999999</v>
      </c>
      <c r="AA100">
        <v>0.67200000000000004</v>
      </c>
      <c r="AB100">
        <v>30.802</v>
      </c>
      <c r="AC100">
        <v>0</v>
      </c>
      <c r="AD100">
        <v>0</v>
      </c>
      <c r="AE100">
        <v>0</v>
      </c>
      <c r="AF100">
        <v>0.64200000000000002</v>
      </c>
      <c r="AG100">
        <v>0.52</v>
      </c>
      <c r="AH100">
        <v>1659.25</v>
      </c>
      <c r="AI100" t="s">
        <v>22</v>
      </c>
      <c r="AJ100">
        <v>3475</v>
      </c>
      <c r="AK100">
        <v>1092.5</v>
      </c>
      <c r="AL100">
        <v>192.5</v>
      </c>
      <c r="AM100">
        <v>22.5</v>
      </c>
      <c r="AN100">
        <v>17.5</v>
      </c>
      <c r="AO100">
        <v>0</v>
      </c>
      <c r="AP100">
        <v>0</v>
      </c>
      <c r="AQ100">
        <v>0</v>
      </c>
      <c r="AR100">
        <v>15</v>
      </c>
      <c r="AS100">
        <v>17.5</v>
      </c>
      <c r="AT100">
        <v>4832.5</v>
      </c>
      <c r="AU100" t="s">
        <v>33</v>
      </c>
    </row>
    <row r="101" spans="1:47" x14ac:dyDescent="0.2">
      <c r="A101">
        <v>219</v>
      </c>
      <c r="B101" t="s">
        <v>929</v>
      </c>
      <c r="C101">
        <v>14</v>
      </c>
      <c r="D101" t="s">
        <v>194</v>
      </c>
      <c r="G101" t="str">
        <f t="shared" si="1"/>
        <v>HLY020314BC4</v>
      </c>
      <c r="H101">
        <v>71.907832999999997</v>
      </c>
      <c r="I101">
        <v>-154.95166699999999</v>
      </c>
      <c r="J101" s="3">
        <v>20020723</v>
      </c>
      <c r="K101">
        <v>2002</v>
      </c>
      <c r="L101">
        <v>1.3732899999999999</v>
      </c>
      <c r="M101">
        <v>0.63197000000000003</v>
      </c>
      <c r="N101">
        <v>9.8180000000000003E-2</v>
      </c>
      <c r="O101">
        <v>1.42025</v>
      </c>
      <c r="P101">
        <v>0.21199999999999999</v>
      </c>
      <c r="Q101">
        <v>0</v>
      </c>
      <c r="R101">
        <v>0</v>
      </c>
      <c r="S101">
        <v>0</v>
      </c>
      <c r="T101">
        <v>0.10174</v>
      </c>
      <c r="U101">
        <v>1.281E-2</v>
      </c>
      <c r="V101">
        <v>3.8502399999999999</v>
      </c>
      <c r="W101" t="s">
        <v>12</v>
      </c>
      <c r="X101">
        <v>19.535</v>
      </c>
      <c r="Y101">
        <v>17.477</v>
      </c>
      <c r="Z101">
        <v>1.282</v>
      </c>
      <c r="AA101">
        <v>31.561</v>
      </c>
      <c r="AB101">
        <v>15.143000000000001</v>
      </c>
      <c r="AC101">
        <v>0</v>
      </c>
      <c r="AD101">
        <v>0</v>
      </c>
      <c r="AE101">
        <v>0</v>
      </c>
      <c r="AF101">
        <v>1.0940000000000001</v>
      </c>
      <c r="AG101">
        <v>0.28899999999999998</v>
      </c>
      <c r="AH101">
        <v>86.381</v>
      </c>
      <c r="AI101" t="s">
        <v>24</v>
      </c>
      <c r="AJ101">
        <v>540</v>
      </c>
      <c r="AK101">
        <v>177.5</v>
      </c>
      <c r="AL101">
        <v>445</v>
      </c>
      <c r="AM101">
        <v>22.5</v>
      </c>
      <c r="AN101">
        <v>65</v>
      </c>
      <c r="AO101">
        <v>0</v>
      </c>
      <c r="AP101">
        <v>0</v>
      </c>
      <c r="AQ101">
        <v>0</v>
      </c>
      <c r="AR101">
        <v>10</v>
      </c>
      <c r="AS101">
        <v>37.5</v>
      </c>
      <c r="AT101">
        <v>1297.5</v>
      </c>
      <c r="AU101" t="s">
        <v>33</v>
      </c>
    </row>
    <row r="102" spans="1:47" x14ac:dyDescent="0.2">
      <c r="A102">
        <v>220</v>
      </c>
      <c r="B102" t="s">
        <v>929</v>
      </c>
      <c r="C102">
        <v>16</v>
      </c>
      <c r="D102" t="s">
        <v>196</v>
      </c>
      <c r="G102" t="str">
        <f t="shared" si="1"/>
        <v>HLY020316BC6</v>
      </c>
      <c r="H102">
        <v>72.181167000000002</v>
      </c>
      <c r="I102">
        <v>-153.91233299999999</v>
      </c>
      <c r="J102" s="3">
        <v>20020725</v>
      </c>
      <c r="K102">
        <v>2002</v>
      </c>
      <c r="L102">
        <v>3.5779999999999999E-2</v>
      </c>
      <c r="M102">
        <v>0.16317000000000001</v>
      </c>
      <c r="N102">
        <v>4.0939999999999997E-2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0.23988999999999999</v>
      </c>
      <c r="W102" t="s">
        <v>10</v>
      </c>
      <c r="X102">
        <v>0.49099999999999999</v>
      </c>
      <c r="Y102">
        <v>5.6159999999999997</v>
      </c>
      <c r="Z102">
        <v>0.45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6.5570000000000004</v>
      </c>
      <c r="AI102" t="s">
        <v>22</v>
      </c>
      <c r="AJ102">
        <v>319.54899999999998</v>
      </c>
      <c r="AK102">
        <v>604.351</v>
      </c>
      <c r="AL102">
        <v>142.04499999999999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1065.9449999999999</v>
      </c>
      <c r="AU102" t="s">
        <v>34</v>
      </c>
    </row>
    <row r="103" spans="1:47" x14ac:dyDescent="0.2">
      <c r="A103">
        <v>221</v>
      </c>
      <c r="B103" t="s">
        <v>929</v>
      </c>
      <c r="C103">
        <v>17</v>
      </c>
      <c r="D103" t="s">
        <v>197</v>
      </c>
      <c r="G103" t="str">
        <f t="shared" si="1"/>
        <v>HLY020317BC7</v>
      </c>
      <c r="H103">
        <v>72.508332999999993</v>
      </c>
      <c r="I103">
        <v>-153.59616700000001</v>
      </c>
      <c r="J103" s="3">
        <v>20020727</v>
      </c>
      <c r="K103">
        <v>2002</v>
      </c>
      <c r="L103">
        <v>1.7590000000000001E-2</v>
      </c>
      <c r="M103">
        <v>3.6999999999999999E-4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1.796E-2</v>
      </c>
      <c r="W103" t="s">
        <v>9</v>
      </c>
      <c r="X103">
        <v>0.25800000000000001</v>
      </c>
      <c r="Y103">
        <v>1.2999999999999999E-2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0.27100000000000002</v>
      </c>
      <c r="AI103" t="s">
        <v>21</v>
      </c>
      <c r="AJ103">
        <v>37.594000000000001</v>
      </c>
      <c r="AK103">
        <v>150.376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187.97</v>
      </c>
      <c r="AU103" t="s">
        <v>34</v>
      </c>
    </row>
    <row r="104" spans="1:47" x14ac:dyDescent="0.2">
      <c r="A104">
        <v>222</v>
      </c>
      <c r="B104" t="s">
        <v>929</v>
      </c>
      <c r="C104">
        <v>18</v>
      </c>
      <c r="D104" t="s">
        <v>206</v>
      </c>
      <c r="G104" t="str">
        <f t="shared" si="1"/>
        <v>HLY020318EB7</v>
      </c>
      <c r="H104">
        <v>72.326832999999993</v>
      </c>
      <c r="I104">
        <v>-151.93433300000001</v>
      </c>
      <c r="J104" s="3">
        <v>20020728</v>
      </c>
      <c r="K104">
        <v>2002</v>
      </c>
      <c r="L104">
        <v>9.7670000000000007E-2</v>
      </c>
      <c r="M104">
        <v>3.9199999999999999E-3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0.10159</v>
      </c>
      <c r="W104" t="s">
        <v>9</v>
      </c>
      <c r="X104">
        <v>1.367</v>
      </c>
      <c r="Y104">
        <v>0.14000000000000001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1.5069999999999999</v>
      </c>
      <c r="AI104" t="s">
        <v>21</v>
      </c>
      <c r="AJ104">
        <v>18.797000000000001</v>
      </c>
      <c r="AK104">
        <v>264.58199999999999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283.37900000000002</v>
      </c>
      <c r="AU104" t="s">
        <v>34</v>
      </c>
    </row>
    <row r="105" spans="1:47" x14ac:dyDescent="0.2">
      <c r="A105">
        <v>223</v>
      </c>
      <c r="B105" t="s">
        <v>929</v>
      </c>
      <c r="C105">
        <v>19</v>
      </c>
      <c r="D105" t="s">
        <v>207</v>
      </c>
      <c r="G105" t="str">
        <f t="shared" si="1"/>
        <v>HLY020319EB6</v>
      </c>
      <c r="H105">
        <v>71.958332999999996</v>
      </c>
      <c r="I105">
        <v>-152.12866700000001</v>
      </c>
      <c r="J105" s="3">
        <v>20020730</v>
      </c>
      <c r="K105">
        <v>2002</v>
      </c>
      <c r="L105">
        <v>0.36513000000000001</v>
      </c>
      <c r="M105">
        <v>0.13852</v>
      </c>
      <c r="N105">
        <v>2.0879999999999999E-2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3.29E-3</v>
      </c>
      <c r="V105">
        <v>0.52781999999999996</v>
      </c>
      <c r="W105" t="s">
        <v>9</v>
      </c>
      <c r="X105">
        <v>5.2240000000000002</v>
      </c>
      <c r="Y105">
        <v>4.9470000000000001</v>
      </c>
      <c r="Z105">
        <v>0.29399999999999998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5.2999999999999999E-2</v>
      </c>
      <c r="AH105">
        <v>10.518000000000001</v>
      </c>
      <c r="AI105" t="s">
        <v>21</v>
      </c>
      <c r="AJ105">
        <v>394.73700000000002</v>
      </c>
      <c r="AK105">
        <v>319.54899999999998</v>
      </c>
      <c r="AL105">
        <v>56.390999999999998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37.594000000000001</v>
      </c>
      <c r="AT105">
        <v>808.27099999999996</v>
      </c>
      <c r="AU105" t="s">
        <v>33</v>
      </c>
    </row>
    <row r="106" spans="1:47" x14ac:dyDescent="0.2">
      <c r="A106">
        <v>224</v>
      </c>
      <c r="B106" t="s">
        <v>929</v>
      </c>
      <c r="C106">
        <v>20</v>
      </c>
      <c r="D106" t="s">
        <v>208</v>
      </c>
      <c r="G106" t="str">
        <f t="shared" si="1"/>
        <v>HLY020320EB5</v>
      </c>
      <c r="H106">
        <v>71.701667</v>
      </c>
      <c r="I106">
        <v>-152.434</v>
      </c>
      <c r="J106" s="3">
        <v>20020731</v>
      </c>
      <c r="K106">
        <v>2002</v>
      </c>
      <c r="L106">
        <v>1.4569700000000001</v>
      </c>
      <c r="M106">
        <v>0.39868999999999999</v>
      </c>
      <c r="N106">
        <v>9.6299999999999997E-3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3.8719999999999997E-2</v>
      </c>
      <c r="V106">
        <v>1.90401</v>
      </c>
      <c r="W106" t="s">
        <v>9</v>
      </c>
      <c r="X106">
        <v>19.751999999999999</v>
      </c>
      <c r="Y106">
        <v>14.004</v>
      </c>
      <c r="Z106">
        <v>0.13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0.88900000000000001</v>
      </c>
      <c r="AH106">
        <v>34.774999999999999</v>
      </c>
      <c r="AI106" t="s">
        <v>21</v>
      </c>
      <c r="AJ106">
        <v>639.09799999999996</v>
      </c>
      <c r="AK106">
        <v>827.06799999999998</v>
      </c>
      <c r="AL106">
        <v>150.376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225.56399999999999</v>
      </c>
      <c r="AT106">
        <v>1842.106</v>
      </c>
      <c r="AU106" t="s">
        <v>34</v>
      </c>
    </row>
    <row r="107" spans="1:47" x14ac:dyDescent="0.2">
      <c r="A107">
        <v>225</v>
      </c>
      <c r="B107" t="s">
        <v>929</v>
      </c>
      <c r="C107">
        <v>21</v>
      </c>
      <c r="D107" t="s">
        <v>209</v>
      </c>
      <c r="G107" t="str">
        <f t="shared" si="1"/>
        <v>HLY020321EB4</v>
      </c>
      <c r="H107">
        <v>71.631666999999993</v>
      </c>
      <c r="I107">
        <v>-152.25149999999999</v>
      </c>
      <c r="J107" s="3">
        <v>20020802</v>
      </c>
      <c r="K107">
        <v>2002</v>
      </c>
      <c r="L107">
        <v>1.1889799999999999</v>
      </c>
      <c r="M107">
        <v>9.1180900000000005</v>
      </c>
      <c r="N107">
        <v>5.4170000000000003E-2</v>
      </c>
      <c r="O107">
        <v>0</v>
      </c>
      <c r="P107">
        <v>0.55894999999999995</v>
      </c>
      <c r="Q107">
        <v>0</v>
      </c>
      <c r="R107">
        <v>4.8999999999999998E-4</v>
      </c>
      <c r="S107">
        <v>0</v>
      </c>
      <c r="T107">
        <v>7.3999999999999999E-4</v>
      </c>
      <c r="U107">
        <v>0.10269</v>
      </c>
      <c r="V107">
        <v>11.02411</v>
      </c>
      <c r="W107" t="s">
        <v>10</v>
      </c>
      <c r="X107">
        <v>16.073</v>
      </c>
      <c r="Y107">
        <v>201.94399999999999</v>
      </c>
      <c r="Z107">
        <v>0.69199999999999995</v>
      </c>
      <c r="AA107">
        <v>0</v>
      </c>
      <c r="AB107">
        <v>39.924999999999997</v>
      </c>
      <c r="AC107">
        <v>0</v>
      </c>
      <c r="AD107">
        <v>8.0000000000000002E-3</v>
      </c>
      <c r="AE107">
        <v>0</v>
      </c>
      <c r="AF107">
        <v>8.0000000000000002E-3</v>
      </c>
      <c r="AG107">
        <v>2.282</v>
      </c>
      <c r="AH107">
        <v>260.93200000000002</v>
      </c>
      <c r="AI107" t="s">
        <v>22</v>
      </c>
      <c r="AJ107">
        <v>1203.008</v>
      </c>
      <c r="AK107">
        <v>263.15800000000002</v>
      </c>
      <c r="AL107">
        <v>169.173</v>
      </c>
      <c r="AM107">
        <v>0</v>
      </c>
      <c r="AN107">
        <v>37.594000000000001</v>
      </c>
      <c r="AO107">
        <v>0</v>
      </c>
      <c r="AP107">
        <v>37.594000000000001</v>
      </c>
      <c r="AQ107">
        <v>0</v>
      </c>
      <c r="AR107">
        <v>0</v>
      </c>
      <c r="AS107">
        <v>18.797000000000001</v>
      </c>
      <c r="AT107">
        <v>1729.3240000000001</v>
      </c>
      <c r="AU107" t="s">
        <v>33</v>
      </c>
    </row>
    <row r="108" spans="1:47" x14ac:dyDescent="0.2">
      <c r="A108">
        <v>226</v>
      </c>
      <c r="B108" t="s">
        <v>929</v>
      </c>
      <c r="C108">
        <v>22</v>
      </c>
      <c r="D108" t="s">
        <v>210</v>
      </c>
      <c r="G108" t="str">
        <f t="shared" si="1"/>
        <v>HLY020322EB3</v>
      </c>
      <c r="H108">
        <v>71.545666999999995</v>
      </c>
      <c r="I108">
        <v>-152.29933299999999</v>
      </c>
      <c r="J108" s="3">
        <v>20020803</v>
      </c>
      <c r="K108">
        <v>2002</v>
      </c>
      <c r="L108">
        <v>11.44074</v>
      </c>
      <c r="M108">
        <v>1.0842499999999999</v>
      </c>
      <c r="N108">
        <v>0.25012000000000001</v>
      </c>
      <c r="O108">
        <v>4.3077100000000002</v>
      </c>
      <c r="P108">
        <v>0.19542999999999999</v>
      </c>
      <c r="Q108">
        <v>0</v>
      </c>
      <c r="R108">
        <v>0</v>
      </c>
      <c r="S108">
        <v>0</v>
      </c>
      <c r="T108">
        <v>0.27872000000000002</v>
      </c>
      <c r="U108">
        <v>7.3899999999999993E-2</v>
      </c>
      <c r="V108">
        <v>17.630870000000002</v>
      </c>
      <c r="W108" t="s">
        <v>9</v>
      </c>
      <c r="X108">
        <v>163.441</v>
      </c>
      <c r="Y108">
        <v>34.978999999999999</v>
      </c>
      <c r="Z108">
        <v>3.4750000000000001</v>
      </c>
      <c r="AA108">
        <v>95.727000000000004</v>
      </c>
      <c r="AB108">
        <v>13.959</v>
      </c>
      <c r="AC108">
        <v>0</v>
      </c>
      <c r="AD108">
        <v>0</v>
      </c>
      <c r="AE108">
        <v>0</v>
      </c>
      <c r="AF108">
        <v>2.9969999999999999</v>
      </c>
      <c r="AG108">
        <v>1.3</v>
      </c>
      <c r="AH108">
        <v>315.87799999999999</v>
      </c>
      <c r="AI108" t="s">
        <v>21</v>
      </c>
      <c r="AJ108">
        <v>5097.5</v>
      </c>
      <c r="AK108">
        <v>307.5</v>
      </c>
      <c r="AL108">
        <v>1445</v>
      </c>
      <c r="AM108">
        <v>32.5</v>
      </c>
      <c r="AN108">
        <v>40</v>
      </c>
      <c r="AO108">
        <v>0</v>
      </c>
      <c r="AP108">
        <v>0</v>
      </c>
      <c r="AQ108">
        <v>0</v>
      </c>
      <c r="AR108">
        <v>32.5</v>
      </c>
      <c r="AS108">
        <v>35</v>
      </c>
      <c r="AT108">
        <v>6990</v>
      </c>
      <c r="AU108" t="s">
        <v>33</v>
      </c>
    </row>
    <row r="109" spans="1:47" x14ac:dyDescent="0.2">
      <c r="A109">
        <v>227</v>
      </c>
      <c r="B109" t="s">
        <v>929</v>
      </c>
      <c r="C109">
        <v>23</v>
      </c>
      <c r="D109" t="s">
        <v>211</v>
      </c>
      <c r="G109" t="str">
        <f t="shared" si="1"/>
        <v>HLY020323EB2</v>
      </c>
      <c r="H109">
        <v>71.442999999999998</v>
      </c>
      <c r="I109">
        <v>-152.45583300000001</v>
      </c>
      <c r="J109" s="3">
        <v>20020803</v>
      </c>
      <c r="K109">
        <v>2002</v>
      </c>
      <c r="L109">
        <v>1.48247</v>
      </c>
      <c r="M109">
        <v>0.60285999999999995</v>
      </c>
      <c r="N109">
        <v>0.22367999999999999</v>
      </c>
      <c r="O109">
        <v>13.02894</v>
      </c>
      <c r="P109">
        <v>0.57791000000000003</v>
      </c>
      <c r="Q109">
        <v>0</v>
      </c>
      <c r="R109">
        <v>0</v>
      </c>
      <c r="S109">
        <v>0</v>
      </c>
      <c r="T109">
        <v>0.29862</v>
      </c>
      <c r="U109">
        <v>0.15312000000000001</v>
      </c>
      <c r="V109">
        <v>16.367599999999999</v>
      </c>
      <c r="W109" t="s">
        <v>12</v>
      </c>
      <c r="X109">
        <v>24.273</v>
      </c>
      <c r="Y109">
        <v>23.968</v>
      </c>
      <c r="Z109">
        <v>3.024</v>
      </c>
      <c r="AA109">
        <v>289.53199999999998</v>
      </c>
      <c r="AB109">
        <v>41.279000000000003</v>
      </c>
      <c r="AC109">
        <v>0</v>
      </c>
      <c r="AD109">
        <v>0</v>
      </c>
      <c r="AE109">
        <v>0</v>
      </c>
      <c r="AF109">
        <v>3.2109999999999999</v>
      </c>
      <c r="AG109">
        <v>13.821999999999999</v>
      </c>
      <c r="AH109">
        <v>399.10899999999998</v>
      </c>
      <c r="AI109" t="s">
        <v>24</v>
      </c>
      <c r="AJ109">
        <v>470</v>
      </c>
      <c r="AK109">
        <v>200</v>
      </c>
      <c r="AL109">
        <v>937.5</v>
      </c>
      <c r="AM109">
        <v>50</v>
      </c>
      <c r="AN109">
        <v>210</v>
      </c>
      <c r="AO109">
        <v>0</v>
      </c>
      <c r="AP109">
        <v>0</v>
      </c>
      <c r="AQ109">
        <v>0</v>
      </c>
      <c r="AR109">
        <v>10</v>
      </c>
      <c r="AS109">
        <v>17.5</v>
      </c>
      <c r="AT109">
        <v>1895</v>
      </c>
      <c r="AU109" t="s">
        <v>35</v>
      </c>
    </row>
    <row r="110" spans="1:47" x14ac:dyDescent="0.2">
      <c r="A110">
        <v>228</v>
      </c>
      <c r="B110" t="s">
        <v>929</v>
      </c>
      <c r="C110">
        <v>24</v>
      </c>
      <c r="D110" t="s">
        <v>212</v>
      </c>
      <c r="G110" t="str">
        <f t="shared" si="1"/>
        <v>HLY020324EB1</v>
      </c>
      <c r="H110">
        <v>71.287833000000006</v>
      </c>
      <c r="I110">
        <v>-152.605333</v>
      </c>
      <c r="J110" s="3">
        <v>20020804</v>
      </c>
      <c r="K110">
        <v>2002</v>
      </c>
      <c r="L110">
        <v>0.65268999999999999</v>
      </c>
      <c r="M110">
        <v>1.34049</v>
      </c>
      <c r="N110">
        <v>0.57035999999999998</v>
      </c>
      <c r="O110">
        <v>2.2370000000000001E-2</v>
      </c>
      <c r="P110">
        <v>1.9959999999999999E-2</v>
      </c>
      <c r="Q110">
        <v>0</v>
      </c>
      <c r="R110">
        <v>7.9900000000000006E-3</v>
      </c>
      <c r="S110">
        <v>9.0600000000000003E-3</v>
      </c>
      <c r="T110">
        <v>9.3900000000000008E-3</v>
      </c>
      <c r="U110">
        <v>6.0299999999999998E-3</v>
      </c>
      <c r="V110">
        <v>2.6383399999999999</v>
      </c>
      <c r="W110" t="s">
        <v>10</v>
      </c>
      <c r="X110">
        <v>9.9239999999999995</v>
      </c>
      <c r="Y110">
        <v>67.260000000000005</v>
      </c>
      <c r="Z110">
        <v>8.2929999999999993</v>
      </c>
      <c r="AA110">
        <v>0.497</v>
      </c>
      <c r="AB110">
        <v>1.4259999999999999</v>
      </c>
      <c r="AC110">
        <v>0</v>
      </c>
      <c r="AD110">
        <v>0.13100000000000001</v>
      </c>
      <c r="AE110">
        <v>0.64700000000000002</v>
      </c>
      <c r="AF110">
        <v>0.10100000000000001</v>
      </c>
      <c r="AG110">
        <v>0.185</v>
      </c>
      <c r="AH110">
        <v>88.463999999999999</v>
      </c>
      <c r="AI110" t="s">
        <v>22</v>
      </c>
      <c r="AJ110">
        <v>147.5</v>
      </c>
      <c r="AK110">
        <v>375</v>
      </c>
      <c r="AL110">
        <v>692.5</v>
      </c>
      <c r="AM110">
        <v>15</v>
      </c>
      <c r="AN110">
        <v>47.5</v>
      </c>
      <c r="AO110">
        <v>0</v>
      </c>
      <c r="AP110">
        <v>10</v>
      </c>
      <c r="AQ110">
        <v>5</v>
      </c>
      <c r="AR110">
        <v>5</v>
      </c>
      <c r="AS110">
        <v>7.5</v>
      </c>
      <c r="AT110">
        <v>1305</v>
      </c>
      <c r="AU110" t="s">
        <v>35</v>
      </c>
    </row>
    <row r="111" spans="1:47" x14ac:dyDescent="0.2">
      <c r="A111">
        <v>229</v>
      </c>
      <c r="B111" t="s">
        <v>929</v>
      </c>
      <c r="C111">
        <v>25</v>
      </c>
      <c r="D111" t="s">
        <v>190</v>
      </c>
      <c r="G111" t="str">
        <f t="shared" si="1"/>
        <v>HLY020325EHS1</v>
      </c>
      <c r="H111">
        <v>72.218000000000004</v>
      </c>
      <c r="I111">
        <v>-159.35316700000001</v>
      </c>
      <c r="J111" s="3">
        <v>20020806</v>
      </c>
      <c r="K111">
        <v>2002</v>
      </c>
      <c r="L111">
        <v>5.51708</v>
      </c>
      <c r="M111">
        <v>1.6385099999999999</v>
      </c>
      <c r="N111">
        <v>2.1554600000000002</v>
      </c>
      <c r="O111">
        <v>8.8739999999999999E-2</v>
      </c>
      <c r="P111">
        <v>0.22417999999999999</v>
      </c>
      <c r="Q111">
        <v>0</v>
      </c>
      <c r="R111">
        <v>0</v>
      </c>
      <c r="S111">
        <v>0.14366999999999999</v>
      </c>
      <c r="T111">
        <v>1.9619999999999999E-2</v>
      </c>
      <c r="U111">
        <v>0.22758999999999999</v>
      </c>
      <c r="V111">
        <v>10.014849999999999</v>
      </c>
      <c r="W111" t="s">
        <v>9</v>
      </c>
      <c r="X111">
        <v>78.194000000000003</v>
      </c>
      <c r="Y111">
        <v>67.863</v>
      </c>
      <c r="Z111">
        <v>29.994</v>
      </c>
      <c r="AA111">
        <v>1.972</v>
      </c>
      <c r="AB111">
        <v>16.013000000000002</v>
      </c>
      <c r="AC111">
        <v>0</v>
      </c>
      <c r="AD111">
        <v>0</v>
      </c>
      <c r="AE111">
        <v>10.262</v>
      </c>
      <c r="AF111">
        <v>0.21099999999999999</v>
      </c>
      <c r="AG111">
        <v>5.931</v>
      </c>
      <c r="AH111">
        <v>210.44</v>
      </c>
      <c r="AI111" t="s">
        <v>21</v>
      </c>
      <c r="AJ111">
        <v>332.5</v>
      </c>
      <c r="AK111">
        <v>342.5</v>
      </c>
      <c r="AL111">
        <v>357.5</v>
      </c>
      <c r="AM111">
        <v>7.5</v>
      </c>
      <c r="AN111">
        <v>10</v>
      </c>
      <c r="AO111">
        <v>0</v>
      </c>
      <c r="AP111">
        <v>0</v>
      </c>
      <c r="AQ111">
        <v>5</v>
      </c>
      <c r="AR111">
        <v>2.5</v>
      </c>
      <c r="AS111">
        <v>32.5</v>
      </c>
      <c r="AT111">
        <v>1090</v>
      </c>
      <c r="AU111" t="s">
        <v>35</v>
      </c>
    </row>
    <row r="112" spans="1:47" x14ac:dyDescent="0.2">
      <c r="A112">
        <v>230</v>
      </c>
      <c r="B112" t="s">
        <v>929</v>
      </c>
      <c r="C112">
        <v>26</v>
      </c>
      <c r="D112" t="s">
        <v>188</v>
      </c>
      <c r="G112" t="str">
        <f t="shared" si="1"/>
        <v>HLY020326EHS4</v>
      </c>
      <c r="H112">
        <v>72.591166999999999</v>
      </c>
      <c r="I112">
        <v>-158.64066700000001</v>
      </c>
      <c r="J112" s="3">
        <v>20020806</v>
      </c>
      <c r="K112">
        <v>2002</v>
      </c>
      <c r="L112">
        <v>3.7399499999999999</v>
      </c>
      <c r="M112">
        <v>2.9003199999999998</v>
      </c>
      <c r="N112">
        <v>0.18038999999999999</v>
      </c>
      <c r="O112">
        <v>5.9990000000000002E-2</v>
      </c>
      <c r="P112">
        <v>0.4738</v>
      </c>
      <c r="Q112">
        <v>0</v>
      </c>
      <c r="R112">
        <v>0.21376000000000001</v>
      </c>
      <c r="S112">
        <v>2.5260000000000001E-2</v>
      </c>
      <c r="T112">
        <v>2.1388099999999999</v>
      </c>
      <c r="U112">
        <v>3.1480000000000001E-2</v>
      </c>
      <c r="V112">
        <v>9.7637599999999996</v>
      </c>
      <c r="W112" t="s">
        <v>9</v>
      </c>
      <c r="X112">
        <v>53.646999999999998</v>
      </c>
      <c r="Y112">
        <v>144.07900000000001</v>
      </c>
      <c r="Z112">
        <v>2.3860000000000001</v>
      </c>
      <c r="AA112">
        <v>1.333</v>
      </c>
      <c r="AB112">
        <v>33.843000000000004</v>
      </c>
      <c r="AC112">
        <v>0</v>
      </c>
      <c r="AD112">
        <v>5.3440000000000003</v>
      </c>
      <c r="AE112">
        <v>1.804</v>
      </c>
      <c r="AF112">
        <v>22.998000000000001</v>
      </c>
      <c r="AG112">
        <v>1.21</v>
      </c>
      <c r="AH112">
        <v>266.64400000000001</v>
      </c>
      <c r="AI112" t="s">
        <v>22</v>
      </c>
      <c r="AJ112">
        <v>700</v>
      </c>
      <c r="AK112">
        <v>720</v>
      </c>
      <c r="AL112">
        <v>642.5</v>
      </c>
      <c r="AM112">
        <v>85</v>
      </c>
      <c r="AN112">
        <v>147.5</v>
      </c>
      <c r="AO112">
        <v>0</v>
      </c>
      <c r="AP112">
        <v>7.5</v>
      </c>
      <c r="AQ112">
        <v>2.5</v>
      </c>
      <c r="AR112">
        <v>10</v>
      </c>
      <c r="AS112">
        <v>12.5</v>
      </c>
      <c r="AT112">
        <v>2327.5</v>
      </c>
      <c r="AU112" t="s">
        <v>34</v>
      </c>
    </row>
    <row r="113" spans="1:47" x14ac:dyDescent="0.2">
      <c r="A113">
        <v>231</v>
      </c>
      <c r="B113" t="s">
        <v>929</v>
      </c>
      <c r="C113">
        <v>27</v>
      </c>
      <c r="D113" t="s">
        <v>187</v>
      </c>
      <c r="G113" t="str">
        <f t="shared" si="1"/>
        <v>HLY020327EHS5</v>
      </c>
      <c r="H113">
        <v>72.707333000000006</v>
      </c>
      <c r="I113">
        <v>-158.51733300000001</v>
      </c>
      <c r="J113" s="3">
        <v>20020807</v>
      </c>
      <c r="K113">
        <v>2002</v>
      </c>
      <c r="L113">
        <v>2.3207</v>
      </c>
      <c r="M113">
        <v>0.14408000000000001</v>
      </c>
      <c r="N113">
        <v>6.08E-2</v>
      </c>
      <c r="O113">
        <v>2.1649999999999999E-2</v>
      </c>
      <c r="P113">
        <v>0</v>
      </c>
      <c r="Q113">
        <v>0</v>
      </c>
      <c r="R113">
        <v>0.28810000000000002</v>
      </c>
      <c r="S113">
        <v>0</v>
      </c>
      <c r="T113">
        <v>2.2599999999999999E-2</v>
      </c>
      <c r="U113">
        <v>8.1099999999999992E-3</v>
      </c>
      <c r="V113">
        <v>2.8660399999999999</v>
      </c>
      <c r="W113" t="s">
        <v>9</v>
      </c>
      <c r="X113">
        <v>33.094000000000001</v>
      </c>
      <c r="Y113">
        <v>5.6749999999999998</v>
      </c>
      <c r="Z113">
        <v>0.82099999999999995</v>
      </c>
      <c r="AA113">
        <v>0.48099999999999998</v>
      </c>
      <c r="AB113">
        <v>0</v>
      </c>
      <c r="AC113">
        <v>0</v>
      </c>
      <c r="AD113">
        <v>5.6269999999999998</v>
      </c>
      <c r="AE113">
        <v>0</v>
      </c>
      <c r="AF113">
        <v>0.24299999999999999</v>
      </c>
      <c r="AG113">
        <v>0.14399999999999999</v>
      </c>
      <c r="AH113">
        <v>46.085000000000001</v>
      </c>
      <c r="AI113" t="s">
        <v>21</v>
      </c>
      <c r="AJ113">
        <v>1247.5</v>
      </c>
      <c r="AK113">
        <v>312.5</v>
      </c>
      <c r="AL113">
        <v>260</v>
      </c>
      <c r="AM113">
        <v>57.5</v>
      </c>
      <c r="AN113">
        <v>0</v>
      </c>
      <c r="AO113">
        <v>0</v>
      </c>
      <c r="AP113">
        <v>10</v>
      </c>
      <c r="AQ113">
        <v>0</v>
      </c>
      <c r="AR113">
        <v>0</v>
      </c>
      <c r="AS113">
        <v>7.5</v>
      </c>
      <c r="AT113">
        <v>1895</v>
      </c>
      <c r="AU113" t="s">
        <v>33</v>
      </c>
    </row>
    <row r="114" spans="1:47" x14ac:dyDescent="0.2">
      <c r="A114">
        <v>232</v>
      </c>
      <c r="B114" t="s">
        <v>929</v>
      </c>
      <c r="C114">
        <v>28</v>
      </c>
      <c r="D114" t="s">
        <v>186</v>
      </c>
      <c r="G114" t="str">
        <f t="shared" si="1"/>
        <v>HLY020328EHS6</v>
      </c>
      <c r="H114">
        <v>72.841166999999999</v>
      </c>
      <c r="I114">
        <v>-158.21983299999999</v>
      </c>
      <c r="J114" s="3">
        <v>20020808</v>
      </c>
      <c r="K114">
        <v>2002</v>
      </c>
      <c r="L114">
        <v>0.29174</v>
      </c>
      <c r="M114">
        <v>0.17066000000000001</v>
      </c>
      <c r="N114">
        <v>5.0639999999999998E-2</v>
      </c>
      <c r="O114">
        <v>0</v>
      </c>
      <c r="P114">
        <v>6.9999999999999994E-5</v>
      </c>
      <c r="Q114">
        <v>0</v>
      </c>
      <c r="R114">
        <v>0</v>
      </c>
      <c r="S114">
        <v>0</v>
      </c>
      <c r="T114">
        <v>1.376E-2</v>
      </c>
      <c r="U114">
        <v>0.10492</v>
      </c>
      <c r="V114">
        <v>0.63178999999999996</v>
      </c>
      <c r="W114" t="s">
        <v>9</v>
      </c>
      <c r="X114">
        <v>4.8280000000000003</v>
      </c>
      <c r="Y114">
        <v>6.1390000000000002</v>
      </c>
      <c r="Z114">
        <v>0.66900000000000004</v>
      </c>
      <c r="AA114">
        <v>0</v>
      </c>
      <c r="AB114">
        <v>5.0000000000000001E-3</v>
      </c>
      <c r="AC114">
        <v>0</v>
      </c>
      <c r="AD114">
        <v>0</v>
      </c>
      <c r="AE114">
        <v>0</v>
      </c>
      <c r="AF114">
        <v>0.14799999999999999</v>
      </c>
      <c r="AG114">
        <v>2.4820000000000002</v>
      </c>
      <c r="AH114">
        <v>14.271000000000001</v>
      </c>
      <c r="AI114" t="s">
        <v>22</v>
      </c>
      <c r="AJ114">
        <v>230</v>
      </c>
      <c r="AK114">
        <v>607.5</v>
      </c>
      <c r="AL114">
        <v>345</v>
      </c>
      <c r="AM114">
        <v>0</v>
      </c>
      <c r="AN114">
        <v>5</v>
      </c>
      <c r="AO114">
        <v>0</v>
      </c>
      <c r="AP114">
        <v>0</v>
      </c>
      <c r="AQ114">
        <v>0</v>
      </c>
      <c r="AR114">
        <v>5</v>
      </c>
      <c r="AS114">
        <v>22.5</v>
      </c>
      <c r="AT114">
        <v>1215</v>
      </c>
      <c r="AU114" t="s">
        <v>34</v>
      </c>
    </row>
    <row r="115" spans="1:47" x14ac:dyDescent="0.2">
      <c r="A115">
        <v>233</v>
      </c>
      <c r="B115" t="s">
        <v>929</v>
      </c>
      <c r="C115">
        <v>29</v>
      </c>
      <c r="D115" t="s">
        <v>185</v>
      </c>
      <c r="G115" t="str">
        <f t="shared" si="1"/>
        <v>HLY020329EHS7</v>
      </c>
      <c r="H115">
        <v>72.895499999999998</v>
      </c>
      <c r="I115">
        <v>-158.32683299999999</v>
      </c>
      <c r="J115" s="3">
        <v>20020809</v>
      </c>
      <c r="K115">
        <v>2002</v>
      </c>
      <c r="L115">
        <v>0.23762</v>
      </c>
      <c r="M115">
        <v>0.14257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2.0600000000000002E-3</v>
      </c>
      <c r="T115">
        <v>8.4000000000000003E-4</v>
      </c>
      <c r="U115">
        <v>0</v>
      </c>
      <c r="V115">
        <v>0.38308999999999999</v>
      </c>
      <c r="W115" t="s">
        <v>9</v>
      </c>
      <c r="X115">
        <v>3.2549999999999999</v>
      </c>
      <c r="Y115">
        <v>4.8550000000000004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0.14699999999999999</v>
      </c>
      <c r="AF115">
        <v>8.9999999999999993E-3</v>
      </c>
      <c r="AG115">
        <v>0</v>
      </c>
      <c r="AH115">
        <v>8.266</v>
      </c>
      <c r="AI115" t="s">
        <v>22</v>
      </c>
      <c r="AJ115">
        <v>281.95499999999998</v>
      </c>
      <c r="AK115">
        <v>1879.7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18.797000000000001</v>
      </c>
      <c r="AR115">
        <v>18.797000000000001</v>
      </c>
      <c r="AS115">
        <v>0</v>
      </c>
      <c r="AT115">
        <v>2199.2489999999998</v>
      </c>
      <c r="AU115" t="s">
        <v>34</v>
      </c>
    </row>
    <row r="116" spans="1:47" x14ac:dyDescent="0.2">
      <c r="A116">
        <v>234</v>
      </c>
      <c r="B116" t="s">
        <v>929</v>
      </c>
      <c r="C116">
        <v>30</v>
      </c>
      <c r="D116" t="s">
        <v>184</v>
      </c>
      <c r="G116" t="str">
        <f t="shared" si="1"/>
        <v>HLY020330EHS9</v>
      </c>
      <c r="H116">
        <v>73.067333000000005</v>
      </c>
      <c r="I116">
        <v>-157.76400000000001</v>
      </c>
      <c r="J116" s="3">
        <v>20020810</v>
      </c>
      <c r="K116">
        <v>2002</v>
      </c>
      <c r="L116">
        <v>0</v>
      </c>
      <c r="M116">
        <v>3.5099999999999999E-2</v>
      </c>
      <c r="N116">
        <v>2.2200000000000002E-3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5.6699999999999997E-3</v>
      </c>
      <c r="V116">
        <v>4.299E-2</v>
      </c>
      <c r="W116" t="s">
        <v>10</v>
      </c>
      <c r="X116">
        <v>0</v>
      </c>
      <c r="Y116">
        <v>1.2589999999999999</v>
      </c>
      <c r="Z116">
        <v>0.03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0.27</v>
      </c>
      <c r="AH116">
        <v>1.5589999999999999</v>
      </c>
      <c r="AI116" t="s">
        <v>22</v>
      </c>
      <c r="AJ116">
        <v>0</v>
      </c>
      <c r="AK116">
        <v>37.594000000000001</v>
      </c>
      <c r="AL116">
        <v>18.797000000000001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47.347999999999999</v>
      </c>
      <c r="AT116">
        <v>103.739</v>
      </c>
      <c r="AU116" t="s">
        <v>42</v>
      </c>
    </row>
    <row r="117" spans="1:47" x14ac:dyDescent="0.2">
      <c r="A117">
        <v>235</v>
      </c>
      <c r="B117" t="s">
        <v>929</v>
      </c>
      <c r="C117">
        <v>31</v>
      </c>
      <c r="D117" t="s">
        <v>183</v>
      </c>
      <c r="G117" t="str">
        <f t="shared" si="1"/>
        <v>HLY020331EHS11</v>
      </c>
      <c r="H117">
        <v>73.387500000000003</v>
      </c>
      <c r="I117">
        <v>-157.41716700000001</v>
      </c>
      <c r="J117" s="3">
        <v>20020812</v>
      </c>
      <c r="K117">
        <v>2002</v>
      </c>
      <c r="L117">
        <v>4.7739999999999998E-2</v>
      </c>
      <c r="M117">
        <v>1.7340000000000001E-2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9.8760000000000001E-2</v>
      </c>
      <c r="V117">
        <v>0.16384000000000001</v>
      </c>
      <c r="W117" t="s">
        <v>18</v>
      </c>
      <c r="X117">
        <v>0.66300000000000003</v>
      </c>
      <c r="Y117">
        <v>0.36899999999999999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4.7030000000000003</v>
      </c>
      <c r="AH117">
        <v>5.7350000000000003</v>
      </c>
      <c r="AI117" t="s">
        <v>30</v>
      </c>
      <c r="AJ117">
        <v>47.347999999999999</v>
      </c>
      <c r="AK117">
        <v>47.347999999999999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18.797000000000001</v>
      </c>
      <c r="AT117">
        <v>113.49299999999999</v>
      </c>
      <c r="AU117" t="s">
        <v>33</v>
      </c>
    </row>
    <row r="118" spans="1:47" x14ac:dyDescent="0.2">
      <c r="A118">
        <v>236</v>
      </c>
      <c r="B118" t="s">
        <v>929</v>
      </c>
      <c r="C118">
        <v>32</v>
      </c>
      <c r="D118" t="s">
        <v>182</v>
      </c>
      <c r="G118" t="str">
        <f t="shared" si="1"/>
        <v>HLY020332WHS7</v>
      </c>
      <c r="H118">
        <v>73.674666999999999</v>
      </c>
      <c r="I118">
        <v>-159.21166700000001</v>
      </c>
      <c r="J118" s="3">
        <v>20020813</v>
      </c>
      <c r="K118">
        <v>2002</v>
      </c>
      <c r="L118">
        <v>2.6900000000000001E-3</v>
      </c>
      <c r="M118">
        <v>4.7099999999999998E-3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7.4000000000000003E-3</v>
      </c>
      <c r="W118" t="s">
        <v>10</v>
      </c>
      <c r="X118">
        <v>3.9E-2</v>
      </c>
      <c r="Y118">
        <v>0.23200000000000001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0.27100000000000002</v>
      </c>
      <c r="AI118" t="s">
        <v>22</v>
      </c>
      <c r="AJ118">
        <v>18.797000000000001</v>
      </c>
      <c r="AK118">
        <v>142.04499999999999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160.84200000000001</v>
      </c>
      <c r="AU118" t="s">
        <v>34</v>
      </c>
    </row>
    <row r="119" spans="1:47" x14ac:dyDescent="0.2">
      <c r="A119">
        <v>237</v>
      </c>
      <c r="B119" t="s">
        <v>929</v>
      </c>
      <c r="C119">
        <v>33</v>
      </c>
      <c r="D119" t="s">
        <v>181</v>
      </c>
      <c r="G119" t="str">
        <f t="shared" si="1"/>
        <v>HLY020333WHS6</v>
      </c>
      <c r="H119">
        <v>73.524666999999994</v>
      </c>
      <c r="I119">
        <v>-159.50550000000001</v>
      </c>
      <c r="J119" s="3">
        <v>20020814</v>
      </c>
      <c r="K119">
        <v>2002</v>
      </c>
      <c r="L119">
        <v>0.1472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0.1472</v>
      </c>
      <c r="W119" t="s">
        <v>9</v>
      </c>
      <c r="X119">
        <v>1.605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1.605</v>
      </c>
      <c r="AI119" t="s">
        <v>21</v>
      </c>
      <c r="AJ119">
        <v>88.194000000000003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88.194000000000003</v>
      </c>
      <c r="AU119" t="s">
        <v>33</v>
      </c>
    </row>
    <row r="120" spans="1:47" x14ac:dyDescent="0.2">
      <c r="A120">
        <v>238</v>
      </c>
      <c r="B120" t="s">
        <v>929</v>
      </c>
      <c r="C120">
        <v>34</v>
      </c>
      <c r="D120" t="s">
        <v>205</v>
      </c>
      <c r="G120" t="str">
        <f t="shared" si="1"/>
        <v>HLY020334WHS5</v>
      </c>
      <c r="H120">
        <v>73.275499999999994</v>
      </c>
      <c r="I120">
        <v>-160.09966700000001</v>
      </c>
      <c r="J120" s="3">
        <v>20020815</v>
      </c>
      <c r="K120">
        <v>2002</v>
      </c>
      <c r="L120">
        <v>5.3809999999999997E-2</v>
      </c>
      <c r="M120">
        <v>3.64E-3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5.7450000000000001E-2</v>
      </c>
      <c r="W120" t="s">
        <v>9</v>
      </c>
      <c r="X120">
        <v>0.77200000000000002</v>
      </c>
      <c r="Y120">
        <v>0.13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0.90200000000000002</v>
      </c>
      <c r="AI120" t="s">
        <v>21</v>
      </c>
      <c r="AJ120">
        <v>56.390999999999998</v>
      </c>
      <c r="AK120">
        <v>18.797000000000001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75.188000000000002</v>
      </c>
      <c r="AU120" t="s">
        <v>33</v>
      </c>
    </row>
    <row r="121" spans="1:47" x14ac:dyDescent="0.2">
      <c r="A121">
        <v>239</v>
      </c>
      <c r="B121" t="s">
        <v>929</v>
      </c>
      <c r="C121">
        <v>35</v>
      </c>
      <c r="D121" t="s">
        <v>204</v>
      </c>
      <c r="G121" t="str">
        <f t="shared" si="1"/>
        <v>HLY020335WHS4</v>
      </c>
      <c r="H121">
        <v>73.223332999999997</v>
      </c>
      <c r="I121">
        <v>-160.20050000000001</v>
      </c>
      <c r="J121" s="3">
        <v>20020816</v>
      </c>
      <c r="K121">
        <v>2002</v>
      </c>
      <c r="L121">
        <v>0.24118999999999999</v>
      </c>
      <c r="M121">
        <v>2.5489999999999999E-2</v>
      </c>
      <c r="N121">
        <v>8.795E-2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7.3800000000000003E-3</v>
      </c>
      <c r="V121">
        <v>0.36201</v>
      </c>
      <c r="W121" t="s">
        <v>9</v>
      </c>
      <c r="X121">
        <v>3.3929999999999998</v>
      </c>
      <c r="Y121">
        <v>1.6919999999999999</v>
      </c>
      <c r="Z121">
        <v>1.181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0.16400000000000001</v>
      </c>
      <c r="AH121">
        <v>6.43</v>
      </c>
      <c r="AI121" t="s">
        <v>21</v>
      </c>
      <c r="AJ121">
        <v>102.5</v>
      </c>
      <c r="AK121">
        <v>15</v>
      </c>
      <c r="AL121">
        <v>820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7.5</v>
      </c>
      <c r="AT121">
        <v>945</v>
      </c>
      <c r="AU121" t="s">
        <v>35</v>
      </c>
    </row>
    <row r="122" spans="1:47" x14ac:dyDescent="0.2">
      <c r="A122">
        <v>240</v>
      </c>
      <c r="B122" t="s">
        <v>929</v>
      </c>
      <c r="C122">
        <v>37</v>
      </c>
      <c r="D122" t="s">
        <v>203</v>
      </c>
      <c r="G122" t="str">
        <f t="shared" si="1"/>
        <v>HLY020337WHS3</v>
      </c>
      <c r="H122">
        <v>73.054333</v>
      </c>
      <c r="I122">
        <v>-160.42233300000001</v>
      </c>
      <c r="J122" s="3">
        <v>20020817</v>
      </c>
      <c r="K122">
        <v>2002</v>
      </c>
      <c r="L122">
        <v>9.4095499999999994</v>
      </c>
      <c r="M122">
        <v>4.8747699999999998</v>
      </c>
      <c r="N122">
        <v>0.14713000000000001</v>
      </c>
      <c r="O122">
        <v>4.36E-2</v>
      </c>
      <c r="P122">
        <v>0.12188</v>
      </c>
      <c r="Q122">
        <v>0</v>
      </c>
      <c r="R122">
        <v>0.65891999999999995</v>
      </c>
      <c r="S122">
        <v>0</v>
      </c>
      <c r="T122">
        <v>6.9559999999999997E-2</v>
      </c>
      <c r="U122">
        <v>7.331E-2</v>
      </c>
      <c r="V122">
        <v>15.398720000000001</v>
      </c>
      <c r="W122" t="s">
        <v>9</v>
      </c>
      <c r="X122">
        <v>134.21299999999999</v>
      </c>
      <c r="Y122">
        <v>136.167</v>
      </c>
      <c r="Z122">
        <v>1.863</v>
      </c>
      <c r="AA122">
        <v>0.96899999999999997</v>
      </c>
      <c r="AB122">
        <v>8.7059999999999995</v>
      </c>
      <c r="AC122">
        <v>0</v>
      </c>
      <c r="AD122">
        <v>10.802</v>
      </c>
      <c r="AE122">
        <v>0</v>
      </c>
      <c r="AF122">
        <v>0.748</v>
      </c>
      <c r="AG122">
        <v>1.7649999999999999</v>
      </c>
      <c r="AH122">
        <v>295.233</v>
      </c>
      <c r="AI122" t="s">
        <v>22</v>
      </c>
      <c r="AJ122">
        <v>7585</v>
      </c>
      <c r="AK122">
        <v>805</v>
      </c>
      <c r="AL122">
        <v>432.5</v>
      </c>
      <c r="AM122">
        <v>17.5</v>
      </c>
      <c r="AN122">
        <v>17.5</v>
      </c>
      <c r="AO122">
        <v>0</v>
      </c>
      <c r="AP122">
        <v>2.5</v>
      </c>
      <c r="AQ122">
        <v>0</v>
      </c>
      <c r="AR122">
        <v>25</v>
      </c>
      <c r="AS122">
        <v>97.5</v>
      </c>
      <c r="AT122">
        <v>8982.5</v>
      </c>
      <c r="AU122" t="s">
        <v>33</v>
      </c>
    </row>
    <row r="123" spans="1:47" x14ac:dyDescent="0.2">
      <c r="A123">
        <v>241</v>
      </c>
      <c r="B123" t="s">
        <v>929</v>
      </c>
      <c r="C123">
        <v>38</v>
      </c>
      <c r="D123" t="s">
        <v>202</v>
      </c>
      <c r="G123" t="str">
        <f t="shared" si="1"/>
        <v>HLY020338WHS2</v>
      </c>
      <c r="H123">
        <v>73.000500000000002</v>
      </c>
      <c r="I123">
        <v>-160.60483300000001</v>
      </c>
      <c r="J123" s="3">
        <v>20020818</v>
      </c>
      <c r="K123">
        <v>2002</v>
      </c>
      <c r="L123">
        <v>5.0012400000000001</v>
      </c>
      <c r="M123">
        <v>4.9733499999999999</v>
      </c>
      <c r="N123">
        <v>0.10117</v>
      </c>
      <c r="O123">
        <v>0.96704999999999997</v>
      </c>
      <c r="P123">
        <v>0.17014000000000001</v>
      </c>
      <c r="Q123">
        <v>0</v>
      </c>
      <c r="R123">
        <v>0</v>
      </c>
      <c r="S123">
        <v>6.6860000000000003E-2</v>
      </c>
      <c r="T123">
        <v>4.1570000000000003E-2</v>
      </c>
      <c r="U123">
        <v>9.1810000000000003E-2</v>
      </c>
      <c r="V123">
        <v>11.41319</v>
      </c>
      <c r="W123" t="s">
        <v>9</v>
      </c>
      <c r="X123">
        <v>77.144000000000005</v>
      </c>
      <c r="Y123">
        <v>124.209</v>
      </c>
      <c r="Z123">
        <v>1.3580000000000001</v>
      </c>
      <c r="AA123">
        <v>21.49</v>
      </c>
      <c r="AB123">
        <v>12.153</v>
      </c>
      <c r="AC123">
        <v>0</v>
      </c>
      <c r="AD123">
        <v>0</v>
      </c>
      <c r="AE123">
        <v>4.7759999999999998</v>
      </c>
      <c r="AF123">
        <v>0.44700000000000001</v>
      </c>
      <c r="AG123">
        <v>3.8719999999999999</v>
      </c>
      <c r="AH123">
        <v>245.44900000000001</v>
      </c>
      <c r="AI123" t="s">
        <v>22</v>
      </c>
      <c r="AJ123">
        <v>887.5</v>
      </c>
      <c r="AK123">
        <v>247.5</v>
      </c>
      <c r="AL123">
        <v>627.5</v>
      </c>
      <c r="AM123">
        <v>22.5</v>
      </c>
      <c r="AN123">
        <v>72.5</v>
      </c>
      <c r="AO123">
        <v>0</v>
      </c>
      <c r="AP123">
        <v>0</v>
      </c>
      <c r="AQ123">
        <v>7.5</v>
      </c>
      <c r="AR123">
        <v>12.5</v>
      </c>
      <c r="AS123">
        <v>112.5</v>
      </c>
      <c r="AT123">
        <v>1990</v>
      </c>
      <c r="AU123" t="s">
        <v>33</v>
      </c>
    </row>
    <row r="124" spans="1:47" x14ac:dyDescent="0.2">
      <c r="A124">
        <v>242</v>
      </c>
      <c r="B124" t="s">
        <v>929</v>
      </c>
      <c r="C124">
        <v>39</v>
      </c>
      <c r="D124" t="s">
        <v>201</v>
      </c>
      <c r="G124" t="str">
        <f t="shared" si="1"/>
        <v>HLY020339WHS1</v>
      </c>
      <c r="H124">
        <v>72.738833</v>
      </c>
      <c r="I124">
        <v>-161.300667</v>
      </c>
      <c r="J124" s="3">
        <v>20020818</v>
      </c>
      <c r="K124">
        <v>2002</v>
      </c>
      <c r="L124">
        <v>1.3110200000000001</v>
      </c>
      <c r="M124">
        <v>2.5571899999999999</v>
      </c>
      <c r="N124">
        <v>0.26032</v>
      </c>
      <c r="O124">
        <v>0</v>
      </c>
      <c r="P124">
        <v>4.6100000000000002E-2</v>
      </c>
      <c r="Q124">
        <v>8.0000000000000007E-5</v>
      </c>
      <c r="R124">
        <v>0</v>
      </c>
      <c r="S124">
        <v>0</v>
      </c>
      <c r="T124">
        <v>2.9569999999999999E-2</v>
      </c>
      <c r="U124">
        <v>1.99E-3</v>
      </c>
      <c r="V124">
        <v>4.20627</v>
      </c>
      <c r="W124" t="s">
        <v>10</v>
      </c>
      <c r="X124">
        <v>19.135999999999999</v>
      </c>
      <c r="Y124">
        <v>68.513000000000005</v>
      </c>
      <c r="Z124">
        <v>3.5129999999999999</v>
      </c>
      <c r="AA124">
        <v>0</v>
      </c>
      <c r="AB124">
        <v>3.2930000000000001</v>
      </c>
      <c r="AC124">
        <v>7.0000000000000001E-3</v>
      </c>
      <c r="AD124">
        <v>0</v>
      </c>
      <c r="AE124">
        <v>0</v>
      </c>
      <c r="AF124">
        <v>0.318</v>
      </c>
      <c r="AG124">
        <v>6.3E-2</v>
      </c>
      <c r="AH124">
        <v>94.843000000000004</v>
      </c>
      <c r="AI124" t="s">
        <v>22</v>
      </c>
      <c r="AJ124">
        <v>217.5</v>
      </c>
      <c r="AK124">
        <v>285</v>
      </c>
      <c r="AL124">
        <v>140</v>
      </c>
      <c r="AM124">
        <v>0</v>
      </c>
      <c r="AN124">
        <v>5</v>
      </c>
      <c r="AO124">
        <v>12.5</v>
      </c>
      <c r="AP124">
        <v>0</v>
      </c>
      <c r="AQ124">
        <v>0</v>
      </c>
      <c r="AR124">
        <v>0</v>
      </c>
      <c r="AS124">
        <v>32.5</v>
      </c>
      <c r="AT124">
        <v>692.5</v>
      </c>
      <c r="AU124" t="s">
        <v>34</v>
      </c>
    </row>
    <row r="125" spans="1:47" x14ac:dyDescent="0.2">
      <c r="A125">
        <v>243</v>
      </c>
      <c r="B125" t="s">
        <v>929</v>
      </c>
      <c r="C125">
        <v>41</v>
      </c>
      <c r="D125" t="s">
        <v>213</v>
      </c>
      <c r="G125" t="str">
        <f t="shared" si="1"/>
        <v>HLY020341HC2</v>
      </c>
      <c r="H125">
        <v>73.106333000000006</v>
      </c>
      <c r="I125">
        <v>-162.94066699999999</v>
      </c>
      <c r="J125" s="3">
        <v>20020819</v>
      </c>
      <c r="K125">
        <v>2002</v>
      </c>
      <c r="L125">
        <v>1.17425</v>
      </c>
      <c r="M125">
        <v>0.85458999999999996</v>
      </c>
      <c r="N125">
        <v>0.27798</v>
      </c>
      <c r="O125">
        <v>2.0930000000000001E-2</v>
      </c>
      <c r="P125">
        <v>0.29532999999999998</v>
      </c>
      <c r="Q125">
        <v>1.2999999999999999E-4</v>
      </c>
      <c r="R125">
        <v>6.2100000000000002E-2</v>
      </c>
      <c r="S125">
        <v>2.7899999999999999E-3</v>
      </c>
      <c r="T125">
        <v>3.81E-3</v>
      </c>
      <c r="U125">
        <v>1.6499900000000001</v>
      </c>
      <c r="V125">
        <v>4.3418999999999999</v>
      </c>
      <c r="W125" t="s">
        <v>18</v>
      </c>
      <c r="X125">
        <v>17.152999999999999</v>
      </c>
      <c r="Y125">
        <v>37.265999999999998</v>
      </c>
      <c r="Z125">
        <v>3.774</v>
      </c>
      <c r="AA125">
        <v>0.46500000000000002</v>
      </c>
      <c r="AB125">
        <v>21.094999999999999</v>
      </c>
      <c r="AC125">
        <v>1.2E-2</v>
      </c>
      <c r="AD125">
        <v>1.018</v>
      </c>
      <c r="AE125">
        <v>0.19900000000000001</v>
      </c>
      <c r="AF125">
        <v>4.1000000000000002E-2</v>
      </c>
      <c r="AG125">
        <v>36.911999999999999</v>
      </c>
      <c r="AH125">
        <v>117.935</v>
      </c>
      <c r="AI125" t="s">
        <v>22</v>
      </c>
      <c r="AJ125">
        <v>445</v>
      </c>
      <c r="AK125">
        <v>645</v>
      </c>
      <c r="AL125">
        <v>1385</v>
      </c>
      <c r="AM125">
        <v>60</v>
      </c>
      <c r="AN125">
        <v>52.5</v>
      </c>
      <c r="AO125">
        <v>2.5</v>
      </c>
      <c r="AP125">
        <v>2.5</v>
      </c>
      <c r="AQ125">
        <v>7.5</v>
      </c>
      <c r="AR125">
        <v>5</v>
      </c>
      <c r="AS125">
        <v>120</v>
      </c>
      <c r="AT125">
        <v>2725</v>
      </c>
      <c r="AU125" t="s">
        <v>35</v>
      </c>
    </row>
    <row r="126" spans="1:47" x14ac:dyDescent="0.2">
      <c r="A126">
        <v>244</v>
      </c>
      <c r="B126" t="s">
        <v>929</v>
      </c>
      <c r="C126">
        <v>43</v>
      </c>
      <c r="D126" t="s">
        <v>214</v>
      </c>
      <c r="G126" t="str">
        <f t="shared" si="1"/>
        <v>HLY020343HV4</v>
      </c>
      <c r="H126">
        <v>73.616332999999997</v>
      </c>
      <c r="I126">
        <v>-165.47533300000001</v>
      </c>
      <c r="J126" s="3">
        <v>20020819</v>
      </c>
      <c r="K126">
        <v>2002</v>
      </c>
      <c r="L126">
        <v>0.29194999999999999</v>
      </c>
      <c r="M126">
        <v>0.22946</v>
      </c>
      <c r="N126">
        <v>2.0799999999999998E-3</v>
      </c>
      <c r="O126">
        <v>0</v>
      </c>
      <c r="P126">
        <v>0</v>
      </c>
      <c r="Q126">
        <v>6.9999999999999994E-5</v>
      </c>
      <c r="R126">
        <v>0</v>
      </c>
      <c r="S126">
        <v>0</v>
      </c>
      <c r="T126">
        <v>0</v>
      </c>
      <c r="U126">
        <v>0.94354000000000005</v>
      </c>
      <c r="V126">
        <v>1.4671000000000001</v>
      </c>
      <c r="W126" t="s">
        <v>18</v>
      </c>
      <c r="X126">
        <v>4.16</v>
      </c>
      <c r="Y126">
        <v>6.8979999999999997</v>
      </c>
      <c r="Z126">
        <v>2.8000000000000001E-2</v>
      </c>
      <c r="AA126">
        <v>0</v>
      </c>
      <c r="AB126">
        <v>0</v>
      </c>
      <c r="AC126">
        <v>6.0000000000000001E-3</v>
      </c>
      <c r="AD126">
        <v>0</v>
      </c>
      <c r="AE126">
        <v>0</v>
      </c>
      <c r="AF126">
        <v>0</v>
      </c>
      <c r="AG126">
        <v>21.024000000000001</v>
      </c>
      <c r="AH126">
        <v>32.116</v>
      </c>
      <c r="AI126" t="s">
        <v>30</v>
      </c>
      <c r="AJ126">
        <v>105</v>
      </c>
      <c r="AK126">
        <v>340</v>
      </c>
      <c r="AL126">
        <v>5</v>
      </c>
      <c r="AM126">
        <v>0</v>
      </c>
      <c r="AN126">
        <v>0</v>
      </c>
      <c r="AO126">
        <v>12.5</v>
      </c>
      <c r="AP126">
        <v>0</v>
      </c>
      <c r="AQ126">
        <v>0</v>
      </c>
      <c r="AR126">
        <v>0</v>
      </c>
      <c r="AS126">
        <v>7.5</v>
      </c>
      <c r="AT126">
        <v>470</v>
      </c>
      <c r="AU126" t="s">
        <v>34</v>
      </c>
    </row>
    <row r="127" spans="1:47" x14ac:dyDescent="0.2">
      <c r="A127">
        <v>245</v>
      </c>
      <c r="B127" t="s">
        <v>929</v>
      </c>
      <c r="C127">
        <v>44</v>
      </c>
      <c r="D127" t="s">
        <v>193</v>
      </c>
      <c r="G127" t="str">
        <f t="shared" si="1"/>
        <v>HLY020344HV3</v>
      </c>
      <c r="H127">
        <v>73.335499999999996</v>
      </c>
      <c r="I127">
        <v>-165.606167</v>
      </c>
      <c r="J127" s="3">
        <v>20020820</v>
      </c>
      <c r="K127">
        <v>2002</v>
      </c>
      <c r="L127">
        <v>1.1213</v>
      </c>
      <c r="M127">
        <v>4.6896899999999997</v>
      </c>
      <c r="N127">
        <v>2.1940000000000001E-2</v>
      </c>
      <c r="O127">
        <v>0.22184999999999999</v>
      </c>
      <c r="P127">
        <v>0</v>
      </c>
      <c r="Q127">
        <v>0</v>
      </c>
      <c r="R127">
        <v>0</v>
      </c>
      <c r="S127">
        <v>0</v>
      </c>
      <c r="T127">
        <v>0.52507999999999999</v>
      </c>
      <c r="U127">
        <v>9.8099999999999993E-3</v>
      </c>
      <c r="V127">
        <v>6.5896699999999999</v>
      </c>
      <c r="W127" t="s">
        <v>10</v>
      </c>
      <c r="X127">
        <v>16.119</v>
      </c>
      <c r="Y127">
        <v>153.441</v>
      </c>
      <c r="Z127">
        <v>0.311</v>
      </c>
      <c r="AA127">
        <v>4.93</v>
      </c>
      <c r="AB127">
        <v>0</v>
      </c>
      <c r="AC127">
        <v>0</v>
      </c>
      <c r="AD127">
        <v>0</v>
      </c>
      <c r="AE127">
        <v>0</v>
      </c>
      <c r="AF127">
        <v>5.6459999999999999</v>
      </c>
      <c r="AG127">
        <v>0.20799999999999999</v>
      </c>
      <c r="AH127">
        <v>180.655</v>
      </c>
      <c r="AI127" t="s">
        <v>22</v>
      </c>
      <c r="AJ127">
        <v>205</v>
      </c>
      <c r="AK127">
        <v>692.5</v>
      </c>
      <c r="AL127">
        <v>142.5</v>
      </c>
      <c r="AM127">
        <v>7.5</v>
      </c>
      <c r="AN127">
        <v>0</v>
      </c>
      <c r="AO127">
        <v>2.5</v>
      </c>
      <c r="AP127">
        <v>0</v>
      </c>
      <c r="AQ127">
        <v>0</v>
      </c>
      <c r="AR127">
        <v>7.5</v>
      </c>
      <c r="AS127">
        <v>40</v>
      </c>
      <c r="AT127">
        <v>1097.5</v>
      </c>
      <c r="AU127" t="s">
        <v>34</v>
      </c>
    </row>
    <row r="128" spans="1:47" x14ac:dyDescent="0.2">
      <c r="A128">
        <v>246</v>
      </c>
      <c r="B128" t="s">
        <v>929</v>
      </c>
      <c r="C128">
        <v>45</v>
      </c>
      <c r="D128" t="s">
        <v>189</v>
      </c>
      <c r="G128" t="str">
        <f t="shared" si="1"/>
        <v>HLY020345HV2</v>
      </c>
      <c r="H128">
        <v>70.674999999999997</v>
      </c>
      <c r="I128">
        <v>-166.514667</v>
      </c>
      <c r="J128" s="3">
        <v>20020821</v>
      </c>
      <c r="K128">
        <v>2002</v>
      </c>
      <c r="L128">
        <v>3.2006100000000002</v>
      </c>
      <c r="M128">
        <v>1.8603700000000001</v>
      </c>
      <c r="N128">
        <v>3.6659999999999998E-2</v>
      </c>
      <c r="O128">
        <v>3.7400000000000003E-2</v>
      </c>
      <c r="P128">
        <v>3.5E-4</v>
      </c>
      <c r="Q128">
        <v>0</v>
      </c>
      <c r="R128">
        <v>6.8900000000000003E-3</v>
      </c>
      <c r="S128">
        <v>0.13294</v>
      </c>
      <c r="T128">
        <v>4.47E-3</v>
      </c>
      <c r="U128">
        <v>3.9239999999999997E-2</v>
      </c>
      <c r="V128">
        <v>5.3189299999999999</v>
      </c>
      <c r="W128" t="s">
        <v>9</v>
      </c>
      <c r="X128">
        <v>43.939</v>
      </c>
      <c r="Y128">
        <v>96.887</v>
      </c>
      <c r="Z128">
        <v>0.50800000000000001</v>
      </c>
      <c r="AA128">
        <v>0.83099999999999996</v>
      </c>
      <c r="AB128">
        <v>2.5000000000000001E-2</v>
      </c>
      <c r="AC128">
        <v>0</v>
      </c>
      <c r="AD128">
        <v>0.113</v>
      </c>
      <c r="AE128">
        <v>9.4960000000000004</v>
      </c>
      <c r="AF128">
        <v>4.8000000000000001E-2</v>
      </c>
      <c r="AG128">
        <v>2.0910000000000002</v>
      </c>
      <c r="AH128">
        <v>153.93799999999999</v>
      </c>
      <c r="AI128" t="s">
        <v>22</v>
      </c>
      <c r="AJ128">
        <v>987.5</v>
      </c>
      <c r="AK128">
        <v>255</v>
      </c>
      <c r="AL128">
        <v>212.5</v>
      </c>
      <c r="AM128">
        <v>70</v>
      </c>
      <c r="AN128">
        <v>2.5</v>
      </c>
      <c r="AO128">
        <v>0</v>
      </c>
      <c r="AP128">
        <v>2.5</v>
      </c>
      <c r="AQ128">
        <v>30</v>
      </c>
      <c r="AR128">
        <v>5</v>
      </c>
      <c r="AS128">
        <v>20</v>
      </c>
      <c r="AT128">
        <v>1585</v>
      </c>
      <c r="AU128" t="s">
        <v>33</v>
      </c>
    </row>
    <row r="129" spans="1:47" x14ac:dyDescent="0.2">
      <c r="A129">
        <v>247</v>
      </c>
      <c r="B129" t="s">
        <v>929</v>
      </c>
      <c r="C129">
        <v>6</v>
      </c>
      <c r="D129" t="s">
        <v>180</v>
      </c>
      <c r="G129" t="str">
        <f t="shared" si="1"/>
        <v>HLY02036HV1</v>
      </c>
      <c r="H129">
        <v>67.521900000000002</v>
      </c>
      <c r="I129">
        <v>-168.85640000000001</v>
      </c>
      <c r="J129" s="3">
        <v>20020718</v>
      </c>
      <c r="K129">
        <v>2002</v>
      </c>
      <c r="L129">
        <v>5.7573699999999999</v>
      </c>
      <c r="M129">
        <v>12.58445</v>
      </c>
      <c r="N129">
        <v>6.4325000000000001</v>
      </c>
      <c r="O129">
        <v>5.13E-3</v>
      </c>
      <c r="P129">
        <v>2.5059999999999999E-2</v>
      </c>
      <c r="Q129">
        <v>0</v>
      </c>
      <c r="R129">
        <v>1.8236000000000001</v>
      </c>
      <c r="S129">
        <v>0</v>
      </c>
      <c r="T129">
        <v>0</v>
      </c>
      <c r="U129">
        <v>0.29837999999999998</v>
      </c>
      <c r="V129">
        <v>26.926490000000001</v>
      </c>
      <c r="W129" t="s">
        <v>10</v>
      </c>
      <c r="X129">
        <v>86.51</v>
      </c>
      <c r="Y129">
        <v>355.02499999999998</v>
      </c>
      <c r="Z129">
        <v>78.308000000000007</v>
      </c>
      <c r="AA129">
        <v>0.114</v>
      </c>
      <c r="AB129">
        <v>1.79</v>
      </c>
      <c r="AC129">
        <v>0</v>
      </c>
      <c r="AD129">
        <v>29.895</v>
      </c>
      <c r="AE129">
        <v>0</v>
      </c>
      <c r="AF129">
        <v>0</v>
      </c>
      <c r="AG129">
        <v>13.433999999999999</v>
      </c>
      <c r="AH129">
        <v>565.07600000000002</v>
      </c>
      <c r="AI129" t="s">
        <v>22</v>
      </c>
      <c r="AJ129">
        <v>1430</v>
      </c>
      <c r="AK129">
        <v>2580</v>
      </c>
      <c r="AL129">
        <v>9575</v>
      </c>
      <c r="AM129">
        <v>2.5</v>
      </c>
      <c r="AN129">
        <v>15</v>
      </c>
      <c r="AO129">
        <v>0</v>
      </c>
      <c r="AP129">
        <v>70</v>
      </c>
      <c r="AQ129">
        <v>0</v>
      </c>
      <c r="AR129">
        <v>0</v>
      </c>
      <c r="AS129">
        <v>137.5</v>
      </c>
      <c r="AT129">
        <v>13810</v>
      </c>
      <c r="AU129" t="s">
        <v>35</v>
      </c>
    </row>
    <row r="130" spans="1:47" x14ac:dyDescent="0.2">
      <c r="A130">
        <v>248</v>
      </c>
      <c r="B130" t="s">
        <v>929</v>
      </c>
      <c r="C130">
        <v>7</v>
      </c>
      <c r="D130" t="s">
        <v>215</v>
      </c>
      <c r="G130" t="str">
        <f t="shared" si="1"/>
        <v>HLY02037ACW1</v>
      </c>
      <c r="H130">
        <v>68.559667000000005</v>
      </c>
      <c r="I130">
        <v>-167.3605</v>
      </c>
      <c r="J130" s="3">
        <v>20020719</v>
      </c>
      <c r="K130">
        <v>2002</v>
      </c>
      <c r="L130">
        <v>3.9181400000000002</v>
      </c>
      <c r="M130">
        <v>0.60224</v>
      </c>
      <c r="N130">
        <v>3.8460000000000001E-2</v>
      </c>
      <c r="O130">
        <v>0</v>
      </c>
      <c r="P130">
        <v>1.7600000000000001E-3</v>
      </c>
      <c r="Q130">
        <v>0.36818000000000001</v>
      </c>
      <c r="R130">
        <v>0</v>
      </c>
      <c r="S130">
        <v>0</v>
      </c>
      <c r="T130">
        <v>8.2799999999999992E-3</v>
      </c>
      <c r="U130">
        <v>0.10915</v>
      </c>
      <c r="V130">
        <v>5.0462100000000003</v>
      </c>
      <c r="W130" t="s">
        <v>9</v>
      </c>
      <c r="X130">
        <v>56.542999999999999</v>
      </c>
      <c r="Y130">
        <v>33.843000000000004</v>
      </c>
      <c r="Z130">
        <v>0.55400000000000005</v>
      </c>
      <c r="AA130">
        <v>0</v>
      </c>
      <c r="AB130">
        <v>0.126</v>
      </c>
      <c r="AC130">
        <v>46.023000000000003</v>
      </c>
      <c r="AD130">
        <v>0</v>
      </c>
      <c r="AE130">
        <v>0</v>
      </c>
      <c r="AF130">
        <v>8.8999999999999996E-2</v>
      </c>
      <c r="AG130">
        <v>3.6269999999999998</v>
      </c>
      <c r="AH130">
        <v>140.80500000000001</v>
      </c>
      <c r="AI130" t="s">
        <v>21</v>
      </c>
      <c r="AJ130">
        <v>632.5</v>
      </c>
      <c r="AK130">
        <v>402.5</v>
      </c>
      <c r="AL130">
        <v>230</v>
      </c>
      <c r="AM130">
        <v>0</v>
      </c>
      <c r="AN130">
        <v>27.5</v>
      </c>
      <c r="AO130">
        <v>422.5</v>
      </c>
      <c r="AP130">
        <v>0</v>
      </c>
      <c r="AQ130">
        <v>0</v>
      </c>
      <c r="AR130">
        <v>5</v>
      </c>
      <c r="AS130">
        <v>115</v>
      </c>
      <c r="AT130">
        <v>1835</v>
      </c>
      <c r="AU130" t="s">
        <v>33</v>
      </c>
    </row>
    <row r="131" spans="1:47" x14ac:dyDescent="0.2">
      <c r="A131">
        <v>249</v>
      </c>
      <c r="B131" t="s">
        <v>929</v>
      </c>
      <c r="C131">
        <v>8</v>
      </c>
      <c r="D131" t="s">
        <v>216</v>
      </c>
      <c r="G131" t="str">
        <f t="shared" ref="G131:G194" si="2">CONCATENATE(B131,C131,D131)</f>
        <v>HLY02038ACW2</v>
      </c>
      <c r="H131">
        <v>69.947166999999993</v>
      </c>
      <c r="I131">
        <v>-164.449333</v>
      </c>
      <c r="J131" s="3">
        <v>20020720</v>
      </c>
      <c r="K131">
        <v>2002</v>
      </c>
      <c r="L131">
        <v>5.7515700000000001</v>
      </c>
      <c r="M131">
        <v>0.97138999999999998</v>
      </c>
      <c r="N131">
        <v>1.9120000000000002E-2</v>
      </c>
      <c r="O131">
        <v>5.0000000000000002E-5</v>
      </c>
      <c r="P131">
        <v>3.2000000000000003E-4</v>
      </c>
      <c r="Q131">
        <v>14.79238</v>
      </c>
      <c r="R131">
        <v>0</v>
      </c>
      <c r="S131">
        <v>0</v>
      </c>
      <c r="T131">
        <v>0</v>
      </c>
      <c r="U131">
        <v>4.2470000000000001E-2</v>
      </c>
      <c r="V131">
        <v>21.577300000000001</v>
      </c>
      <c r="W131" t="s">
        <v>14</v>
      </c>
      <c r="X131">
        <v>80.600999999999999</v>
      </c>
      <c r="Y131">
        <v>64.578000000000003</v>
      </c>
      <c r="Z131">
        <v>0.255</v>
      </c>
      <c r="AA131">
        <v>1E-3</v>
      </c>
      <c r="AB131">
        <v>2.3E-2</v>
      </c>
      <c r="AC131">
        <v>1849.047</v>
      </c>
      <c r="AD131">
        <v>0</v>
      </c>
      <c r="AE131">
        <v>0</v>
      </c>
      <c r="AF131">
        <v>0</v>
      </c>
      <c r="AG131">
        <v>4.2469999999999999</v>
      </c>
      <c r="AH131">
        <v>1998.752</v>
      </c>
      <c r="AI131" t="s">
        <v>26</v>
      </c>
      <c r="AJ131">
        <v>657.5</v>
      </c>
      <c r="AK131">
        <v>82.5</v>
      </c>
      <c r="AL131">
        <v>32.5</v>
      </c>
      <c r="AM131">
        <v>2.5</v>
      </c>
      <c r="AN131">
        <v>2.5</v>
      </c>
      <c r="AO131">
        <v>892.5</v>
      </c>
      <c r="AP131">
        <v>0</v>
      </c>
      <c r="AQ131">
        <v>0</v>
      </c>
      <c r="AR131">
        <v>0</v>
      </c>
      <c r="AS131">
        <v>0</v>
      </c>
      <c r="AT131">
        <v>1670</v>
      </c>
      <c r="AU131" t="s">
        <v>38</v>
      </c>
    </row>
    <row r="132" spans="1:47" ht="16" x14ac:dyDescent="0.2">
      <c r="A132">
        <v>1432</v>
      </c>
      <c r="B132" t="s">
        <v>930</v>
      </c>
      <c r="C132">
        <v>10</v>
      </c>
      <c r="D132" t="s">
        <v>554</v>
      </c>
      <c r="E132" s="6" t="s">
        <v>239</v>
      </c>
      <c r="F132" s="4" t="s">
        <v>554</v>
      </c>
      <c r="G132" t="str">
        <f t="shared" si="2"/>
        <v>SWL200210SLIP5</v>
      </c>
      <c r="H132">
        <v>62.562083000000001</v>
      </c>
      <c r="I132">
        <v>-173.55549999999999</v>
      </c>
      <c r="J132" s="3">
        <v>20020716</v>
      </c>
      <c r="K132">
        <v>2002</v>
      </c>
      <c r="L132">
        <v>2.2724600000000001</v>
      </c>
      <c r="M132">
        <v>9.8874999999999993</v>
      </c>
      <c r="N132">
        <v>2.147E-2</v>
      </c>
      <c r="O132">
        <v>1.8000000000000001E-4</v>
      </c>
      <c r="P132">
        <v>0.14237</v>
      </c>
      <c r="Q132">
        <v>0</v>
      </c>
      <c r="R132">
        <v>0</v>
      </c>
      <c r="S132">
        <v>0</v>
      </c>
      <c r="T132">
        <v>2.25814</v>
      </c>
      <c r="U132">
        <v>0.51831000000000005</v>
      </c>
      <c r="V132">
        <v>15.100429999999999</v>
      </c>
      <c r="W132" t="s">
        <v>10</v>
      </c>
      <c r="X132">
        <v>41.344000000000001</v>
      </c>
      <c r="Y132">
        <v>315.89699999999999</v>
      </c>
      <c r="Z132">
        <v>0.26</v>
      </c>
      <c r="AA132">
        <v>4.0000000000000001E-3</v>
      </c>
      <c r="AB132">
        <v>10.169</v>
      </c>
      <c r="AC132">
        <v>0</v>
      </c>
      <c r="AD132">
        <v>0</v>
      </c>
      <c r="AE132">
        <v>0</v>
      </c>
      <c r="AF132">
        <v>24.280999999999999</v>
      </c>
      <c r="AG132">
        <v>8.7439999999999998</v>
      </c>
      <c r="AH132">
        <v>400.69900000000001</v>
      </c>
      <c r="AI132" t="s">
        <v>22</v>
      </c>
      <c r="AJ132">
        <v>625</v>
      </c>
      <c r="AK132">
        <v>2097.5</v>
      </c>
      <c r="AL132">
        <v>45</v>
      </c>
      <c r="AM132">
        <v>5</v>
      </c>
      <c r="AN132">
        <v>7.5</v>
      </c>
      <c r="AO132">
        <v>0</v>
      </c>
      <c r="AP132">
        <v>0</v>
      </c>
      <c r="AQ132">
        <v>0</v>
      </c>
      <c r="AR132">
        <v>12.5</v>
      </c>
      <c r="AS132">
        <v>177.5</v>
      </c>
      <c r="AT132">
        <v>2970</v>
      </c>
      <c r="AU132" t="s">
        <v>34</v>
      </c>
    </row>
    <row r="133" spans="1:47" ht="16" x14ac:dyDescent="0.2">
      <c r="A133">
        <v>1433</v>
      </c>
      <c r="B133" t="s">
        <v>930</v>
      </c>
      <c r="C133">
        <v>11</v>
      </c>
      <c r="D133" t="s">
        <v>555</v>
      </c>
      <c r="E133" s="6" t="s">
        <v>246</v>
      </c>
      <c r="F133" s="4" t="s">
        <v>555</v>
      </c>
      <c r="G133" t="str">
        <f t="shared" si="2"/>
        <v>SWL200211SLIP4</v>
      </c>
      <c r="H133">
        <v>63.030583</v>
      </c>
      <c r="I133">
        <v>-173.453217</v>
      </c>
      <c r="J133" s="3">
        <v>20020716</v>
      </c>
      <c r="K133">
        <v>2002</v>
      </c>
      <c r="L133">
        <v>2.2687900000000001</v>
      </c>
      <c r="M133">
        <v>6.2674599999999998</v>
      </c>
      <c r="N133">
        <v>1.84744</v>
      </c>
      <c r="O133">
        <v>0</v>
      </c>
      <c r="P133">
        <v>0.11113000000000001</v>
      </c>
      <c r="Q133">
        <v>0</v>
      </c>
      <c r="R133">
        <v>0</v>
      </c>
      <c r="S133">
        <v>0</v>
      </c>
      <c r="T133">
        <v>0.69015000000000004</v>
      </c>
      <c r="U133">
        <v>0.32651000000000002</v>
      </c>
      <c r="V133">
        <v>11.511480000000001</v>
      </c>
      <c r="W133" t="s">
        <v>10</v>
      </c>
      <c r="X133">
        <v>45.308</v>
      </c>
      <c r="Y133">
        <v>181.422</v>
      </c>
      <c r="Z133">
        <v>24.085000000000001</v>
      </c>
      <c r="AA133">
        <v>0</v>
      </c>
      <c r="AB133">
        <v>7.9379999999999997</v>
      </c>
      <c r="AC133">
        <v>0</v>
      </c>
      <c r="AD133">
        <v>0</v>
      </c>
      <c r="AE133">
        <v>0</v>
      </c>
      <c r="AF133">
        <v>7.4210000000000003</v>
      </c>
      <c r="AG133">
        <v>5.5469999999999997</v>
      </c>
      <c r="AH133">
        <v>271.721</v>
      </c>
      <c r="AI133" t="s">
        <v>22</v>
      </c>
      <c r="AJ133">
        <v>497.5</v>
      </c>
      <c r="AK133">
        <v>680</v>
      </c>
      <c r="AL133">
        <v>195</v>
      </c>
      <c r="AM133">
        <v>0</v>
      </c>
      <c r="AN133">
        <v>2.5</v>
      </c>
      <c r="AO133">
        <v>0</v>
      </c>
      <c r="AP133">
        <v>0</v>
      </c>
      <c r="AQ133">
        <v>0</v>
      </c>
      <c r="AR133">
        <v>12.5</v>
      </c>
      <c r="AS133">
        <v>82.5</v>
      </c>
      <c r="AT133">
        <v>1470</v>
      </c>
      <c r="AU133" t="s">
        <v>34</v>
      </c>
    </row>
    <row r="134" spans="1:47" x14ac:dyDescent="0.2">
      <c r="A134">
        <v>1434</v>
      </c>
      <c r="B134" t="s">
        <v>930</v>
      </c>
      <c r="C134">
        <v>13</v>
      </c>
      <c r="D134" t="s">
        <v>556</v>
      </c>
      <c r="G134" t="str">
        <f t="shared" si="2"/>
        <v>SWL200213UTBS5</v>
      </c>
      <c r="H134">
        <v>64.667117000000005</v>
      </c>
      <c r="I134">
        <v>-169.920333</v>
      </c>
      <c r="J134" s="3">
        <v>20020716</v>
      </c>
      <c r="K134">
        <v>2002</v>
      </c>
      <c r="L134">
        <v>11.736940000000001</v>
      </c>
      <c r="M134">
        <v>12.82457</v>
      </c>
      <c r="N134">
        <v>0.14630000000000001</v>
      </c>
      <c r="O134">
        <v>0.65290999999999999</v>
      </c>
      <c r="P134">
        <v>0</v>
      </c>
      <c r="Q134">
        <v>0</v>
      </c>
      <c r="R134">
        <v>0</v>
      </c>
      <c r="S134">
        <v>0.19628999999999999</v>
      </c>
      <c r="T134">
        <v>0</v>
      </c>
      <c r="U134">
        <v>4.96E-3</v>
      </c>
      <c r="V134">
        <v>25.561969999999999</v>
      </c>
      <c r="W134" t="s">
        <v>10</v>
      </c>
      <c r="X134">
        <v>167.327</v>
      </c>
      <c r="Y134">
        <v>357.95400000000001</v>
      </c>
      <c r="Z134">
        <v>2.0550000000000002</v>
      </c>
      <c r="AA134">
        <v>14.509</v>
      </c>
      <c r="AB134">
        <v>0</v>
      </c>
      <c r="AC134">
        <v>0</v>
      </c>
      <c r="AD134">
        <v>0</v>
      </c>
      <c r="AE134">
        <v>14.021000000000001</v>
      </c>
      <c r="AF134">
        <v>0</v>
      </c>
      <c r="AG134">
        <v>0.08</v>
      </c>
      <c r="AH134">
        <v>555.94600000000003</v>
      </c>
      <c r="AI134" t="s">
        <v>22</v>
      </c>
      <c r="AJ134">
        <v>1337.5</v>
      </c>
      <c r="AK134">
        <v>950</v>
      </c>
      <c r="AL134">
        <v>330</v>
      </c>
      <c r="AM134">
        <v>2.5</v>
      </c>
      <c r="AN134">
        <v>0</v>
      </c>
      <c r="AO134">
        <v>0</v>
      </c>
      <c r="AP134">
        <v>0</v>
      </c>
      <c r="AQ134">
        <v>20</v>
      </c>
      <c r="AR134">
        <v>0</v>
      </c>
      <c r="AS134">
        <v>10</v>
      </c>
      <c r="AT134">
        <v>2650</v>
      </c>
      <c r="AU134" t="s">
        <v>33</v>
      </c>
    </row>
    <row r="135" spans="1:47" x14ac:dyDescent="0.2">
      <c r="A135">
        <v>1435</v>
      </c>
      <c r="B135" t="s">
        <v>930</v>
      </c>
      <c r="C135">
        <v>14</v>
      </c>
      <c r="D135" t="s">
        <v>557</v>
      </c>
      <c r="G135" t="str">
        <f t="shared" si="2"/>
        <v>SWL200214UTBS2</v>
      </c>
      <c r="H135">
        <v>64.684032999999999</v>
      </c>
      <c r="I135">
        <v>-169.1035</v>
      </c>
      <c r="J135" s="3">
        <v>20020717</v>
      </c>
      <c r="K135">
        <v>2002</v>
      </c>
      <c r="L135">
        <v>3.4330799999999999</v>
      </c>
      <c r="M135">
        <v>1.7540899999999999</v>
      </c>
      <c r="N135">
        <v>13.996230000000001</v>
      </c>
      <c r="O135">
        <v>2.2499999999999998E-3</v>
      </c>
      <c r="P135">
        <v>0</v>
      </c>
      <c r="Q135">
        <v>0</v>
      </c>
      <c r="R135">
        <v>0</v>
      </c>
      <c r="S135">
        <v>0</v>
      </c>
      <c r="T135">
        <v>0.14815</v>
      </c>
      <c r="U135">
        <v>1.4660299999999999</v>
      </c>
      <c r="V135">
        <v>20.79983</v>
      </c>
      <c r="W135" t="s">
        <v>11</v>
      </c>
      <c r="X135">
        <v>48.936</v>
      </c>
      <c r="Y135">
        <v>68.114000000000004</v>
      </c>
      <c r="Z135">
        <v>203.43600000000001</v>
      </c>
      <c r="AA135">
        <v>0.05</v>
      </c>
      <c r="AB135">
        <v>0</v>
      </c>
      <c r="AC135">
        <v>0</v>
      </c>
      <c r="AD135">
        <v>0</v>
      </c>
      <c r="AE135">
        <v>0</v>
      </c>
      <c r="AF135">
        <v>1.593</v>
      </c>
      <c r="AG135">
        <v>23.651</v>
      </c>
      <c r="AH135">
        <v>345.78</v>
      </c>
      <c r="AI135" t="s">
        <v>23</v>
      </c>
      <c r="AJ135">
        <v>1037.5</v>
      </c>
      <c r="AK135">
        <v>665</v>
      </c>
      <c r="AL135">
        <v>11367.5</v>
      </c>
      <c r="AM135">
        <v>5</v>
      </c>
      <c r="AN135">
        <v>0</v>
      </c>
      <c r="AO135">
        <v>0</v>
      </c>
      <c r="AP135">
        <v>0</v>
      </c>
      <c r="AQ135">
        <v>0</v>
      </c>
      <c r="AR135">
        <v>25</v>
      </c>
      <c r="AS135">
        <v>30</v>
      </c>
      <c r="AT135">
        <v>13130</v>
      </c>
      <c r="AU135" t="s">
        <v>35</v>
      </c>
    </row>
    <row r="136" spans="1:47" x14ac:dyDescent="0.2">
      <c r="A136">
        <v>1436</v>
      </c>
      <c r="B136" t="s">
        <v>930</v>
      </c>
      <c r="C136">
        <v>15</v>
      </c>
      <c r="D136" t="s">
        <v>558</v>
      </c>
      <c r="G136" t="str">
        <f t="shared" si="2"/>
        <v>SWL200215UTBS4</v>
      </c>
      <c r="H136">
        <v>64.959867000000003</v>
      </c>
      <c r="I136">
        <v>-169.88213300000001</v>
      </c>
      <c r="J136" s="3">
        <v>20020717</v>
      </c>
      <c r="K136">
        <v>2002</v>
      </c>
      <c r="L136">
        <v>3.8572799999999998</v>
      </c>
      <c r="M136">
        <v>11.009740000000001</v>
      </c>
      <c r="N136">
        <v>20.446809999999999</v>
      </c>
      <c r="O136">
        <v>0</v>
      </c>
      <c r="P136">
        <v>0</v>
      </c>
      <c r="Q136">
        <v>0</v>
      </c>
      <c r="R136">
        <v>7.1309999999999998E-2</v>
      </c>
      <c r="S136">
        <v>0.23363</v>
      </c>
      <c r="T136">
        <v>8.7609999999999993E-2</v>
      </c>
      <c r="U136">
        <v>6.7879999999999996E-2</v>
      </c>
      <c r="V136">
        <v>35.774259999999998</v>
      </c>
      <c r="W136" t="s">
        <v>11</v>
      </c>
      <c r="X136">
        <v>52.712000000000003</v>
      </c>
      <c r="Y136">
        <v>421.85899999999998</v>
      </c>
      <c r="Z136">
        <v>299.95999999999998</v>
      </c>
      <c r="AA136">
        <v>0</v>
      </c>
      <c r="AB136">
        <v>0</v>
      </c>
      <c r="AC136">
        <v>0</v>
      </c>
      <c r="AD136">
        <v>1.169</v>
      </c>
      <c r="AE136">
        <v>16.687999999999999</v>
      </c>
      <c r="AF136">
        <v>0.94199999999999995</v>
      </c>
      <c r="AG136">
        <v>1.3420000000000001</v>
      </c>
      <c r="AH136">
        <v>794.67200000000003</v>
      </c>
      <c r="AI136" t="s">
        <v>22</v>
      </c>
      <c r="AJ136">
        <v>872.5</v>
      </c>
      <c r="AK136">
        <v>537.5</v>
      </c>
      <c r="AL136">
        <v>7777.5</v>
      </c>
      <c r="AM136">
        <v>0</v>
      </c>
      <c r="AN136">
        <v>0</v>
      </c>
      <c r="AO136">
        <v>0</v>
      </c>
      <c r="AP136">
        <v>10</v>
      </c>
      <c r="AQ136">
        <v>7.5</v>
      </c>
      <c r="AR136">
        <v>25</v>
      </c>
      <c r="AS136">
        <v>50</v>
      </c>
      <c r="AT136">
        <v>9280</v>
      </c>
      <c r="AU136" t="s">
        <v>35</v>
      </c>
    </row>
    <row r="137" spans="1:47" x14ac:dyDescent="0.2">
      <c r="A137">
        <v>1437</v>
      </c>
      <c r="B137" t="s">
        <v>930</v>
      </c>
      <c r="C137">
        <v>16</v>
      </c>
      <c r="D137" t="s">
        <v>179</v>
      </c>
      <c r="G137" t="str">
        <f t="shared" si="2"/>
        <v>SWL200216UTBS1</v>
      </c>
      <c r="H137">
        <v>64.992632999999998</v>
      </c>
      <c r="I137">
        <v>-169.136067</v>
      </c>
      <c r="J137" s="3">
        <v>20020717</v>
      </c>
      <c r="K137">
        <v>2002</v>
      </c>
      <c r="L137">
        <v>1.70794</v>
      </c>
      <c r="M137">
        <v>7.4568399999999997</v>
      </c>
      <c r="N137">
        <v>21.512840000000001</v>
      </c>
      <c r="O137">
        <v>0</v>
      </c>
      <c r="P137">
        <v>0</v>
      </c>
      <c r="Q137">
        <v>0</v>
      </c>
      <c r="R137">
        <v>1.409E-2</v>
      </c>
      <c r="S137">
        <v>0</v>
      </c>
      <c r="T137">
        <v>0.13466</v>
      </c>
      <c r="U137">
        <v>3.9300000000000003E-3</v>
      </c>
      <c r="V137">
        <v>30.830300000000001</v>
      </c>
      <c r="W137" t="s">
        <v>11</v>
      </c>
      <c r="X137">
        <v>22.617999999999999</v>
      </c>
      <c r="Y137">
        <v>266.78300000000002</v>
      </c>
      <c r="Z137">
        <v>314.70999999999998</v>
      </c>
      <c r="AA137">
        <v>0</v>
      </c>
      <c r="AB137">
        <v>0</v>
      </c>
      <c r="AC137">
        <v>0</v>
      </c>
      <c r="AD137">
        <v>0.23100000000000001</v>
      </c>
      <c r="AE137">
        <v>0</v>
      </c>
      <c r="AF137">
        <v>1.448</v>
      </c>
      <c r="AG137">
        <v>8.3000000000000004E-2</v>
      </c>
      <c r="AH137">
        <v>605.87300000000005</v>
      </c>
      <c r="AI137" t="s">
        <v>23</v>
      </c>
      <c r="AJ137">
        <v>612.5</v>
      </c>
      <c r="AK137">
        <v>962.5</v>
      </c>
      <c r="AL137">
        <v>14045</v>
      </c>
      <c r="AM137">
        <v>0</v>
      </c>
      <c r="AN137">
        <v>0</v>
      </c>
      <c r="AO137">
        <v>0</v>
      </c>
      <c r="AP137">
        <v>5</v>
      </c>
      <c r="AQ137">
        <v>0</v>
      </c>
      <c r="AR137">
        <v>35</v>
      </c>
      <c r="AS137">
        <v>30</v>
      </c>
      <c r="AT137">
        <v>15690</v>
      </c>
      <c r="AU137" t="s">
        <v>35</v>
      </c>
    </row>
    <row r="138" spans="1:47" x14ac:dyDescent="0.2">
      <c r="A138">
        <v>1438</v>
      </c>
      <c r="B138" t="s">
        <v>930</v>
      </c>
      <c r="C138">
        <v>22</v>
      </c>
      <c r="D138" t="s">
        <v>559</v>
      </c>
      <c r="G138" t="str">
        <f t="shared" si="2"/>
        <v>SWL200222UTN1</v>
      </c>
      <c r="H138">
        <v>66.710583</v>
      </c>
      <c r="I138">
        <v>-168.39873299999999</v>
      </c>
      <c r="J138" s="3">
        <v>20020717</v>
      </c>
      <c r="K138">
        <v>2002</v>
      </c>
      <c r="L138">
        <v>3.2792699999999999</v>
      </c>
      <c r="M138">
        <v>4.165E-2</v>
      </c>
      <c r="N138">
        <v>5.432E-2</v>
      </c>
      <c r="O138">
        <v>0</v>
      </c>
      <c r="P138">
        <v>8.0000000000000007E-5</v>
      </c>
      <c r="Q138">
        <v>11.28936</v>
      </c>
      <c r="R138">
        <v>0.59567000000000003</v>
      </c>
      <c r="S138">
        <v>0</v>
      </c>
      <c r="T138">
        <v>0</v>
      </c>
      <c r="U138">
        <v>1.5280800000000001</v>
      </c>
      <c r="V138">
        <v>16.788430000000002</v>
      </c>
      <c r="W138" t="s">
        <v>14</v>
      </c>
      <c r="X138">
        <v>49.865000000000002</v>
      </c>
      <c r="Y138">
        <v>1.2190000000000001</v>
      </c>
      <c r="Z138">
        <v>0.79300000000000004</v>
      </c>
      <c r="AA138">
        <v>0</v>
      </c>
      <c r="AB138">
        <v>6.0000000000000001E-3</v>
      </c>
      <c r="AC138">
        <v>1411.17</v>
      </c>
      <c r="AD138">
        <v>9.7650000000000006</v>
      </c>
      <c r="AE138">
        <v>0</v>
      </c>
      <c r="AF138">
        <v>0</v>
      </c>
      <c r="AG138">
        <v>26.152000000000001</v>
      </c>
      <c r="AH138">
        <v>1498.97</v>
      </c>
      <c r="AI138" t="s">
        <v>26</v>
      </c>
      <c r="AJ138">
        <v>477.5</v>
      </c>
      <c r="AK138">
        <v>327.5</v>
      </c>
      <c r="AL138">
        <v>117.5</v>
      </c>
      <c r="AM138">
        <v>0</v>
      </c>
      <c r="AN138">
        <v>12.5</v>
      </c>
      <c r="AO138">
        <v>310</v>
      </c>
      <c r="AP138">
        <v>20</v>
      </c>
      <c r="AQ138">
        <v>0</v>
      </c>
      <c r="AR138">
        <v>0</v>
      </c>
      <c r="AS138">
        <v>25</v>
      </c>
      <c r="AT138">
        <v>1290</v>
      </c>
      <c r="AU138" t="s">
        <v>33</v>
      </c>
    </row>
    <row r="139" spans="1:47" x14ac:dyDescent="0.2">
      <c r="A139">
        <v>1439</v>
      </c>
      <c r="B139" t="s">
        <v>930</v>
      </c>
      <c r="C139">
        <v>23</v>
      </c>
      <c r="D139" t="s">
        <v>560</v>
      </c>
      <c r="G139" t="str">
        <f t="shared" si="2"/>
        <v>SWL200223UTN2</v>
      </c>
      <c r="H139">
        <v>67.051716999999996</v>
      </c>
      <c r="I139">
        <v>-168.72671700000001</v>
      </c>
      <c r="J139" s="3">
        <v>20020718</v>
      </c>
      <c r="K139">
        <v>2002</v>
      </c>
      <c r="L139">
        <v>2.64567</v>
      </c>
      <c r="M139">
        <v>11.981439999999999</v>
      </c>
      <c r="N139">
        <v>1.3597399999999999</v>
      </c>
      <c r="O139">
        <v>0</v>
      </c>
      <c r="P139">
        <v>1.8839999999999999E-2</v>
      </c>
      <c r="Q139">
        <v>0</v>
      </c>
      <c r="R139">
        <v>0.85631999999999997</v>
      </c>
      <c r="S139">
        <v>1.417E-2</v>
      </c>
      <c r="T139">
        <v>0</v>
      </c>
      <c r="U139">
        <v>1.5869999999999999E-2</v>
      </c>
      <c r="V139">
        <v>16.892050000000001</v>
      </c>
      <c r="W139" t="s">
        <v>10</v>
      </c>
      <c r="X139">
        <v>39.387999999999998</v>
      </c>
      <c r="Y139">
        <v>346.36700000000002</v>
      </c>
      <c r="Z139">
        <v>18.466000000000001</v>
      </c>
      <c r="AA139">
        <v>0</v>
      </c>
      <c r="AB139">
        <v>1.3460000000000001</v>
      </c>
      <c r="AC139">
        <v>0</v>
      </c>
      <c r="AD139">
        <v>14.038</v>
      </c>
      <c r="AE139">
        <v>1.012</v>
      </c>
      <c r="AF139">
        <v>0</v>
      </c>
      <c r="AG139">
        <v>0.25600000000000001</v>
      </c>
      <c r="AH139">
        <v>420.87299999999999</v>
      </c>
      <c r="AI139" t="s">
        <v>22</v>
      </c>
      <c r="AJ139">
        <v>1427.5</v>
      </c>
      <c r="AK139">
        <v>817.5</v>
      </c>
      <c r="AL139">
        <v>2387.5</v>
      </c>
      <c r="AM139">
        <v>0</v>
      </c>
      <c r="AN139">
        <v>20</v>
      </c>
      <c r="AO139">
        <v>0</v>
      </c>
      <c r="AP139">
        <v>50</v>
      </c>
      <c r="AQ139">
        <v>5</v>
      </c>
      <c r="AR139">
        <v>0</v>
      </c>
      <c r="AS139">
        <v>12.5</v>
      </c>
      <c r="AT139">
        <v>4720</v>
      </c>
      <c r="AU139" t="s">
        <v>35</v>
      </c>
    </row>
    <row r="140" spans="1:47" x14ac:dyDescent="0.2">
      <c r="A140">
        <v>1440</v>
      </c>
      <c r="B140" t="s">
        <v>930</v>
      </c>
      <c r="C140">
        <v>24</v>
      </c>
      <c r="D140" t="s">
        <v>561</v>
      </c>
      <c r="G140" t="str">
        <f t="shared" si="2"/>
        <v>SWL200224UTN3</v>
      </c>
      <c r="H140">
        <v>67.333150000000003</v>
      </c>
      <c r="I140">
        <v>-168.993033</v>
      </c>
      <c r="J140" s="3">
        <v>20020718</v>
      </c>
      <c r="K140">
        <v>2002</v>
      </c>
      <c r="L140">
        <v>4.4864600000000001</v>
      </c>
      <c r="M140">
        <v>26.599689999999999</v>
      </c>
      <c r="N140">
        <v>2.9423499999999998</v>
      </c>
      <c r="O140">
        <v>0</v>
      </c>
      <c r="P140">
        <v>0.19078999999999999</v>
      </c>
      <c r="Q140">
        <v>0</v>
      </c>
      <c r="R140">
        <v>1.9326000000000001</v>
      </c>
      <c r="S140">
        <v>0</v>
      </c>
      <c r="T140">
        <v>0.12249</v>
      </c>
      <c r="U140">
        <v>0.14410000000000001</v>
      </c>
      <c r="V140">
        <v>36.418480000000002</v>
      </c>
      <c r="W140" t="s">
        <v>10</v>
      </c>
      <c r="X140">
        <v>61.936999999999998</v>
      </c>
      <c r="Y140">
        <v>759.94299999999998</v>
      </c>
      <c r="Z140">
        <v>38.414999999999999</v>
      </c>
      <c r="AA140">
        <v>0</v>
      </c>
      <c r="AB140">
        <v>13.628</v>
      </c>
      <c r="AC140">
        <v>0</v>
      </c>
      <c r="AD140">
        <v>31.681999999999999</v>
      </c>
      <c r="AE140">
        <v>0</v>
      </c>
      <c r="AF140">
        <v>1.3169999999999999</v>
      </c>
      <c r="AG140">
        <v>6.5510000000000002</v>
      </c>
      <c r="AH140">
        <v>913.47299999999996</v>
      </c>
      <c r="AI140" t="s">
        <v>22</v>
      </c>
      <c r="AJ140">
        <v>1697.5</v>
      </c>
      <c r="AK140">
        <v>1740</v>
      </c>
      <c r="AL140">
        <v>5695</v>
      </c>
      <c r="AM140">
        <v>0</v>
      </c>
      <c r="AN140">
        <v>20</v>
      </c>
      <c r="AO140">
        <v>0</v>
      </c>
      <c r="AP140">
        <v>85</v>
      </c>
      <c r="AQ140">
        <v>0</v>
      </c>
      <c r="AR140">
        <v>2.5</v>
      </c>
      <c r="AS140">
        <v>145</v>
      </c>
      <c r="AT140">
        <v>9385</v>
      </c>
      <c r="AU140" t="s">
        <v>35</v>
      </c>
    </row>
    <row r="141" spans="1:47" x14ac:dyDescent="0.2">
      <c r="A141">
        <v>1441</v>
      </c>
      <c r="B141" t="s">
        <v>930</v>
      </c>
      <c r="C141">
        <v>25</v>
      </c>
      <c r="D141" t="s">
        <v>562</v>
      </c>
      <c r="G141" t="str">
        <f t="shared" si="2"/>
        <v>SWL200225UTN4</v>
      </c>
      <c r="H141">
        <v>67.500632999999993</v>
      </c>
      <c r="I141">
        <v>-168.9128</v>
      </c>
      <c r="J141" s="3">
        <v>20020718</v>
      </c>
      <c r="K141">
        <v>2002</v>
      </c>
      <c r="L141">
        <v>5.7573699999999999</v>
      </c>
      <c r="M141">
        <v>12.808770000000001</v>
      </c>
      <c r="N141">
        <v>6.4325000000000001</v>
      </c>
      <c r="O141">
        <v>5.13E-3</v>
      </c>
      <c r="P141">
        <v>2.5059999999999999E-2</v>
      </c>
      <c r="Q141">
        <v>0</v>
      </c>
      <c r="R141">
        <v>1.8236000000000001</v>
      </c>
      <c r="S141">
        <v>0</v>
      </c>
      <c r="T141">
        <v>0</v>
      </c>
      <c r="U141">
        <v>0.29837999999999998</v>
      </c>
      <c r="V141">
        <v>27.15081</v>
      </c>
      <c r="W141" t="s">
        <v>10</v>
      </c>
      <c r="X141">
        <v>86.51</v>
      </c>
      <c r="Y141">
        <v>361.43400000000003</v>
      </c>
      <c r="Z141">
        <v>78.308000000000007</v>
      </c>
      <c r="AA141">
        <v>0.114</v>
      </c>
      <c r="AB141">
        <v>1.79</v>
      </c>
      <c r="AC141">
        <v>0</v>
      </c>
      <c r="AD141">
        <v>29.895</v>
      </c>
      <c r="AE141">
        <v>0</v>
      </c>
      <c r="AF141">
        <v>0</v>
      </c>
      <c r="AG141">
        <v>13.433999999999999</v>
      </c>
      <c r="AH141">
        <v>571.48500000000001</v>
      </c>
      <c r="AI141" t="s">
        <v>22</v>
      </c>
      <c r="AJ141">
        <v>1430</v>
      </c>
      <c r="AK141">
        <v>2602.5</v>
      </c>
      <c r="AL141">
        <v>9575</v>
      </c>
      <c r="AM141">
        <v>2.5</v>
      </c>
      <c r="AN141">
        <v>15</v>
      </c>
      <c r="AO141">
        <v>0</v>
      </c>
      <c r="AP141">
        <v>70</v>
      </c>
      <c r="AQ141">
        <v>0</v>
      </c>
      <c r="AR141">
        <v>0</v>
      </c>
      <c r="AS141">
        <v>137.5</v>
      </c>
      <c r="AT141">
        <v>13832.5</v>
      </c>
      <c r="AU141" t="s">
        <v>35</v>
      </c>
    </row>
    <row r="142" spans="1:47" x14ac:dyDescent="0.2">
      <c r="A142">
        <v>1442</v>
      </c>
      <c r="B142" t="s">
        <v>930</v>
      </c>
      <c r="C142">
        <v>26</v>
      </c>
      <c r="D142" t="s">
        <v>306</v>
      </c>
      <c r="G142" t="str">
        <f t="shared" si="2"/>
        <v>SWL200226UTN5=SEC1</v>
      </c>
      <c r="H142">
        <v>67.670332999999999</v>
      </c>
      <c r="I142">
        <v>-168.95766699999999</v>
      </c>
      <c r="J142" s="3">
        <v>20020718</v>
      </c>
      <c r="K142">
        <v>2002</v>
      </c>
      <c r="L142">
        <v>2.3201000000000001</v>
      </c>
      <c r="M142">
        <v>12.43622</v>
      </c>
      <c r="N142">
        <v>5.6601100000000004</v>
      </c>
      <c r="O142">
        <v>0</v>
      </c>
      <c r="P142">
        <v>3.0000000000000001E-5</v>
      </c>
      <c r="Q142">
        <v>0</v>
      </c>
      <c r="R142">
        <v>1.3947000000000001</v>
      </c>
      <c r="S142">
        <v>8.2199999999999999E-3</v>
      </c>
      <c r="T142">
        <v>2.08264</v>
      </c>
      <c r="U142">
        <v>0.28732999999999997</v>
      </c>
      <c r="V142">
        <v>24.189350000000001</v>
      </c>
      <c r="W142" t="s">
        <v>10</v>
      </c>
      <c r="X142">
        <v>40.521000000000001</v>
      </c>
      <c r="Y142">
        <v>340.86900000000003</v>
      </c>
      <c r="Z142">
        <v>68.119</v>
      </c>
      <c r="AA142">
        <v>0</v>
      </c>
      <c r="AB142">
        <v>2E-3</v>
      </c>
      <c r="AC142">
        <v>0</v>
      </c>
      <c r="AD142">
        <v>22.864000000000001</v>
      </c>
      <c r="AE142">
        <v>0.58699999999999997</v>
      </c>
      <c r="AF142">
        <v>22.393999999999998</v>
      </c>
      <c r="AG142">
        <v>12.318</v>
      </c>
      <c r="AH142">
        <v>507.67399999999998</v>
      </c>
      <c r="AI142" t="s">
        <v>22</v>
      </c>
      <c r="AJ142">
        <v>1117.5</v>
      </c>
      <c r="AK142">
        <v>2452.5</v>
      </c>
      <c r="AL142">
        <v>9475</v>
      </c>
      <c r="AM142">
        <v>0</v>
      </c>
      <c r="AN142">
        <v>2.5</v>
      </c>
      <c r="AO142">
        <v>0</v>
      </c>
      <c r="AP142">
        <v>65</v>
      </c>
      <c r="AQ142">
        <v>0</v>
      </c>
      <c r="AR142">
        <v>20</v>
      </c>
      <c r="AS142">
        <v>315</v>
      </c>
      <c r="AT142">
        <v>13447.5</v>
      </c>
      <c r="AU142" t="s">
        <v>35</v>
      </c>
    </row>
    <row r="143" spans="1:47" x14ac:dyDescent="0.2">
      <c r="A143">
        <v>1443</v>
      </c>
      <c r="B143" t="s">
        <v>930</v>
      </c>
      <c r="C143">
        <v>27</v>
      </c>
      <c r="D143" t="s">
        <v>563</v>
      </c>
      <c r="G143" t="str">
        <f t="shared" si="2"/>
        <v>SWL200227UTN6</v>
      </c>
      <c r="H143">
        <v>67.735866999999999</v>
      </c>
      <c r="I143">
        <v>-168.43866700000001</v>
      </c>
      <c r="J143" s="3">
        <v>20020718</v>
      </c>
      <c r="K143">
        <v>2002</v>
      </c>
      <c r="L143">
        <v>2.3847100000000001</v>
      </c>
      <c r="M143">
        <v>9.9216599999999993</v>
      </c>
      <c r="N143">
        <v>3.0505499999999999</v>
      </c>
      <c r="O143">
        <v>0</v>
      </c>
      <c r="P143">
        <v>7.0800000000000004E-3</v>
      </c>
      <c r="Q143">
        <v>0</v>
      </c>
      <c r="R143">
        <v>1.93407</v>
      </c>
      <c r="S143">
        <v>3.7510000000000002E-2</v>
      </c>
      <c r="T143">
        <v>0.64095999999999997</v>
      </c>
      <c r="U143">
        <v>2.07233</v>
      </c>
      <c r="V143">
        <v>20.048870000000001</v>
      </c>
      <c r="W143" t="s">
        <v>10</v>
      </c>
      <c r="X143">
        <v>36.24</v>
      </c>
      <c r="Y143">
        <v>270.637</v>
      </c>
      <c r="Z143">
        <v>35.177</v>
      </c>
      <c r="AA143">
        <v>0</v>
      </c>
      <c r="AB143">
        <v>0.50600000000000001</v>
      </c>
      <c r="AC143">
        <v>0</v>
      </c>
      <c r="AD143">
        <v>31.706</v>
      </c>
      <c r="AE143">
        <v>2.6789999999999998</v>
      </c>
      <c r="AF143">
        <v>6.8920000000000003</v>
      </c>
      <c r="AG143">
        <v>35.909999999999997</v>
      </c>
      <c r="AH143">
        <v>419.74700000000001</v>
      </c>
      <c r="AI143" t="s">
        <v>22</v>
      </c>
      <c r="AJ143">
        <v>370</v>
      </c>
      <c r="AK143">
        <v>667.5</v>
      </c>
      <c r="AL143">
        <v>4252.5</v>
      </c>
      <c r="AM143">
        <v>0</v>
      </c>
      <c r="AN143">
        <v>12.5</v>
      </c>
      <c r="AO143">
        <v>0</v>
      </c>
      <c r="AP143">
        <v>50</v>
      </c>
      <c r="AQ143">
        <v>5</v>
      </c>
      <c r="AR143">
        <v>7.5</v>
      </c>
      <c r="AS143">
        <v>32.5</v>
      </c>
      <c r="AT143">
        <v>5397.5</v>
      </c>
      <c r="AU143" t="s">
        <v>35</v>
      </c>
    </row>
    <row r="144" spans="1:47" x14ac:dyDescent="0.2">
      <c r="A144">
        <v>1444</v>
      </c>
      <c r="B144" t="s">
        <v>930</v>
      </c>
      <c r="C144">
        <v>28</v>
      </c>
      <c r="D144" t="s">
        <v>564</v>
      </c>
      <c r="G144" t="str">
        <f t="shared" si="2"/>
        <v>SWL200228UTN7</v>
      </c>
      <c r="H144">
        <v>68</v>
      </c>
      <c r="I144">
        <v>-168.92750000000001</v>
      </c>
      <c r="J144" s="3">
        <v>20020718</v>
      </c>
      <c r="K144">
        <v>2002</v>
      </c>
      <c r="L144">
        <v>2.7257899999999999</v>
      </c>
      <c r="M144">
        <v>15.00787</v>
      </c>
      <c r="N144">
        <v>3.8010299999999999</v>
      </c>
      <c r="O144">
        <v>0</v>
      </c>
      <c r="P144">
        <v>0</v>
      </c>
      <c r="Q144">
        <v>0</v>
      </c>
      <c r="R144">
        <v>2.25901</v>
      </c>
      <c r="S144">
        <v>0</v>
      </c>
      <c r="T144">
        <v>0</v>
      </c>
      <c r="U144">
        <v>5.747E-2</v>
      </c>
      <c r="V144">
        <v>23.85117</v>
      </c>
      <c r="W144" t="s">
        <v>10</v>
      </c>
      <c r="X144">
        <v>36.054000000000002</v>
      </c>
      <c r="Y144">
        <v>412.13499999999999</v>
      </c>
      <c r="Z144">
        <v>41.802</v>
      </c>
      <c r="AA144">
        <v>0</v>
      </c>
      <c r="AB144">
        <v>0</v>
      </c>
      <c r="AC144">
        <v>0</v>
      </c>
      <c r="AD144">
        <v>37.033000000000001</v>
      </c>
      <c r="AE144">
        <v>0</v>
      </c>
      <c r="AF144">
        <v>0</v>
      </c>
      <c r="AG144">
        <v>2.7309999999999999</v>
      </c>
      <c r="AH144">
        <v>529.755</v>
      </c>
      <c r="AI144" t="s">
        <v>22</v>
      </c>
      <c r="AJ144">
        <v>477.5</v>
      </c>
      <c r="AK144">
        <v>545</v>
      </c>
      <c r="AL144">
        <v>7340</v>
      </c>
      <c r="AM144">
        <v>0</v>
      </c>
      <c r="AN144">
        <v>0</v>
      </c>
      <c r="AO144">
        <v>0</v>
      </c>
      <c r="AP144">
        <v>37.5</v>
      </c>
      <c r="AQ144">
        <v>0</v>
      </c>
      <c r="AR144">
        <v>0</v>
      </c>
      <c r="AS144">
        <v>37.5</v>
      </c>
      <c r="AT144">
        <v>8437.5</v>
      </c>
      <c r="AU144" t="s">
        <v>35</v>
      </c>
    </row>
    <row r="145" spans="1:47" ht="16" x14ac:dyDescent="0.2">
      <c r="A145">
        <v>1445</v>
      </c>
      <c r="B145" t="s">
        <v>930</v>
      </c>
      <c r="C145">
        <v>7</v>
      </c>
      <c r="D145" t="s">
        <v>551</v>
      </c>
      <c r="E145" s="6" t="s">
        <v>268</v>
      </c>
      <c r="F145" s="4" t="s">
        <v>551</v>
      </c>
      <c r="G145" t="str">
        <f t="shared" si="2"/>
        <v>SWL20027SLIP1</v>
      </c>
      <c r="H145">
        <v>62.0105</v>
      </c>
      <c r="I145">
        <v>-175.0575</v>
      </c>
      <c r="J145" s="3">
        <v>20020715</v>
      </c>
      <c r="K145">
        <v>2002</v>
      </c>
      <c r="L145">
        <v>3.6991100000000001</v>
      </c>
      <c r="M145">
        <v>12.719609999999999</v>
      </c>
      <c r="N145">
        <v>6.9599999999999995E-2</v>
      </c>
      <c r="O145">
        <v>0</v>
      </c>
      <c r="P145">
        <v>0.38668000000000002</v>
      </c>
      <c r="Q145">
        <v>0</v>
      </c>
      <c r="R145">
        <v>0</v>
      </c>
      <c r="S145">
        <v>0</v>
      </c>
      <c r="T145">
        <v>0.19353000000000001</v>
      </c>
      <c r="U145">
        <v>8.7389999999999995E-2</v>
      </c>
      <c r="V145">
        <v>17.155919999999998</v>
      </c>
      <c r="W145" t="s">
        <v>10</v>
      </c>
      <c r="X145">
        <v>55.784999999999997</v>
      </c>
      <c r="Y145">
        <v>455.17399999999998</v>
      </c>
      <c r="Z145">
        <v>0.90400000000000003</v>
      </c>
      <c r="AA145">
        <v>0</v>
      </c>
      <c r="AB145">
        <v>27.62</v>
      </c>
      <c r="AC145">
        <v>0</v>
      </c>
      <c r="AD145">
        <v>0</v>
      </c>
      <c r="AE145">
        <v>0</v>
      </c>
      <c r="AF145">
        <v>2.081</v>
      </c>
      <c r="AG145">
        <v>1.661</v>
      </c>
      <c r="AH145">
        <v>543.22500000000002</v>
      </c>
      <c r="AI145" t="s">
        <v>22</v>
      </c>
      <c r="AJ145">
        <v>830</v>
      </c>
      <c r="AK145">
        <v>465</v>
      </c>
      <c r="AL145">
        <v>270</v>
      </c>
      <c r="AM145">
        <v>0</v>
      </c>
      <c r="AN145">
        <v>35</v>
      </c>
      <c r="AO145">
        <v>0</v>
      </c>
      <c r="AP145">
        <v>0</v>
      </c>
      <c r="AQ145">
        <v>0</v>
      </c>
      <c r="AR145">
        <v>0</v>
      </c>
      <c r="AS145">
        <v>262.5</v>
      </c>
      <c r="AT145">
        <v>1862.5</v>
      </c>
      <c r="AU145" t="s">
        <v>33</v>
      </c>
    </row>
    <row r="146" spans="1:47" ht="16" x14ac:dyDescent="0.2">
      <c r="A146">
        <v>1446</v>
      </c>
      <c r="B146" t="s">
        <v>930</v>
      </c>
      <c r="C146">
        <v>8</v>
      </c>
      <c r="D146" t="s">
        <v>552</v>
      </c>
      <c r="E146" s="6" t="s">
        <v>279</v>
      </c>
      <c r="F146" s="4" t="s">
        <v>552</v>
      </c>
      <c r="G146" t="str">
        <f t="shared" si="2"/>
        <v>SWL20028SLIP2</v>
      </c>
      <c r="H146">
        <v>62.049833</v>
      </c>
      <c r="I146">
        <v>-175.207167</v>
      </c>
      <c r="J146" s="3">
        <v>20020715</v>
      </c>
      <c r="K146">
        <v>2002</v>
      </c>
      <c r="L146">
        <v>4.6153000000000004</v>
      </c>
      <c r="M146">
        <v>10.10455</v>
      </c>
      <c r="N146">
        <v>9.4710000000000003E-2</v>
      </c>
      <c r="O146">
        <v>2.38896</v>
      </c>
      <c r="P146">
        <v>0.59496000000000004</v>
      </c>
      <c r="Q146">
        <v>0</v>
      </c>
      <c r="R146">
        <v>0</v>
      </c>
      <c r="S146">
        <v>0</v>
      </c>
      <c r="T146">
        <v>3.7952400000000002</v>
      </c>
      <c r="U146">
        <v>0.45224999999999999</v>
      </c>
      <c r="V146">
        <v>22.045970000000001</v>
      </c>
      <c r="W146" t="s">
        <v>10</v>
      </c>
      <c r="X146">
        <v>68.790000000000006</v>
      </c>
      <c r="Y146">
        <v>434.09399999999999</v>
      </c>
      <c r="Z146">
        <v>1.302</v>
      </c>
      <c r="AA146">
        <v>53.088000000000001</v>
      </c>
      <c r="AB146">
        <v>42.497</v>
      </c>
      <c r="AC146">
        <v>0</v>
      </c>
      <c r="AD146">
        <v>0</v>
      </c>
      <c r="AE146">
        <v>0</v>
      </c>
      <c r="AF146">
        <v>40.808999999999997</v>
      </c>
      <c r="AG146">
        <v>7.484</v>
      </c>
      <c r="AH146">
        <v>648.06399999999996</v>
      </c>
      <c r="AI146" t="s">
        <v>22</v>
      </c>
      <c r="AJ146">
        <v>907.5</v>
      </c>
      <c r="AK146">
        <v>405</v>
      </c>
      <c r="AL146">
        <v>327.5</v>
      </c>
      <c r="AM146">
        <v>2.5</v>
      </c>
      <c r="AN146">
        <v>30</v>
      </c>
      <c r="AO146">
        <v>0</v>
      </c>
      <c r="AP146">
        <v>0</v>
      </c>
      <c r="AQ146">
        <v>0</v>
      </c>
      <c r="AR146">
        <v>25</v>
      </c>
      <c r="AS146">
        <v>207.5</v>
      </c>
      <c r="AT146">
        <v>1905</v>
      </c>
      <c r="AU146" t="s">
        <v>33</v>
      </c>
    </row>
    <row r="147" spans="1:47" ht="16" x14ac:dyDescent="0.2">
      <c r="A147">
        <v>1447</v>
      </c>
      <c r="B147" t="s">
        <v>930</v>
      </c>
      <c r="C147">
        <v>9</v>
      </c>
      <c r="D147" t="s">
        <v>553</v>
      </c>
      <c r="E147" s="6" t="s">
        <v>301</v>
      </c>
      <c r="F147" s="4" t="s">
        <v>553</v>
      </c>
      <c r="G147" t="str">
        <f t="shared" si="2"/>
        <v>SWL20029SLIP3</v>
      </c>
      <c r="H147">
        <v>62.391666999999998</v>
      </c>
      <c r="I147">
        <v>-174.57083299999999</v>
      </c>
      <c r="J147" s="3">
        <v>20020715</v>
      </c>
      <c r="K147">
        <v>2002</v>
      </c>
      <c r="L147">
        <v>2.7610000000000001</v>
      </c>
      <c r="M147">
        <v>12.420059999999999</v>
      </c>
      <c r="N147">
        <v>0.24851999999999999</v>
      </c>
      <c r="O147">
        <v>2.0325199999999999</v>
      </c>
      <c r="P147">
        <v>0.45445000000000002</v>
      </c>
      <c r="Q147">
        <v>0</v>
      </c>
      <c r="R147">
        <v>0</v>
      </c>
      <c r="S147">
        <v>0.22194</v>
      </c>
      <c r="T147">
        <v>2.02033</v>
      </c>
      <c r="U147">
        <v>0.20755999999999999</v>
      </c>
      <c r="V147">
        <v>20.366379999999999</v>
      </c>
      <c r="W147" t="s">
        <v>10</v>
      </c>
      <c r="X147">
        <v>41.424999999999997</v>
      </c>
      <c r="Y147">
        <v>540.88400000000001</v>
      </c>
      <c r="Z147">
        <v>2.8290000000000002</v>
      </c>
      <c r="AA147">
        <v>45.167000000000002</v>
      </c>
      <c r="AB147">
        <v>32.460999999999999</v>
      </c>
      <c r="AC147">
        <v>0</v>
      </c>
      <c r="AD147">
        <v>0</v>
      </c>
      <c r="AE147">
        <v>15.853</v>
      </c>
      <c r="AF147">
        <v>21.724</v>
      </c>
      <c r="AG147">
        <v>3.593</v>
      </c>
      <c r="AH147">
        <v>703.93600000000004</v>
      </c>
      <c r="AI147" t="s">
        <v>22</v>
      </c>
      <c r="AJ147">
        <v>1307.5</v>
      </c>
      <c r="AK147">
        <v>515</v>
      </c>
      <c r="AL147">
        <v>217.5</v>
      </c>
      <c r="AM147">
        <v>15</v>
      </c>
      <c r="AN147">
        <v>32.5</v>
      </c>
      <c r="AO147">
        <v>0</v>
      </c>
      <c r="AP147">
        <v>0</v>
      </c>
      <c r="AQ147">
        <v>10</v>
      </c>
      <c r="AR147">
        <v>52.5</v>
      </c>
      <c r="AS147">
        <v>175</v>
      </c>
      <c r="AT147">
        <v>2325</v>
      </c>
      <c r="AU147" t="s">
        <v>33</v>
      </c>
    </row>
    <row r="148" spans="1:47" ht="16" x14ac:dyDescent="0.2">
      <c r="A148">
        <v>1448</v>
      </c>
      <c r="B148" t="s">
        <v>931</v>
      </c>
      <c r="C148">
        <v>10</v>
      </c>
      <c r="D148" t="s">
        <v>553</v>
      </c>
      <c r="E148" s="6" t="s">
        <v>301</v>
      </c>
      <c r="F148" s="4" t="s">
        <v>553</v>
      </c>
      <c r="G148" t="str">
        <f t="shared" si="2"/>
        <v>SWL200310SLIP3</v>
      </c>
      <c r="H148">
        <v>62.389499999999998</v>
      </c>
      <c r="I148">
        <v>-174.57133300000001</v>
      </c>
      <c r="J148" s="3">
        <v>20030715</v>
      </c>
      <c r="K148">
        <v>2003</v>
      </c>
      <c r="L148">
        <v>5.0187900000000001</v>
      </c>
      <c r="M148">
        <v>8.4279299999999999</v>
      </c>
      <c r="N148">
        <v>0.19900000000000001</v>
      </c>
      <c r="O148">
        <v>4.5500000000000002E-3</v>
      </c>
      <c r="P148">
        <v>0.91796999999999995</v>
      </c>
      <c r="Q148">
        <v>0</v>
      </c>
      <c r="R148">
        <v>0</v>
      </c>
      <c r="S148">
        <v>0.17444000000000001</v>
      </c>
      <c r="T148">
        <v>0.85365000000000002</v>
      </c>
      <c r="U148">
        <v>0.85141</v>
      </c>
      <c r="V148">
        <v>16.44774</v>
      </c>
      <c r="W148" t="s">
        <v>10</v>
      </c>
      <c r="X148">
        <v>75.722999999999999</v>
      </c>
      <c r="Y148">
        <v>326.81700000000001</v>
      </c>
      <c r="Z148">
        <v>2.4630000000000001</v>
      </c>
      <c r="AA148">
        <v>0.10100000000000001</v>
      </c>
      <c r="AB148">
        <v>65.569000000000003</v>
      </c>
      <c r="AC148">
        <v>0</v>
      </c>
      <c r="AD148">
        <v>0</v>
      </c>
      <c r="AE148">
        <v>12.46</v>
      </c>
      <c r="AF148">
        <v>9.1790000000000003</v>
      </c>
      <c r="AG148">
        <v>20.274000000000001</v>
      </c>
      <c r="AH148">
        <v>512.58600000000001</v>
      </c>
      <c r="AI148" t="s">
        <v>22</v>
      </c>
      <c r="AJ148">
        <v>1097.5</v>
      </c>
      <c r="AK148">
        <v>465</v>
      </c>
      <c r="AL148">
        <v>230</v>
      </c>
      <c r="AM148">
        <v>20</v>
      </c>
      <c r="AN148">
        <v>80</v>
      </c>
      <c r="AO148">
        <v>0</v>
      </c>
      <c r="AP148">
        <v>0</v>
      </c>
      <c r="AQ148">
        <v>5</v>
      </c>
      <c r="AR148">
        <v>22.5</v>
      </c>
      <c r="AS148">
        <v>375</v>
      </c>
      <c r="AT148">
        <v>2295</v>
      </c>
      <c r="AU148" t="s">
        <v>33</v>
      </c>
    </row>
    <row r="149" spans="1:47" ht="16" x14ac:dyDescent="0.2">
      <c r="A149">
        <v>1449</v>
      </c>
      <c r="B149" t="s">
        <v>931</v>
      </c>
      <c r="C149">
        <v>11</v>
      </c>
      <c r="D149" t="s">
        <v>554</v>
      </c>
      <c r="E149" s="6" t="s">
        <v>239</v>
      </c>
      <c r="F149" s="4" t="s">
        <v>554</v>
      </c>
      <c r="G149" t="str">
        <f t="shared" si="2"/>
        <v>SWL200311SLIP5</v>
      </c>
      <c r="H149">
        <v>62.554167</v>
      </c>
      <c r="I149">
        <v>-173.5625</v>
      </c>
      <c r="J149" s="3">
        <v>20030715</v>
      </c>
      <c r="K149">
        <v>2003</v>
      </c>
      <c r="L149">
        <v>2.2797299999999998</v>
      </c>
      <c r="M149">
        <v>17.945419999999999</v>
      </c>
      <c r="N149">
        <v>7.0279999999999995E-2</v>
      </c>
      <c r="O149">
        <v>8.3700000000000007E-3</v>
      </c>
      <c r="P149">
        <v>0.21808</v>
      </c>
      <c r="Q149">
        <v>0</v>
      </c>
      <c r="R149">
        <v>0</v>
      </c>
      <c r="S149">
        <v>0</v>
      </c>
      <c r="T149">
        <v>1.35538</v>
      </c>
      <c r="U149">
        <v>0.30874000000000001</v>
      </c>
      <c r="V149">
        <v>22.186</v>
      </c>
      <c r="W149" t="s">
        <v>10</v>
      </c>
      <c r="X149">
        <v>39.078000000000003</v>
      </c>
      <c r="Y149">
        <v>612.08500000000004</v>
      </c>
      <c r="Z149">
        <v>0.86399999999999999</v>
      </c>
      <c r="AA149">
        <v>0.186</v>
      </c>
      <c r="AB149">
        <v>15.577</v>
      </c>
      <c r="AC149">
        <v>0</v>
      </c>
      <c r="AD149">
        <v>0</v>
      </c>
      <c r="AE149">
        <v>0</v>
      </c>
      <c r="AF149">
        <v>14.574</v>
      </c>
      <c r="AG149">
        <v>6.9489999999999998</v>
      </c>
      <c r="AH149">
        <v>689.31299999999999</v>
      </c>
      <c r="AI149" t="s">
        <v>22</v>
      </c>
      <c r="AJ149">
        <v>937.5</v>
      </c>
      <c r="AK149">
        <v>2672.5</v>
      </c>
      <c r="AL149">
        <v>120</v>
      </c>
      <c r="AM149">
        <v>20</v>
      </c>
      <c r="AN149">
        <v>12.5</v>
      </c>
      <c r="AO149">
        <v>0</v>
      </c>
      <c r="AP149">
        <v>0</v>
      </c>
      <c r="AQ149">
        <v>0</v>
      </c>
      <c r="AR149">
        <v>15</v>
      </c>
      <c r="AS149">
        <v>252.5</v>
      </c>
      <c r="AT149">
        <v>4030</v>
      </c>
      <c r="AU149" t="s">
        <v>34</v>
      </c>
    </row>
    <row r="150" spans="1:47" ht="16" x14ac:dyDescent="0.2">
      <c r="A150">
        <v>1450</v>
      </c>
      <c r="B150" t="s">
        <v>931</v>
      </c>
      <c r="C150">
        <v>12</v>
      </c>
      <c r="D150" t="s">
        <v>555</v>
      </c>
      <c r="E150" s="6" t="s">
        <v>246</v>
      </c>
      <c r="F150" s="4" t="s">
        <v>555</v>
      </c>
      <c r="G150" t="str">
        <f t="shared" si="2"/>
        <v>SWL200312SLIP4</v>
      </c>
      <c r="H150">
        <v>63.028333000000003</v>
      </c>
      <c r="I150">
        <v>-173.4555</v>
      </c>
      <c r="J150" s="3">
        <v>20030715</v>
      </c>
      <c r="K150">
        <v>2003</v>
      </c>
      <c r="L150">
        <v>4.5180100000000003</v>
      </c>
      <c r="M150">
        <v>13.64162</v>
      </c>
      <c r="N150">
        <v>0.56257999999999997</v>
      </c>
      <c r="O150">
        <v>1.8E-3</v>
      </c>
      <c r="P150">
        <v>0.51093999999999995</v>
      </c>
      <c r="Q150">
        <v>0</v>
      </c>
      <c r="R150">
        <v>0</v>
      </c>
      <c r="S150">
        <v>0</v>
      </c>
      <c r="T150">
        <v>0.11058</v>
      </c>
      <c r="U150">
        <v>0.41322999999999999</v>
      </c>
      <c r="V150">
        <v>19.758759999999999</v>
      </c>
      <c r="W150" t="s">
        <v>10</v>
      </c>
      <c r="X150">
        <v>93.418000000000006</v>
      </c>
      <c r="Y150">
        <v>380.70100000000002</v>
      </c>
      <c r="Z150">
        <v>7.3010000000000002</v>
      </c>
      <c r="AA150">
        <v>0.04</v>
      </c>
      <c r="AB150">
        <v>36.496000000000002</v>
      </c>
      <c r="AC150">
        <v>0</v>
      </c>
      <c r="AD150">
        <v>0</v>
      </c>
      <c r="AE150">
        <v>0</v>
      </c>
      <c r="AF150">
        <v>1.1890000000000001</v>
      </c>
      <c r="AG150">
        <v>7.7939999999999996</v>
      </c>
      <c r="AH150">
        <v>526.93899999999996</v>
      </c>
      <c r="AI150" t="s">
        <v>22</v>
      </c>
      <c r="AJ150">
        <v>822.5</v>
      </c>
      <c r="AK150">
        <v>725</v>
      </c>
      <c r="AL150">
        <v>102.5</v>
      </c>
      <c r="AM150">
        <v>2.5</v>
      </c>
      <c r="AN150">
        <v>12.5</v>
      </c>
      <c r="AO150">
        <v>0</v>
      </c>
      <c r="AP150">
        <v>0</v>
      </c>
      <c r="AQ150">
        <v>0</v>
      </c>
      <c r="AR150">
        <v>22.5</v>
      </c>
      <c r="AS150">
        <v>110</v>
      </c>
      <c r="AT150">
        <v>1797.5</v>
      </c>
      <c r="AU150" t="s">
        <v>33</v>
      </c>
    </row>
    <row r="151" spans="1:47" x14ac:dyDescent="0.2">
      <c r="A151">
        <v>1451</v>
      </c>
      <c r="B151" t="s">
        <v>931</v>
      </c>
      <c r="C151">
        <v>14</v>
      </c>
      <c r="D151" t="s">
        <v>556</v>
      </c>
      <c r="G151" t="str">
        <f t="shared" si="2"/>
        <v>SWL200314UTBS5</v>
      </c>
      <c r="H151">
        <v>64.666167000000002</v>
      </c>
      <c r="I151">
        <v>-169.921333</v>
      </c>
      <c r="J151" s="3">
        <v>20030716</v>
      </c>
      <c r="K151">
        <v>2003</v>
      </c>
      <c r="L151">
        <v>13.759510000000001</v>
      </c>
      <c r="M151">
        <v>11.88861</v>
      </c>
      <c r="N151">
        <v>1.61E-2</v>
      </c>
      <c r="O151">
        <v>4.0000000000000002E-4</v>
      </c>
      <c r="P151">
        <v>0</v>
      </c>
      <c r="Q151">
        <v>0</v>
      </c>
      <c r="R151">
        <v>0</v>
      </c>
      <c r="S151">
        <v>0.15543000000000001</v>
      </c>
      <c r="T151">
        <v>0</v>
      </c>
      <c r="U151">
        <v>2.0129999999999999E-2</v>
      </c>
      <c r="V151">
        <v>25.84018</v>
      </c>
      <c r="W151" t="s">
        <v>9</v>
      </c>
      <c r="X151">
        <v>198.48599999999999</v>
      </c>
      <c r="Y151">
        <v>339.59100000000001</v>
      </c>
      <c r="Z151">
        <v>0.22500000000000001</v>
      </c>
      <c r="AA151">
        <v>8.9999999999999993E-3</v>
      </c>
      <c r="AB151">
        <v>0</v>
      </c>
      <c r="AC151">
        <v>0</v>
      </c>
      <c r="AD151">
        <v>0</v>
      </c>
      <c r="AE151">
        <v>11.102</v>
      </c>
      <c r="AF151">
        <v>0</v>
      </c>
      <c r="AG151">
        <v>1.1000000000000001</v>
      </c>
      <c r="AH151">
        <v>550.51300000000003</v>
      </c>
      <c r="AI151" t="s">
        <v>22</v>
      </c>
      <c r="AJ151">
        <v>697.5</v>
      </c>
      <c r="AK151">
        <v>677.5</v>
      </c>
      <c r="AL151">
        <v>97.5</v>
      </c>
      <c r="AM151">
        <v>5</v>
      </c>
      <c r="AN151">
        <v>0</v>
      </c>
      <c r="AO151">
        <v>0</v>
      </c>
      <c r="AP151">
        <v>0</v>
      </c>
      <c r="AQ151">
        <v>12.5</v>
      </c>
      <c r="AR151">
        <v>0</v>
      </c>
      <c r="AS151">
        <v>0</v>
      </c>
      <c r="AT151">
        <v>1490</v>
      </c>
      <c r="AU151" t="s">
        <v>33</v>
      </c>
    </row>
    <row r="152" spans="1:47" x14ac:dyDescent="0.2">
      <c r="A152">
        <v>1452</v>
      </c>
      <c r="B152" t="s">
        <v>931</v>
      </c>
      <c r="C152">
        <v>15</v>
      </c>
      <c r="D152" t="s">
        <v>557</v>
      </c>
      <c r="G152" t="str">
        <f t="shared" si="2"/>
        <v>SWL200315UTBS2</v>
      </c>
      <c r="H152">
        <v>64.682000000000002</v>
      </c>
      <c r="I152">
        <v>-169.09899999999999</v>
      </c>
      <c r="J152" s="3">
        <v>20030716</v>
      </c>
      <c r="K152">
        <v>2003</v>
      </c>
      <c r="L152">
        <v>2.6037599999999999</v>
      </c>
      <c r="M152">
        <v>6.5850299999999997</v>
      </c>
      <c r="N152">
        <v>9.9065200000000004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3.3759999999999998E-2</v>
      </c>
      <c r="U152">
        <v>0.16628000000000001</v>
      </c>
      <c r="V152">
        <v>19.295349999999999</v>
      </c>
      <c r="W152" t="s">
        <v>11</v>
      </c>
      <c r="X152">
        <v>37.57</v>
      </c>
      <c r="Y152">
        <v>435.21800000000002</v>
      </c>
      <c r="Z152">
        <v>145.07300000000001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0.36299999999999999</v>
      </c>
      <c r="AG152">
        <v>3.6949999999999998</v>
      </c>
      <c r="AH152">
        <v>621.91899999999998</v>
      </c>
      <c r="AI152" t="s">
        <v>22</v>
      </c>
      <c r="AJ152">
        <v>610</v>
      </c>
      <c r="AK152">
        <v>375</v>
      </c>
      <c r="AL152">
        <v>6235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12.5</v>
      </c>
      <c r="AS152">
        <v>10</v>
      </c>
      <c r="AT152">
        <v>7242.5</v>
      </c>
      <c r="AU152" t="s">
        <v>35</v>
      </c>
    </row>
    <row r="153" spans="1:47" x14ac:dyDescent="0.2">
      <c r="A153">
        <v>1453</v>
      </c>
      <c r="B153" t="s">
        <v>931</v>
      </c>
      <c r="C153">
        <v>16</v>
      </c>
      <c r="D153" t="s">
        <v>558</v>
      </c>
      <c r="G153" t="str">
        <f t="shared" si="2"/>
        <v>SWL200316UTBS4</v>
      </c>
      <c r="H153">
        <v>64.958667000000005</v>
      </c>
      <c r="I153">
        <v>-169.88166699999999</v>
      </c>
      <c r="J153" s="3">
        <v>20030716</v>
      </c>
      <c r="K153">
        <v>2003</v>
      </c>
      <c r="L153">
        <v>1.60399</v>
      </c>
      <c r="M153">
        <v>6.0039600000000002</v>
      </c>
      <c r="N153">
        <v>7.1378599999999999</v>
      </c>
      <c r="O153">
        <v>2.0300000000000001E-3</v>
      </c>
      <c r="P153">
        <v>0</v>
      </c>
      <c r="Q153">
        <v>0</v>
      </c>
      <c r="R153">
        <v>0</v>
      </c>
      <c r="S153">
        <v>6.9129999999999997E-2</v>
      </c>
      <c r="T153">
        <v>2.5479999999999999E-2</v>
      </c>
      <c r="U153">
        <v>1.7600000000000001E-3</v>
      </c>
      <c r="V153">
        <v>14.84421</v>
      </c>
      <c r="W153" t="s">
        <v>11</v>
      </c>
      <c r="X153">
        <v>21.422999999999998</v>
      </c>
      <c r="Y153">
        <v>175.35300000000001</v>
      </c>
      <c r="Z153">
        <v>104.91500000000001</v>
      </c>
      <c r="AA153">
        <v>4.4999999999999998E-2</v>
      </c>
      <c r="AB153">
        <v>0</v>
      </c>
      <c r="AC153">
        <v>0</v>
      </c>
      <c r="AD153">
        <v>0</v>
      </c>
      <c r="AE153">
        <v>4.9379999999999997</v>
      </c>
      <c r="AF153">
        <v>0.27400000000000002</v>
      </c>
      <c r="AG153">
        <v>3.9E-2</v>
      </c>
      <c r="AH153">
        <v>306.98700000000002</v>
      </c>
      <c r="AI153" t="s">
        <v>22</v>
      </c>
      <c r="AJ153">
        <v>490</v>
      </c>
      <c r="AK153">
        <v>440</v>
      </c>
      <c r="AL153">
        <v>2442.5</v>
      </c>
      <c r="AM153">
        <v>25</v>
      </c>
      <c r="AN153">
        <v>0</v>
      </c>
      <c r="AO153">
        <v>0</v>
      </c>
      <c r="AP153">
        <v>0</v>
      </c>
      <c r="AQ153">
        <v>5</v>
      </c>
      <c r="AR153">
        <v>22.5</v>
      </c>
      <c r="AS153">
        <v>17.5</v>
      </c>
      <c r="AT153">
        <v>3442.5</v>
      </c>
      <c r="AU153" t="s">
        <v>35</v>
      </c>
    </row>
    <row r="154" spans="1:47" x14ac:dyDescent="0.2">
      <c r="A154">
        <v>1454</v>
      </c>
      <c r="B154" t="s">
        <v>931</v>
      </c>
      <c r="C154">
        <v>17</v>
      </c>
      <c r="D154" t="s">
        <v>179</v>
      </c>
      <c r="G154" t="str">
        <f t="shared" si="2"/>
        <v>SWL200317UTBS1</v>
      </c>
      <c r="H154">
        <v>64.992833000000005</v>
      </c>
      <c r="I154">
        <v>-169.137</v>
      </c>
      <c r="J154" s="3">
        <v>20030716</v>
      </c>
      <c r="K154">
        <v>2003</v>
      </c>
      <c r="L154">
        <v>1.3582700000000001</v>
      </c>
      <c r="M154">
        <v>10.756679999999999</v>
      </c>
      <c r="N154">
        <v>14.595649999999999</v>
      </c>
      <c r="O154">
        <v>0</v>
      </c>
      <c r="P154">
        <v>0</v>
      </c>
      <c r="Q154">
        <v>0</v>
      </c>
      <c r="R154">
        <v>7.3260000000000006E-2</v>
      </c>
      <c r="S154">
        <v>0</v>
      </c>
      <c r="T154">
        <v>1.8880000000000001E-2</v>
      </c>
      <c r="U154">
        <v>1.3600000000000001E-3</v>
      </c>
      <c r="V154">
        <v>26.804099999999998</v>
      </c>
      <c r="W154" t="s">
        <v>11</v>
      </c>
      <c r="X154">
        <v>17.747</v>
      </c>
      <c r="Y154">
        <v>543.82799999999997</v>
      </c>
      <c r="Z154">
        <v>214.20699999999999</v>
      </c>
      <c r="AA154">
        <v>0</v>
      </c>
      <c r="AB154">
        <v>0</v>
      </c>
      <c r="AC154">
        <v>0</v>
      </c>
      <c r="AD154">
        <v>1.2010000000000001</v>
      </c>
      <c r="AE154">
        <v>0</v>
      </c>
      <c r="AF154">
        <v>0.20300000000000001</v>
      </c>
      <c r="AG154">
        <v>0.09</v>
      </c>
      <c r="AH154">
        <v>777.27599999999995</v>
      </c>
      <c r="AI154" t="s">
        <v>22</v>
      </c>
      <c r="AJ154">
        <v>327.5</v>
      </c>
      <c r="AK154">
        <v>1060</v>
      </c>
      <c r="AL154">
        <v>7507.5</v>
      </c>
      <c r="AM154">
        <v>0</v>
      </c>
      <c r="AN154">
        <v>0</v>
      </c>
      <c r="AO154">
        <v>0</v>
      </c>
      <c r="AP154">
        <v>2.5</v>
      </c>
      <c r="AQ154">
        <v>0</v>
      </c>
      <c r="AR154">
        <v>12.5</v>
      </c>
      <c r="AS154">
        <v>5</v>
      </c>
      <c r="AT154">
        <v>8915</v>
      </c>
      <c r="AU154" t="s">
        <v>35</v>
      </c>
    </row>
    <row r="155" spans="1:47" x14ac:dyDescent="0.2">
      <c r="A155">
        <v>1455</v>
      </c>
      <c r="B155" t="s">
        <v>931</v>
      </c>
      <c r="C155">
        <v>23</v>
      </c>
      <c r="D155" t="s">
        <v>559</v>
      </c>
      <c r="G155" t="str">
        <f t="shared" si="2"/>
        <v>SWL200323UTN1</v>
      </c>
      <c r="H155">
        <v>66.707832999999994</v>
      </c>
      <c r="I155">
        <v>-168.39949999999999</v>
      </c>
      <c r="J155" s="3">
        <v>20030717</v>
      </c>
      <c r="K155">
        <v>2003</v>
      </c>
      <c r="L155">
        <v>2.14527</v>
      </c>
      <c r="M155">
        <v>5.2900000000000003E-2</v>
      </c>
      <c r="N155">
        <v>0.01</v>
      </c>
      <c r="O155">
        <v>0</v>
      </c>
      <c r="P155">
        <v>6.0000000000000002E-5</v>
      </c>
      <c r="Q155">
        <v>8.5251000000000001</v>
      </c>
      <c r="R155">
        <v>0.87163000000000002</v>
      </c>
      <c r="S155">
        <v>2.14201</v>
      </c>
      <c r="T155">
        <v>0.12592</v>
      </c>
      <c r="U155">
        <v>1.7905500000000001</v>
      </c>
      <c r="V155">
        <v>15.66344</v>
      </c>
      <c r="W155" t="s">
        <v>14</v>
      </c>
      <c r="X155">
        <v>31.501000000000001</v>
      </c>
      <c r="Y155">
        <v>1.6519999999999999</v>
      </c>
      <c r="Z155">
        <v>0.13800000000000001</v>
      </c>
      <c r="AA155">
        <v>0</v>
      </c>
      <c r="AB155">
        <v>4.0000000000000001E-3</v>
      </c>
      <c r="AC155">
        <v>1065.6379999999999</v>
      </c>
      <c r="AD155">
        <v>14.289</v>
      </c>
      <c r="AE155">
        <v>153.001</v>
      </c>
      <c r="AF155">
        <v>1.3540000000000001</v>
      </c>
      <c r="AG155">
        <v>43.256999999999998</v>
      </c>
      <c r="AH155">
        <v>1310.8340000000001</v>
      </c>
      <c r="AI155" t="s">
        <v>26</v>
      </c>
      <c r="AJ155">
        <v>362.5</v>
      </c>
      <c r="AK155">
        <v>357.5</v>
      </c>
      <c r="AL155">
        <v>185</v>
      </c>
      <c r="AM155">
        <v>0</v>
      </c>
      <c r="AN155">
        <v>5</v>
      </c>
      <c r="AO155">
        <v>185</v>
      </c>
      <c r="AP155">
        <v>25</v>
      </c>
      <c r="AQ155">
        <v>57.5</v>
      </c>
      <c r="AR155">
        <v>2.5</v>
      </c>
      <c r="AS155">
        <v>50</v>
      </c>
      <c r="AT155">
        <v>1230</v>
      </c>
      <c r="AU155" t="s">
        <v>33</v>
      </c>
    </row>
    <row r="156" spans="1:47" x14ac:dyDescent="0.2">
      <c r="A156">
        <v>1456</v>
      </c>
      <c r="B156" t="s">
        <v>931</v>
      </c>
      <c r="C156">
        <v>24</v>
      </c>
      <c r="D156" t="s">
        <v>560</v>
      </c>
      <c r="G156" t="str">
        <f t="shared" si="2"/>
        <v>SWL200324UTN2</v>
      </c>
      <c r="H156">
        <v>67.064999999999998</v>
      </c>
      <c r="I156">
        <v>-168.746667</v>
      </c>
      <c r="J156" s="3">
        <v>20030717</v>
      </c>
      <c r="K156">
        <v>2003</v>
      </c>
      <c r="L156">
        <v>5.6057100000000002</v>
      </c>
      <c r="M156">
        <v>5.6549500000000004</v>
      </c>
      <c r="N156">
        <v>0.24759</v>
      </c>
      <c r="O156">
        <v>5.0000000000000002E-5</v>
      </c>
      <c r="P156">
        <v>4.0000000000000003E-5</v>
      </c>
      <c r="Q156">
        <v>0</v>
      </c>
      <c r="R156">
        <v>1.88697</v>
      </c>
      <c r="S156">
        <v>0</v>
      </c>
      <c r="T156">
        <v>7.0959999999999995E-2</v>
      </c>
      <c r="U156">
        <v>9.9699999999999997E-3</v>
      </c>
      <c r="V156">
        <v>13.476240000000001</v>
      </c>
      <c r="W156" t="s">
        <v>10</v>
      </c>
      <c r="X156">
        <v>81.078999999999994</v>
      </c>
      <c r="Y156">
        <v>174.51499999999999</v>
      </c>
      <c r="Z156">
        <v>3.351</v>
      </c>
      <c r="AA156">
        <v>1E-3</v>
      </c>
      <c r="AB156">
        <v>3.0000000000000001E-3</v>
      </c>
      <c r="AC156">
        <v>0</v>
      </c>
      <c r="AD156">
        <v>30.934000000000001</v>
      </c>
      <c r="AE156">
        <v>0</v>
      </c>
      <c r="AF156">
        <v>0.76300000000000001</v>
      </c>
      <c r="AG156">
        <v>0.247</v>
      </c>
      <c r="AH156">
        <v>290.89299999999997</v>
      </c>
      <c r="AI156" t="s">
        <v>22</v>
      </c>
      <c r="AJ156">
        <v>760</v>
      </c>
      <c r="AK156">
        <v>355</v>
      </c>
      <c r="AL156">
        <v>1950</v>
      </c>
      <c r="AM156">
        <v>2.5</v>
      </c>
      <c r="AN156">
        <v>2.5</v>
      </c>
      <c r="AO156">
        <v>0</v>
      </c>
      <c r="AP156">
        <v>40</v>
      </c>
      <c r="AQ156">
        <v>0</v>
      </c>
      <c r="AR156">
        <v>0</v>
      </c>
      <c r="AS156">
        <v>12.5</v>
      </c>
      <c r="AT156">
        <v>3122.5</v>
      </c>
      <c r="AU156" t="s">
        <v>35</v>
      </c>
    </row>
    <row r="157" spans="1:47" x14ac:dyDescent="0.2">
      <c r="A157">
        <v>1457</v>
      </c>
      <c r="B157" t="s">
        <v>931</v>
      </c>
      <c r="C157">
        <v>25</v>
      </c>
      <c r="D157" t="s">
        <v>561</v>
      </c>
      <c r="G157" t="str">
        <f t="shared" si="2"/>
        <v>SWL200325UTN3</v>
      </c>
      <c r="H157">
        <v>67.330832999999998</v>
      </c>
      <c r="I157">
        <v>-168.99616700000001</v>
      </c>
      <c r="J157" s="3">
        <v>20030718</v>
      </c>
      <c r="K157">
        <v>2003</v>
      </c>
      <c r="L157">
        <v>6.6357100000000004</v>
      </c>
      <c r="M157">
        <v>19.405339999999999</v>
      </c>
      <c r="N157">
        <v>10.773540000000001</v>
      </c>
      <c r="O157">
        <v>1.4400000000000001E-3</v>
      </c>
      <c r="P157">
        <v>9.1299999999999992E-3</v>
      </c>
      <c r="Q157">
        <v>0</v>
      </c>
      <c r="R157">
        <v>3.2870499999999998</v>
      </c>
      <c r="S157">
        <v>1.362E-2</v>
      </c>
      <c r="T157">
        <v>0.16200999999999999</v>
      </c>
      <c r="U157">
        <v>0.55245</v>
      </c>
      <c r="V157">
        <v>40.840290000000003</v>
      </c>
      <c r="W157" t="s">
        <v>10</v>
      </c>
      <c r="X157">
        <v>92.287000000000006</v>
      </c>
      <c r="Y157">
        <v>554.75300000000004</v>
      </c>
      <c r="Z157">
        <v>133.05500000000001</v>
      </c>
      <c r="AA157">
        <v>3.2000000000000001E-2</v>
      </c>
      <c r="AB157">
        <v>0.65200000000000002</v>
      </c>
      <c r="AC157">
        <v>0</v>
      </c>
      <c r="AD157">
        <v>53.886000000000003</v>
      </c>
      <c r="AE157">
        <v>0.97299999999999998</v>
      </c>
      <c r="AF157">
        <v>1.742</v>
      </c>
      <c r="AG157">
        <v>25.936</v>
      </c>
      <c r="AH157">
        <v>863.31600000000003</v>
      </c>
      <c r="AI157" t="s">
        <v>22</v>
      </c>
      <c r="AJ157">
        <v>1265</v>
      </c>
      <c r="AK157">
        <v>1350</v>
      </c>
      <c r="AL157">
        <v>17317.5</v>
      </c>
      <c r="AM157">
        <v>7.5</v>
      </c>
      <c r="AN157">
        <v>12.5</v>
      </c>
      <c r="AO157">
        <v>0</v>
      </c>
      <c r="AP157">
        <v>97.5</v>
      </c>
      <c r="AQ157">
        <v>2.5</v>
      </c>
      <c r="AR157">
        <v>12.5</v>
      </c>
      <c r="AS157">
        <v>295</v>
      </c>
      <c r="AT157">
        <v>20360</v>
      </c>
      <c r="AU157" t="s">
        <v>35</v>
      </c>
    </row>
    <row r="158" spans="1:47" x14ac:dyDescent="0.2">
      <c r="A158">
        <v>1458</v>
      </c>
      <c r="B158" t="s">
        <v>931</v>
      </c>
      <c r="C158">
        <v>26</v>
      </c>
      <c r="D158" t="s">
        <v>562</v>
      </c>
      <c r="G158" t="str">
        <f t="shared" si="2"/>
        <v>SWL200326UTN4</v>
      </c>
      <c r="H158">
        <v>67.501999999999995</v>
      </c>
      <c r="I158">
        <v>-168.91233299999999</v>
      </c>
      <c r="J158" s="3">
        <v>20030718</v>
      </c>
      <c r="K158">
        <v>2003</v>
      </c>
      <c r="L158">
        <v>5.5256100000000004</v>
      </c>
      <c r="M158">
        <v>10.68117</v>
      </c>
      <c r="N158">
        <v>8.0712799999999998</v>
      </c>
      <c r="O158">
        <v>4.4999999999999999E-4</v>
      </c>
      <c r="P158">
        <v>1.3220000000000001E-2</v>
      </c>
      <c r="Q158">
        <v>0</v>
      </c>
      <c r="R158">
        <v>1.04304</v>
      </c>
      <c r="S158">
        <v>0</v>
      </c>
      <c r="T158">
        <v>0</v>
      </c>
      <c r="U158">
        <v>0.55162</v>
      </c>
      <c r="V158">
        <v>25.886389999999999</v>
      </c>
      <c r="W158" t="s">
        <v>10</v>
      </c>
      <c r="X158">
        <v>78.069000000000003</v>
      </c>
      <c r="Y158">
        <v>314.774</v>
      </c>
      <c r="Z158">
        <v>95.022999999999996</v>
      </c>
      <c r="AA158">
        <v>0.01</v>
      </c>
      <c r="AB158">
        <v>0.94399999999999995</v>
      </c>
      <c r="AC158">
        <v>0</v>
      </c>
      <c r="AD158">
        <v>17.099</v>
      </c>
      <c r="AE158">
        <v>0</v>
      </c>
      <c r="AF158">
        <v>0</v>
      </c>
      <c r="AG158">
        <v>22.815999999999999</v>
      </c>
      <c r="AH158">
        <v>528.73500000000001</v>
      </c>
      <c r="AI158" t="s">
        <v>22</v>
      </c>
      <c r="AJ158">
        <v>747.5</v>
      </c>
      <c r="AK158">
        <v>1960</v>
      </c>
      <c r="AL158">
        <v>8792.5</v>
      </c>
      <c r="AM158">
        <v>2.5</v>
      </c>
      <c r="AN158">
        <v>15</v>
      </c>
      <c r="AO158">
        <v>0</v>
      </c>
      <c r="AP158">
        <v>22.5</v>
      </c>
      <c r="AQ158">
        <v>0</v>
      </c>
      <c r="AR158">
        <v>0</v>
      </c>
      <c r="AS158">
        <v>77.5</v>
      </c>
      <c r="AT158">
        <v>11617.5</v>
      </c>
      <c r="AU158" t="s">
        <v>35</v>
      </c>
    </row>
    <row r="159" spans="1:47" x14ac:dyDescent="0.2">
      <c r="A159">
        <v>1459</v>
      </c>
      <c r="B159" t="s">
        <v>931</v>
      </c>
      <c r="C159">
        <v>27</v>
      </c>
      <c r="D159" t="s">
        <v>306</v>
      </c>
      <c r="G159" t="str">
        <f t="shared" si="2"/>
        <v>SWL200327UTN5=SEC1</v>
      </c>
      <c r="H159">
        <v>67.670167000000006</v>
      </c>
      <c r="I159">
        <v>-168.95683299999999</v>
      </c>
      <c r="J159" s="3">
        <v>20030718</v>
      </c>
      <c r="K159">
        <v>2003</v>
      </c>
      <c r="L159">
        <v>4.2028999999999996</v>
      </c>
      <c r="M159">
        <v>18.896180000000001</v>
      </c>
      <c r="N159">
        <v>3.9922800000000001</v>
      </c>
      <c r="O159">
        <v>8.4200000000000004E-3</v>
      </c>
      <c r="P159">
        <v>1.0499999999999999E-3</v>
      </c>
      <c r="Q159">
        <v>0</v>
      </c>
      <c r="R159">
        <v>3.4373499999999999</v>
      </c>
      <c r="S159">
        <v>0</v>
      </c>
      <c r="T159">
        <v>0.37376999999999999</v>
      </c>
      <c r="U159">
        <v>0.52137999999999995</v>
      </c>
      <c r="V159">
        <v>31.433330000000002</v>
      </c>
      <c r="W159" t="s">
        <v>10</v>
      </c>
      <c r="X159">
        <v>68.456999999999994</v>
      </c>
      <c r="Y159">
        <v>517.30200000000002</v>
      </c>
      <c r="Z159">
        <v>50.215000000000003</v>
      </c>
      <c r="AA159">
        <v>0.187</v>
      </c>
      <c r="AB159">
        <v>7.4999999999999997E-2</v>
      </c>
      <c r="AC159">
        <v>0</v>
      </c>
      <c r="AD159">
        <v>56.35</v>
      </c>
      <c r="AE159">
        <v>0</v>
      </c>
      <c r="AF159">
        <v>4.0190000000000001</v>
      </c>
      <c r="AG159">
        <v>18.291</v>
      </c>
      <c r="AH159">
        <v>714.89599999999996</v>
      </c>
      <c r="AI159" t="s">
        <v>22</v>
      </c>
      <c r="AJ159">
        <v>1285</v>
      </c>
      <c r="AK159">
        <v>2930</v>
      </c>
      <c r="AL159">
        <v>7650</v>
      </c>
      <c r="AM159">
        <v>5</v>
      </c>
      <c r="AN159">
        <v>10</v>
      </c>
      <c r="AO159">
        <v>0</v>
      </c>
      <c r="AP159">
        <v>77.5</v>
      </c>
      <c r="AQ159">
        <v>0</v>
      </c>
      <c r="AR159">
        <v>25</v>
      </c>
      <c r="AS159">
        <v>197.5</v>
      </c>
      <c r="AT159">
        <v>12180</v>
      </c>
      <c r="AU159" t="s">
        <v>35</v>
      </c>
    </row>
    <row r="160" spans="1:47" x14ac:dyDescent="0.2">
      <c r="A160">
        <v>1460</v>
      </c>
      <c r="B160" t="s">
        <v>931</v>
      </c>
      <c r="C160">
        <v>28</v>
      </c>
      <c r="D160" t="s">
        <v>563</v>
      </c>
      <c r="G160" t="str">
        <f t="shared" si="2"/>
        <v>SWL200328UTN6</v>
      </c>
      <c r="H160">
        <v>67.737333000000007</v>
      </c>
      <c r="I160">
        <v>-168.44450000000001</v>
      </c>
      <c r="J160" s="3">
        <v>20030718</v>
      </c>
      <c r="K160">
        <v>2003</v>
      </c>
      <c r="L160">
        <v>5.0378999999999996</v>
      </c>
      <c r="M160">
        <v>9.8731299999999997</v>
      </c>
      <c r="N160">
        <v>9.8795199999999994</v>
      </c>
      <c r="O160">
        <v>9.7199999999999995E-3</v>
      </c>
      <c r="P160">
        <v>6.1280000000000001E-2</v>
      </c>
      <c r="Q160">
        <v>0</v>
      </c>
      <c r="R160">
        <v>2.8186900000000001</v>
      </c>
      <c r="S160">
        <v>0</v>
      </c>
      <c r="T160">
        <v>2.7899999999999999E-3</v>
      </c>
      <c r="U160">
        <v>0.11642</v>
      </c>
      <c r="V160">
        <v>27.79945</v>
      </c>
      <c r="W160" t="s">
        <v>11</v>
      </c>
      <c r="X160">
        <v>74.418000000000006</v>
      </c>
      <c r="Y160">
        <v>272.52</v>
      </c>
      <c r="Z160">
        <v>113.602</v>
      </c>
      <c r="AA160">
        <v>0.216</v>
      </c>
      <c r="AB160">
        <v>4.3769999999999998</v>
      </c>
      <c r="AC160">
        <v>0</v>
      </c>
      <c r="AD160">
        <v>46.207999999999998</v>
      </c>
      <c r="AE160">
        <v>0</v>
      </c>
      <c r="AF160">
        <v>0.03</v>
      </c>
      <c r="AG160">
        <v>5.5419999999999998</v>
      </c>
      <c r="AH160">
        <v>516.91300000000001</v>
      </c>
      <c r="AI160" t="s">
        <v>22</v>
      </c>
      <c r="AJ160">
        <v>682.5</v>
      </c>
      <c r="AK160">
        <v>1020</v>
      </c>
      <c r="AL160">
        <v>14845</v>
      </c>
      <c r="AM160">
        <v>7.5</v>
      </c>
      <c r="AN160">
        <v>7.5</v>
      </c>
      <c r="AO160">
        <v>0</v>
      </c>
      <c r="AP160">
        <v>55</v>
      </c>
      <c r="AQ160">
        <v>0</v>
      </c>
      <c r="AR160">
        <v>2.5</v>
      </c>
      <c r="AS160">
        <v>52.5</v>
      </c>
      <c r="AT160">
        <v>16672.5</v>
      </c>
      <c r="AU160" t="s">
        <v>35</v>
      </c>
    </row>
    <row r="161" spans="1:47" x14ac:dyDescent="0.2">
      <c r="A161">
        <v>1461</v>
      </c>
      <c r="B161" t="s">
        <v>931</v>
      </c>
      <c r="C161">
        <v>29</v>
      </c>
      <c r="D161" t="s">
        <v>564</v>
      </c>
      <c r="G161" t="str">
        <f t="shared" si="2"/>
        <v>SWL200329UTN7</v>
      </c>
      <c r="H161">
        <v>67.997833</v>
      </c>
      <c r="I161">
        <v>-168.91983300000001</v>
      </c>
      <c r="J161" s="3">
        <v>20030718</v>
      </c>
      <c r="K161">
        <v>2003</v>
      </c>
      <c r="L161">
        <v>2.5301300000000002</v>
      </c>
      <c r="M161">
        <v>19.188759999999998</v>
      </c>
      <c r="N161">
        <v>5.3802000000000003</v>
      </c>
      <c r="O161">
        <v>0</v>
      </c>
      <c r="P161">
        <v>0</v>
      </c>
      <c r="Q161">
        <v>0</v>
      </c>
      <c r="R161">
        <v>1.01345</v>
      </c>
      <c r="S161">
        <v>0</v>
      </c>
      <c r="T161">
        <v>0</v>
      </c>
      <c r="U161">
        <v>0.12402000000000001</v>
      </c>
      <c r="V161">
        <v>28.236560000000001</v>
      </c>
      <c r="W161" t="s">
        <v>10</v>
      </c>
      <c r="X161">
        <v>31.998999999999999</v>
      </c>
      <c r="Y161">
        <v>514.54200000000003</v>
      </c>
      <c r="Z161">
        <v>58.707000000000001</v>
      </c>
      <c r="AA161">
        <v>0</v>
      </c>
      <c r="AB161">
        <v>0</v>
      </c>
      <c r="AC161">
        <v>0</v>
      </c>
      <c r="AD161">
        <v>16.614000000000001</v>
      </c>
      <c r="AE161">
        <v>0</v>
      </c>
      <c r="AF161">
        <v>0</v>
      </c>
      <c r="AG161">
        <v>5.2160000000000002</v>
      </c>
      <c r="AH161">
        <v>627.07799999999997</v>
      </c>
      <c r="AI161" t="s">
        <v>22</v>
      </c>
      <c r="AJ161">
        <v>277.5</v>
      </c>
      <c r="AK161">
        <v>530</v>
      </c>
      <c r="AL161">
        <v>5775</v>
      </c>
      <c r="AM161">
        <v>0</v>
      </c>
      <c r="AN161">
        <v>0</v>
      </c>
      <c r="AO161">
        <v>0</v>
      </c>
      <c r="AP161">
        <v>12.5</v>
      </c>
      <c r="AQ161">
        <v>0</v>
      </c>
      <c r="AR161">
        <v>0</v>
      </c>
      <c r="AS161">
        <v>22.5</v>
      </c>
      <c r="AT161">
        <v>6617.5</v>
      </c>
      <c r="AU161" t="s">
        <v>35</v>
      </c>
    </row>
    <row r="162" spans="1:47" ht="16" x14ac:dyDescent="0.2">
      <c r="A162">
        <v>1462</v>
      </c>
      <c r="B162" t="s">
        <v>931</v>
      </c>
      <c r="C162">
        <v>7</v>
      </c>
      <c r="D162" t="s">
        <v>551</v>
      </c>
      <c r="E162" s="6" t="s">
        <v>268</v>
      </c>
      <c r="F162" s="4" t="s">
        <v>551</v>
      </c>
      <c r="G162" t="str">
        <f t="shared" si="2"/>
        <v>SWL20037SLIP1</v>
      </c>
      <c r="H162">
        <v>62.012332999999998</v>
      </c>
      <c r="I162">
        <v>-175.05533299999999</v>
      </c>
      <c r="J162" s="3">
        <v>20030714</v>
      </c>
      <c r="K162">
        <v>2003</v>
      </c>
      <c r="L162">
        <v>5.8839199999999998</v>
      </c>
      <c r="M162">
        <v>15.649929999999999</v>
      </c>
      <c r="N162">
        <v>7.1400000000000005E-2</v>
      </c>
      <c r="O162">
        <v>3.7760000000000002E-2</v>
      </c>
      <c r="P162">
        <v>0.14143</v>
      </c>
      <c r="Q162">
        <v>0</v>
      </c>
      <c r="R162">
        <v>0</v>
      </c>
      <c r="S162">
        <v>0</v>
      </c>
      <c r="T162">
        <v>4.938E-2</v>
      </c>
      <c r="U162">
        <v>0.15187999999999999</v>
      </c>
      <c r="V162">
        <v>21.985700000000001</v>
      </c>
      <c r="W162" t="s">
        <v>10</v>
      </c>
      <c r="X162">
        <v>85.378</v>
      </c>
      <c r="Y162">
        <v>555.66099999999994</v>
      </c>
      <c r="Z162">
        <v>0.93200000000000005</v>
      </c>
      <c r="AA162">
        <v>0.83899999999999997</v>
      </c>
      <c r="AB162">
        <v>10.102</v>
      </c>
      <c r="AC162">
        <v>0</v>
      </c>
      <c r="AD162">
        <v>0</v>
      </c>
      <c r="AE162">
        <v>0</v>
      </c>
      <c r="AF162">
        <v>0.53100000000000003</v>
      </c>
      <c r="AG162">
        <v>2.9460000000000002</v>
      </c>
      <c r="AH162">
        <v>656.38900000000001</v>
      </c>
      <c r="AI162" t="s">
        <v>22</v>
      </c>
      <c r="AJ162">
        <v>680</v>
      </c>
      <c r="AK162">
        <v>577.5</v>
      </c>
      <c r="AL162">
        <v>285</v>
      </c>
      <c r="AM162">
        <v>80</v>
      </c>
      <c r="AN162">
        <v>75</v>
      </c>
      <c r="AO162">
        <v>0</v>
      </c>
      <c r="AP162">
        <v>0</v>
      </c>
      <c r="AQ162">
        <v>0</v>
      </c>
      <c r="AR162">
        <v>15</v>
      </c>
      <c r="AS162">
        <v>262.5</v>
      </c>
      <c r="AT162">
        <v>1975</v>
      </c>
      <c r="AU162" t="s">
        <v>33</v>
      </c>
    </row>
    <row r="163" spans="1:47" ht="16" x14ac:dyDescent="0.2">
      <c r="A163">
        <v>1463</v>
      </c>
      <c r="B163" t="s">
        <v>931</v>
      </c>
      <c r="C163">
        <v>8</v>
      </c>
      <c r="D163" t="s">
        <v>552</v>
      </c>
      <c r="E163" s="6" t="s">
        <v>279</v>
      </c>
      <c r="F163" s="4" t="s">
        <v>552</v>
      </c>
      <c r="G163" t="str">
        <f t="shared" si="2"/>
        <v>SWL20038SLIP2</v>
      </c>
      <c r="H163">
        <v>62.049500000000002</v>
      </c>
      <c r="I163">
        <v>-175.21333300000001</v>
      </c>
      <c r="J163" s="3">
        <v>20030714</v>
      </c>
      <c r="K163">
        <v>2003</v>
      </c>
      <c r="L163">
        <v>3.4713400000000001</v>
      </c>
      <c r="M163">
        <v>18.837250000000001</v>
      </c>
      <c r="N163">
        <v>4.947E-2</v>
      </c>
      <c r="O163">
        <v>2.8043100000000001</v>
      </c>
      <c r="P163">
        <v>0.22327</v>
      </c>
      <c r="Q163">
        <v>0</v>
      </c>
      <c r="R163">
        <v>0</v>
      </c>
      <c r="S163">
        <v>0</v>
      </c>
      <c r="T163">
        <v>1.57951</v>
      </c>
      <c r="U163">
        <v>0.2034</v>
      </c>
      <c r="V163">
        <v>27.16855</v>
      </c>
      <c r="W163" t="s">
        <v>10</v>
      </c>
      <c r="X163">
        <v>52.058</v>
      </c>
      <c r="Y163">
        <v>743.101</v>
      </c>
      <c r="Z163">
        <v>0.66300000000000003</v>
      </c>
      <c r="AA163">
        <v>62.317999999999998</v>
      </c>
      <c r="AB163">
        <v>15.948</v>
      </c>
      <c r="AC163">
        <v>0</v>
      </c>
      <c r="AD163">
        <v>0</v>
      </c>
      <c r="AE163">
        <v>0</v>
      </c>
      <c r="AF163">
        <v>16.984000000000002</v>
      </c>
      <c r="AG163">
        <v>3.9809999999999999</v>
      </c>
      <c r="AH163">
        <v>895.053</v>
      </c>
      <c r="AI163" t="s">
        <v>22</v>
      </c>
      <c r="AJ163">
        <v>582.5</v>
      </c>
      <c r="AK163">
        <v>677.5</v>
      </c>
      <c r="AL163">
        <v>240</v>
      </c>
      <c r="AM163">
        <v>15</v>
      </c>
      <c r="AN163">
        <v>12.5</v>
      </c>
      <c r="AO163">
        <v>0</v>
      </c>
      <c r="AP163">
        <v>0</v>
      </c>
      <c r="AQ163">
        <v>0</v>
      </c>
      <c r="AR163">
        <v>12.5</v>
      </c>
      <c r="AS163">
        <v>160</v>
      </c>
      <c r="AT163">
        <v>1700</v>
      </c>
      <c r="AU163" t="s">
        <v>34</v>
      </c>
    </row>
    <row r="164" spans="1:47" x14ac:dyDescent="0.2">
      <c r="A164">
        <v>250</v>
      </c>
      <c r="B164" t="s">
        <v>923</v>
      </c>
      <c r="C164">
        <v>10</v>
      </c>
      <c r="D164" t="s">
        <v>217</v>
      </c>
      <c r="G164" t="str">
        <f t="shared" si="2"/>
        <v>HLY0402=SBI-04SPRING10EHS0.5</v>
      </c>
      <c r="H164">
        <v>72.08</v>
      </c>
      <c r="I164">
        <v>-159.638192</v>
      </c>
      <c r="J164" s="3">
        <v>20040526</v>
      </c>
      <c r="K164">
        <v>2004</v>
      </c>
      <c r="L164">
        <v>1.92489</v>
      </c>
      <c r="M164">
        <v>2.8413400000000002</v>
      </c>
      <c r="N164">
        <v>0.17516000000000001</v>
      </c>
      <c r="O164">
        <v>5.2700000000000004E-3</v>
      </c>
      <c r="P164">
        <v>0.22203999999999999</v>
      </c>
      <c r="Q164">
        <v>0</v>
      </c>
      <c r="R164">
        <v>0</v>
      </c>
      <c r="S164">
        <v>0</v>
      </c>
      <c r="T164">
        <v>0.56552999999999998</v>
      </c>
      <c r="U164">
        <v>0.12056</v>
      </c>
      <c r="V164">
        <v>5.8547900000000004</v>
      </c>
      <c r="W164" t="s">
        <v>10</v>
      </c>
      <c r="X164">
        <v>30.802</v>
      </c>
      <c r="Y164">
        <v>114.776</v>
      </c>
      <c r="Z164">
        <v>2.4380000000000002</v>
      </c>
      <c r="AA164">
        <v>0.11700000000000001</v>
      </c>
      <c r="AB164">
        <v>15.86</v>
      </c>
      <c r="AC164">
        <v>0</v>
      </c>
      <c r="AD164">
        <v>0</v>
      </c>
      <c r="AE164">
        <v>0</v>
      </c>
      <c r="AF164">
        <v>6.0810000000000004</v>
      </c>
      <c r="AG164">
        <v>5.5250000000000004</v>
      </c>
      <c r="AH164">
        <v>175.59899999999999</v>
      </c>
      <c r="AI164" t="s">
        <v>22</v>
      </c>
      <c r="AJ164">
        <v>777.5</v>
      </c>
      <c r="AK164">
        <v>570</v>
      </c>
      <c r="AL164">
        <v>255</v>
      </c>
      <c r="AM164">
        <v>15</v>
      </c>
      <c r="AN164">
        <v>12.5</v>
      </c>
      <c r="AO164">
        <v>0</v>
      </c>
      <c r="AP164">
        <v>0</v>
      </c>
      <c r="AQ164">
        <v>0</v>
      </c>
      <c r="AR164">
        <v>7.5</v>
      </c>
      <c r="AS164">
        <v>77.5</v>
      </c>
      <c r="AT164">
        <v>1715</v>
      </c>
      <c r="AU164" t="s">
        <v>33</v>
      </c>
    </row>
    <row r="165" spans="1:47" x14ac:dyDescent="0.2">
      <c r="A165">
        <v>251</v>
      </c>
      <c r="B165" t="s">
        <v>923</v>
      </c>
      <c r="C165">
        <v>13</v>
      </c>
      <c r="D165" t="s">
        <v>218</v>
      </c>
      <c r="G165" t="str">
        <f t="shared" si="2"/>
        <v>HLY0402=SBI-04SPRING13EHS2</v>
      </c>
      <c r="H165">
        <v>72.364999999999995</v>
      </c>
      <c r="I165">
        <v>-159.006</v>
      </c>
      <c r="J165" s="3">
        <v>20040528</v>
      </c>
      <c r="K165">
        <v>2004</v>
      </c>
      <c r="L165">
        <v>1.27207</v>
      </c>
      <c r="M165">
        <v>11.371980000000001</v>
      </c>
      <c r="N165">
        <v>0.70023000000000002</v>
      </c>
      <c r="O165">
        <v>0</v>
      </c>
      <c r="P165">
        <v>3.62E-3</v>
      </c>
      <c r="Q165">
        <v>0</v>
      </c>
      <c r="R165">
        <v>0</v>
      </c>
      <c r="S165">
        <v>0</v>
      </c>
      <c r="T165">
        <v>0</v>
      </c>
      <c r="U165">
        <v>3.5999999999999997E-2</v>
      </c>
      <c r="V165">
        <v>13.383900000000001</v>
      </c>
      <c r="W165" t="s">
        <v>10</v>
      </c>
      <c r="X165">
        <v>21.119</v>
      </c>
      <c r="Y165">
        <v>376.40699999999998</v>
      </c>
      <c r="Z165">
        <v>9.5579999999999998</v>
      </c>
      <c r="AA165">
        <v>0</v>
      </c>
      <c r="AB165">
        <v>0.25900000000000001</v>
      </c>
      <c r="AC165">
        <v>0</v>
      </c>
      <c r="AD165">
        <v>0</v>
      </c>
      <c r="AE165">
        <v>0</v>
      </c>
      <c r="AF165">
        <v>0</v>
      </c>
      <c r="AG165">
        <v>2.3839999999999999</v>
      </c>
      <c r="AH165">
        <v>409.72699999999998</v>
      </c>
      <c r="AI165" t="s">
        <v>22</v>
      </c>
      <c r="AJ165">
        <v>147.5</v>
      </c>
      <c r="AK165">
        <v>2215</v>
      </c>
      <c r="AL165">
        <v>107.5</v>
      </c>
      <c r="AM165">
        <v>0</v>
      </c>
      <c r="AN165">
        <v>10</v>
      </c>
      <c r="AO165">
        <v>0</v>
      </c>
      <c r="AP165">
        <v>0</v>
      </c>
      <c r="AQ165">
        <v>0</v>
      </c>
      <c r="AR165">
        <v>0</v>
      </c>
      <c r="AS165">
        <v>67.5</v>
      </c>
      <c r="AT165">
        <v>2547.5</v>
      </c>
      <c r="AU165" t="s">
        <v>34</v>
      </c>
    </row>
    <row r="166" spans="1:47" x14ac:dyDescent="0.2">
      <c r="A166">
        <v>252</v>
      </c>
      <c r="B166" t="s">
        <v>923</v>
      </c>
      <c r="C166">
        <v>16</v>
      </c>
      <c r="D166" t="s">
        <v>188</v>
      </c>
      <c r="G166" t="str">
        <f t="shared" si="2"/>
        <v>HLY0402=SBI-04SPRING16EHS4</v>
      </c>
      <c r="H166">
        <v>72.694661999999994</v>
      </c>
      <c r="I166">
        <v>-158.80515800000001</v>
      </c>
      <c r="J166" s="3">
        <v>20040530</v>
      </c>
      <c r="K166">
        <v>2004</v>
      </c>
      <c r="L166">
        <v>1.0861700000000001</v>
      </c>
      <c r="M166">
        <v>3.1469999999999998E-2</v>
      </c>
      <c r="N166">
        <v>1.04E-2</v>
      </c>
      <c r="O166">
        <v>4.4099999999999999E-3</v>
      </c>
      <c r="P166">
        <v>0</v>
      </c>
      <c r="Q166">
        <v>0</v>
      </c>
      <c r="R166">
        <v>0</v>
      </c>
      <c r="S166">
        <v>0</v>
      </c>
      <c r="T166">
        <v>6.8169999999999994E-2</v>
      </c>
      <c r="U166">
        <v>2.027E-2</v>
      </c>
      <c r="V166">
        <v>1.22089</v>
      </c>
      <c r="W166" t="s">
        <v>9</v>
      </c>
      <c r="X166">
        <v>15.403</v>
      </c>
      <c r="Y166">
        <v>1.502</v>
      </c>
      <c r="Z166">
        <v>0.13100000000000001</v>
      </c>
      <c r="AA166">
        <v>9.8000000000000004E-2</v>
      </c>
      <c r="AB166">
        <v>0</v>
      </c>
      <c r="AC166">
        <v>0</v>
      </c>
      <c r="AD166">
        <v>0</v>
      </c>
      <c r="AE166">
        <v>0</v>
      </c>
      <c r="AF166">
        <v>0.73299999999999998</v>
      </c>
      <c r="AG166">
        <v>0.755</v>
      </c>
      <c r="AH166">
        <v>18.622</v>
      </c>
      <c r="AI166" t="s">
        <v>21</v>
      </c>
      <c r="AJ166">
        <v>165</v>
      </c>
      <c r="AK166">
        <v>152.5</v>
      </c>
      <c r="AL166">
        <v>15</v>
      </c>
      <c r="AM166">
        <v>2.5</v>
      </c>
      <c r="AN166">
        <v>0</v>
      </c>
      <c r="AO166">
        <v>0</v>
      </c>
      <c r="AP166">
        <v>0</v>
      </c>
      <c r="AQ166">
        <v>0</v>
      </c>
      <c r="AR166">
        <v>5</v>
      </c>
      <c r="AS166">
        <v>12.5</v>
      </c>
      <c r="AT166">
        <v>352.5</v>
      </c>
      <c r="AU166" t="s">
        <v>33</v>
      </c>
    </row>
    <row r="167" spans="1:47" x14ac:dyDescent="0.2">
      <c r="A167">
        <v>253</v>
      </c>
      <c r="B167" t="s">
        <v>923</v>
      </c>
      <c r="C167">
        <v>17</v>
      </c>
      <c r="D167" t="s">
        <v>187</v>
      </c>
      <c r="G167" t="str">
        <f t="shared" si="2"/>
        <v>HLY0402=SBI-04SPRING17EHS5</v>
      </c>
      <c r="H167">
        <v>72.730249999999998</v>
      </c>
      <c r="I167">
        <v>-158.461342</v>
      </c>
      <c r="J167" s="3">
        <v>20040531</v>
      </c>
      <c r="K167">
        <v>2004</v>
      </c>
      <c r="L167">
        <v>1.6891700000000001</v>
      </c>
      <c r="M167">
        <v>4.4110000000000003E-2</v>
      </c>
      <c r="N167">
        <v>7.5319999999999998E-2</v>
      </c>
      <c r="O167">
        <v>1.8E-3</v>
      </c>
      <c r="P167">
        <v>2.0899999999999998E-3</v>
      </c>
      <c r="Q167">
        <v>0</v>
      </c>
      <c r="R167">
        <v>4.5569999999999999E-2</v>
      </c>
      <c r="S167">
        <v>0</v>
      </c>
      <c r="T167">
        <v>2.0639999999999999E-2</v>
      </c>
      <c r="U167">
        <v>0.10181999999999999</v>
      </c>
      <c r="V167">
        <v>1.9805200000000001</v>
      </c>
      <c r="W167" t="s">
        <v>9</v>
      </c>
      <c r="X167">
        <v>24.262</v>
      </c>
      <c r="Y167">
        <v>1.6739999999999999</v>
      </c>
      <c r="Z167">
        <v>1.0069999999999999</v>
      </c>
      <c r="AA167">
        <v>0.04</v>
      </c>
      <c r="AB167">
        <v>0.14899999999999999</v>
      </c>
      <c r="AC167">
        <v>0</v>
      </c>
      <c r="AD167">
        <v>0.747</v>
      </c>
      <c r="AE167">
        <v>0</v>
      </c>
      <c r="AF167">
        <v>0.222</v>
      </c>
      <c r="AG167">
        <v>5.14</v>
      </c>
      <c r="AH167">
        <v>33.241</v>
      </c>
      <c r="AI167" t="s">
        <v>21</v>
      </c>
      <c r="AJ167">
        <v>947.5</v>
      </c>
      <c r="AK167">
        <v>317.5</v>
      </c>
      <c r="AL167">
        <v>437.5</v>
      </c>
      <c r="AM167">
        <v>10</v>
      </c>
      <c r="AN167">
        <v>12.5</v>
      </c>
      <c r="AO167">
        <v>0</v>
      </c>
      <c r="AP167">
        <v>10</v>
      </c>
      <c r="AQ167">
        <v>0</v>
      </c>
      <c r="AR167">
        <v>10</v>
      </c>
      <c r="AS167">
        <v>32.5</v>
      </c>
      <c r="AT167">
        <v>1777.5</v>
      </c>
      <c r="AU167" t="s">
        <v>33</v>
      </c>
    </row>
    <row r="168" spans="1:47" x14ac:dyDescent="0.2">
      <c r="A168">
        <v>254</v>
      </c>
      <c r="B168" t="s">
        <v>923</v>
      </c>
      <c r="C168">
        <v>19</v>
      </c>
      <c r="D168" t="s">
        <v>186</v>
      </c>
      <c r="G168" t="str">
        <f t="shared" si="2"/>
        <v>HLY0402=SBI-04SPRING19EHS6</v>
      </c>
      <c r="H168">
        <v>72.903454999999994</v>
      </c>
      <c r="I168">
        <v>-158.262595</v>
      </c>
      <c r="J168" s="3">
        <v>20040602</v>
      </c>
      <c r="K168">
        <v>2004</v>
      </c>
      <c r="L168">
        <v>1.68035</v>
      </c>
      <c r="M168">
        <v>8.43E-3</v>
      </c>
      <c r="N168">
        <v>0</v>
      </c>
      <c r="O168">
        <v>13.136939999999999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5.62E-3</v>
      </c>
      <c r="V168">
        <v>14.831340000000001</v>
      </c>
      <c r="W168" t="s">
        <v>12</v>
      </c>
      <c r="X168">
        <v>18.841000000000001</v>
      </c>
      <c r="Y168">
        <v>0.30099999999999999</v>
      </c>
      <c r="Z168">
        <v>0</v>
      </c>
      <c r="AA168">
        <v>291.93200000000002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0.21099999999999999</v>
      </c>
      <c r="AH168">
        <v>311.28500000000003</v>
      </c>
      <c r="AI168" t="s">
        <v>24</v>
      </c>
      <c r="AJ168">
        <v>338.346</v>
      </c>
      <c r="AK168">
        <v>150.376</v>
      </c>
      <c r="AL168">
        <v>0</v>
      </c>
      <c r="AM168">
        <v>112.782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75.188000000000002</v>
      </c>
      <c r="AT168">
        <v>676.69200000000001</v>
      </c>
      <c r="AU168" t="s">
        <v>33</v>
      </c>
    </row>
    <row r="169" spans="1:47" x14ac:dyDescent="0.2">
      <c r="A169">
        <v>255</v>
      </c>
      <c r="B169" t="s">
        <v>923</v>
      </c>
      <c r="C169">
        <v>21</v>
      </c>
      <c r="D169" t="s">
        <v>219</v>
      </c>
      <c r="G169" t="str">
        <f t="shared" si="2"/>
        <v>HLY0402=SBI-04SPRING21EHSX</v>
      </c>
      <c r="H169">
        <v>72.628732999999997</v>
      </c>
      <c r="I169">
        <v>-157.40692000000001</v>
      </c>
      <c r="J169" s="3">
        <v>20040606</v>
      </c>
      <c r="K169">
        <v>2004</v>
      </c>
      <c r="L169">
        <v>0.42681999999999998</v>
      </c>
      <c r="M169">
        <v>0.10946</v>
      </c>
      <c r="N169">
        <v>6.4009999999999997E-2</v>
      </c>
      <c r="O169">
        <v>3.2000000000000003E-4</v>
      </c>
      <c r="P169">
        <v>1.3799999999999999E-3</v>
      </c>
      <c r="Q169">
        <v>0</v>
      </c>
      <c r="R169">
        <v>0</v>
      </c>
      <c r="S169">
        <v>0</v>
      </c>
      <c r="T169">
        <v>5.441E-2</v>
      </c>
      <c r="U169">
        <v>3.2239999999999998E-2</v>
      </c>
      <c r="V169">
        <v>0.68864000000000003</v>
      </c>
      <c r="W169" t="s">
        <v>9</v>
      </c>
      <c r="X169">
        <v>6.12</v>
      </c>
      <c r="Y169">
        <v>5.1100000000000003</v>
      </c>
      <c r="Z169">
        <v>0.85499999999999998</v>
      </c>
      <c r="AA169">
        <v>7.0000000000000001E-3</v>
      </c>
      <c r="AB169">
        <v>9.9000000000000005E-2</v>
      </c>
      <c r="AC169">
        <v>0</v>
      </c>
      <c r="AD169">
        <v>0</v>
      </c>
      <c r="AE169">
        <v>0</v>
      </c>
      <c r="AF169">
        <v>0.58499999999999996</v>
      </c>
      <c r="AG169">
        <v>1.0529999999999999</v>
      </c>
      <c r="AH169">
        <v>13.829000000000001</v>
      </c>
      <c r="AI169" t="s">
        <v>21</v>
      </c>
      <c r="AJ169">
        <v>222.5</v>
      </c>
      <c r="AK169">
        <v>875</v>
      </c>
      <c r="AL169">
        <v>157.5</v>
      </c>
      <c r="AM169">
        <v>2.5</v>
      </c>
      <c r="AN169">
        <v>20</v>
      </c>
      <c r="AO169">
        <v>0</v>
      </c>
      <c r="AP169">
        <v>0</v>
      </c>
      <c r="AQ169">
        <v>0</v>
      </c>
      <c r="AR169">
        <v>7.5</v>
      </c>
      <c r="AS169">
        <v>50</v>
      </c>
      <c r="AT169">
        <v>1335</v>
      </c>
      <c r="AU169" t="s">
        <v>34</v>
      </c>
    </row>
    <row r="170" spans="1:47" x14ac:dyDescent="0.2">
      <c r="A170">
        <v>256</v>
      </c>
      <c r="B170" t="s">
        <v>923</v>
      </c>
      <c r="C170">
        <v>22</v>
      </c>
      <c r="D170" t="s">
        <v>220</v>
      </c>
      <c r="G170" t="str">
        <f t="shared" si="2"/>
        <v>HLY0402=SBI-04SPRING22SB1B</v>
      </c>
      <c r="H170">
        <v>71.464967000000001</v>
      </c>
      <c r="I170">
        <v>-154.549485</v>
      </c>
      <c r="J170" s="3">
        <v>20040610</v>
      </c>
      <c r="K170">
        <v>2004</v>
      </c>
      <c r="L170">
        <v>0.12783</v>
      </c>
      <c r="M170">
        <v>8.1549999999999997E-2</v>
      </c>
      <c r="N170">
        <v>0.32534999999999997</v>
      </c>
      <c r="O170">
        <v>0</v>
      </c>
      <c r="P170">
        <v>0</v>
      </c>
      <c r="Q170">
        <v>0</v>
      </c>
      <c r="R170">
        <v>4.0689999999999997E-2</v>
      </c>
      <c r="S170">
        <v>0</v>
      </c>
      <c r="T170">
        <v>0</v>
      </c>
      <c r="U170">
        <v>1.6199999999999999E-3</v>
      </c>
      <c r="V170">
        <v>0.57704</v>
      </c>
      <c r="W170" t="s">
        <v>11</v>
      </c>
      <c r="X170">
        <v>2.1859999999999999</v>
      </c>
      <c r="Y170">
        <v>3.581</v>
      </c>
      <c r="Z170">
        <v>4.4569999999999999</v>
      </c>
      <c r="AA170">
        <v>0</v>
      </c>
      <c r="AB170">
        <v>0</v>
      </c>
      <c r="AC170">
        <v>0</v>
      </c>
      <c r="AD170">
        <v>0.66700000000000004</v>
      </c>
      <c r="AE170">
        <v>0</v>
      </c>
      <c r="AF170">
        <v>0</v>
      </c>
      <c r="AG170">
        <v>4.7E-2</v>
      </c>
      <c r="AH170">
        <v>10.938000000000001</v>
      </c>
      <c r="AI170" t="s">
        <v>23</v>
      </c>
      <c r="AJ170">
        <v>30</v>
      </c>
      <c r="AK170">
        <v>77.5</v>
      </c>
      <c r="AL170">
        <v>95</v>
      </c>
      <c r="AM170">
        <v>0</v>
      </c>
      <c r="AN170">
        <v>0</v>
      </c>
      <c r="AO170">
        <v>0</v>
      </c>
      <c r="AP170">
        <v>7.5</v>
      </c>
      <c r="AQ170">
        <v>0</v>
      </c>
      <c r="AR170">
        <v>0</v>
      </c>
      <c r="AS170">
        <v>15</v>
      </c>
      <c r="AT170">
        <v>225</v>
      </c>
      <c r="AU170" t="s">
        <v>35</v>
      </c>
    </row>
    <row r="171" spans="1:47" x14ac:dyDescent="0.2">
      <c r="A171">
        <v>257</v>
      </c>
      <c r="B171" t="s">
        <v>923</v>
      </c>
      <c r="C171">
        <v>23</v>
      </c>
      <c r="D171" t="s">
        <v>221</v>
      </c>
      <c r="G171" t="str">
        <f t="shared" si="2"/>
        <v>HLY0402=SBI-04SPRING23SB4</v>
      </c>
      <c r="H171">
        <v>71.690242999999995</v>
      </c>
      <c r="I171">
        <v>-154.62796</v>
      </c>
      <c r="J171" s="3">
        <v>20040611</v>
      </c>
      <c r="K171">
        <v>2004</v>
      </c>
      <c r="L171">
        <v>4.8456200000000003</v>
      </c>
      <c r="M171">
        <v>3.9358300000000002</v>
      </c>
      <c r="N171">
        <v>0.71967999999999999</v>
      </c>
      <c r="O171">
        <v>6.1623000000000001</v>
      </c>
      <c r="P171">
        <v>0.41324</v>
      </c>
      <c r="Q171">
        <v>0</v>
      </c>
      <c r="R171">
        <v>0.17524000000000001</v>
      </c>
      <c r="S171">
        <v>0.75100999999999996</v>
      </c>
      <c r="T171">
        <v>0.37246000000000001</v>
      </c>
      <c r="U171">
        <v>3.0482100000000001</v>
      </c>
      <c r="V171">
        <v>20.423590000000001</v>
      </c>
      <c r="W171" t="s">
        <v>12</v>
      </c>
      <c r="X171">
        <v>68.747</v>
      </c>
      <c r="Y171">
        <v>228.35900000000001</v>
      </c>
      <c r="Z171">
        <v>9.9109999999999996</v>
      </c>
      <c r="AA171">
        <v>136.94</v>
      </c>
      <c r="AB171">
        <v>29.516999999999999</v>
      </c>
      <c r="AC171">
        <v>0</v>
      </c>
      <c r="AD171">
        <v>4.3789999999999996</v>
      </c>
      <c r="AE171">
        <v>46.152999999999999</v>
      </c>
      <c r="AF171">
        <v>4.0049999999999999</v>
      </c>
      <c r="AG171">
        <v>145.196</v>
      </c>
      <c r="AH171">
        <v>673.20699999999999</v>
      </c>
      <c r="AI171" t="s">
        <v>22</v>
      </c>
      <c r="AJ171">
        <v>1050</v>
      </c>
      <c r="AK171">
        <v>422.5</v>
      </c>
      <c r="AL171">
        <v>912.5</v>
      </c>
      <c r="AM171">
        <v>105</v>
      </c>
      <c r="AN171">
        <v>75</v>
      </c>
      <c r="AO171">
        <v>0</v>
      </c>
      <c r="AP171">
        <v>10</v>
      </c>
      <c r="AQ171">
        <v>17.5</v>
      </c>
      <c r="AR171">
        <v>20</v>
      </c>
      <c r="AS171">
        <v>75</v>
      </c>
      <c r="AT171">
        <v>2687.5</v>
      </c>
      <c r="AU171" t="s">
        <v>33</v>
      </c>
    </row>
    <row r="172" spans="1:47" x14ac:dyDescent="0.2">
      <c r="A172">
        <v>258</v>
      </c>
      <c r="B172" t="s">
        <v>923</v>
      </c>
      <c r="C172">
        <v>24</v>
      </c>
      <c r="D172" t="s">
        <v>222</v>
      </c>
      <c r="G172" t="str">
        <f t="shared" si="2"/>
        <v>HLY0402=SBI-04SPRING24SB5</v>
      </c>
      <c r="H172">
        <v>71.774178000000006</v>
      </c>
      <c r="I172">
        <v>-155.14841000000001</v>
      </c>
      <c r="J172" s="3">
        <v>20040612</v>
      </c>
      <c r="K172">
        <v>2004</v>
      </c>
      <c r="L172">
        <v>20.24954</v>
      </c>
      <c r="M172">
        <v>3.14663</v>
      </c>
      <c r="N172">
        <v>6.3490000000000005E-2</v>
      </c>
      <c r="O172">
        <v>0.27333000000000002</v>
      </c>
      <c r="P172">
        <v>0.33552999999999999</v>
      </c>
      <c r="Q172">
        <v>0</v>
      </c>
      <c r="R172">
        <v>0</v>
      </c>
      <c r="S172">
        <v>0</v>
      </c>
      <c r="T172">
        <v>0.33628999999999998</v>
      </c>
      <c r="U172">
        <v>0.98873</v>
      </c>
      <c r="V172">
        <v>25.393540000000002</v>
      </c>
      <c r="W172" t="s">
        <v>9</v>
      </c>
      <c r="X172">
        <v>291.303</v>
      </c>
      <c r="Y172">
        <v>88.984999999999999</v>
      </c>
      <c r="Z172">
        <v>0.873</v>
      </c>
      <c r="AA172">
        <v>6.0739999999999998</v>
      </c>
      <c r="AB172">
        <v>23.966999999999999</v>
      </c>
      <c r="AC172">
        <v>0</v>
      </c>
      <c r="AD172">
        <v>0</v>
      </c>
      <c r="AE172">
        <v>0</v>
      </c>
      <c r="AF172">
        <v>3.6160000000000001</v>
      </c>
      <c r="AG172">
        <v>22.524000000000001</v>
      </c>
      <c r="AH172">
        <v>437.34199999999998</v>
      </c>
      <c r="AI172" t="s">
        <v>21</v>
      </c>
      <c r="AJ172">
        <v>9080</v>
      </c>
      <c r="AK172">
        <v>225</v>
      </c>
      <c r="AL172">
        <v>285</v>
      </c>
      <c r="AM172">
        <v>20</v>
      </c>
      <c r="AN172">
        <v>27.5</v>
      </c>
      <c r="AO172">
        <v>0</v>
      </c>
      <c r="AP172">
        <v>0</v>
      </c>
      <c r="AQ172">
        <v>0</v>
      </c>
      <c r="AR172">
        <v>22.5</v>
      </c>
      <c r="AS172">
        <v>30</v>
      </c>
      <c r="AT172">
        <v>9690</v>
      </c>
      <c r="AU172" t="s">
        <v>33</v>
      </c>
    </row>
    <row r="173" spans="1:47" x14ac:dyDescent="0.2">
      <c r="A173">
        <v>259</v>
      </c>
      <c r="B173" t="s">
        <v>923</v>
      </c>
      <c r="C173">
        <v>26</v>
      </c>
      <c r="D173" t="s">
        <v>195</v>
      </c>
      <c r="G173" t="str">
        <f t="shared" si="2"/>
        <v>HLY0402=SBI-04SPRING26BC5</v>
      </c>
      <c r="H173">
        <v>72.123355000000004</v>
      </c>
      <c r="I173">
        <v>-154.676965</v>
      </c>
      <c r="J173" s="3">
        <v>20040613</v>
      </c>
      <c r="K173">
        <v>2004</v>
      </c>
      <c r="L173">
        <v>0.84292</v>
      </c>
      <c r="M173">
        <v>4.2430000000000002E-2</v>
      </c>
      <c r="N173">
        <v>2.4099999999999998E-3</v>
      </c>
      <c r="O173">
        <v>3.4110000000000001E-2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0.92186999999999997</v>
      </c>
      <c r="W173" t="s">
        <v>9</v>
      </c>
      <c r="X173">
        <v>12.05</v>
      </c>
      <c r="Y173">
        <v>1.51</v>
      </c>
      <c r="Z173">
        <v>2.9000000000000001E-2</v>
      </c>
      <c r="AA173">
        <v>0.75800000000000001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14.347</v>
      </c>
      <c r="AI173" t="s">
        <v>21</v>
      </c>
      <c r="AJ173">
        <v>488.72199999999998</v>
      </c>
      <c r="AK173">
        <v>2048.873</v>
      </c>
      <c r="AL173">
        <v>37.594000000000001</v>
      </c>
      <c r="AM173">
        <v>206.767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2781.9560000000001</v>
      </c>
      <c r="AU173" t="s">
        <v>34</v>
      </c>
    </row>
    <row r="174" spans="1:47" x14ac:dyDescent="0.2">
      <c r="A174">
        <v>260</v>
      </c>
      <c r="B174" t="s">
        <v>923</v>
      </c>
      <c r="C174">
        <v>27</v>
      </c>
      <c r="D174" t="s">
        <v>196</v>
      </c>
      <c r="G174" t="str">
        <f t="shared" si="2"/>
        <v>HLY0402=SBI-04SPRING27BC6</v>
      </c>
      <c r="H174">
        <v>72.282617999999999</v>
      </c>
      <c r="I174">
        <v>-154.611572</v>
      </c>
      <c r="J174" s="3">
        <v>20040615</v>
      </c>
      <c r="K174">
        <v>2004</v>
      </c>
      <c r="L174">
        <v>6.5500000000000003E-3</v>
      </c>
      <c r="M174">
        <v>8.4799999999999997E-3</v>
      </c>
      <c r="N174">
        <v>0.13941999999999999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0.15445</v>
      </c>
      <c r="W174" t="s">
        <v>11</v>
      </c>
      <c r="X174">
        <v>9.5000000000000001E-2</v>
      </c>
      <c r="Y174">
        <v>0.30299999999999999</v>
      </c>
      <c r="Z174">
        <v>1.8839999999999999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2.282</v>
      </c>
      <c r="AI174" t="s">
        <v>23</v>
      </c>
      <c r="AJ174">
        <v>94.697000000000003</v>
      </c>
      <c r="AK174">
        <v>189.39400000000001</v>
      </c>
      <c r="AL174">
        <v>94.697000000000003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378.78800000000001</v>
      </c>
      <c r="AU174" t="s">
        <v>34</v>
      </c>
    </row>
    <row r="175" spans="1:47" x14ac:dyDescent="0.2">
      <c r="A175">
        <v>261</v>
      </c>
      <c r="B175" t="s">
        <v>923</v>
      </c>
      <c r="C175">
        <v>28</v>
      </c>
      <c r="D175" t="s">
        <v>194</v>
      </c>
      <c r="G175" t="str">
        <f t="shared" si="2"/>
        <v>HLY0402=SBI-04SPRING28BC4</v>
      </c>
      <c r="H175">
        <v>71.931229999999999</v>
      </c>
      <c r="I175">
        <v>-154.86872199999999</v>
      </c>
      <c r="J175" s="3">
        <v>20040616</v>
      </c>
      <c r="K175">
        <v>2004</v>
      </c>
      <c r="L175">
        <v>1.41052</v>
      </c>
      <c r="M175">
        <v>5.219E-2</v>
      </c>
      <c r="N175">
        <v>0.13471</v>
      </c>
      <c r="O175">
        <v>1.6740000000000001E-2</v>
      </c>
      <c r="P175">
        <v>1.391E-2</v>
      </c>
      <c r="Q175">
        <v>0</v>
      </c>
      <c r="R175">
        <v>0</v>
      </c>
      <c r="S175">
        <v>0</v>
      </c>
      <c r="T175">
        <v>8.9300000000000004E-3</v>
      </c>
      <c r="U175">
        <v>0.13666</v>
      </c>
      <c r="V175">
        <v>1.77366</v>
      </c>
      <c r="W175" t="s">
        <v>9</v>
      </c>
      <c r="X175">
        <v>21.527999999999999</v>
      </c>
      <c r="Y175">
        <v>2.4129999999999998</v>
      </c>
      <c r="Z175">
        <v>1.6439999999999999</v>
      </c>
      <c r="AA175">
        <v>0.372</v>
      </c>
      <c r="AB175">
        <v>0.99299999999999999</v>
      </c>
      <c r="AC175">
        <v>0</v>
      </c>
      <c r="AD175">
        <v>0</v>
      </c>
      <c r="AE175">
        <v>0</v>
      </c>
      <c r="AF175">
        <v>9.6000000000000002E-2</v>
      </c>
      <c r="AG175">
        <v>4.742</v>
      </c>
      <c r="AH175">
        <v>31.788</v>
      </c>
      <c r="AI175" t="s">
        <v>21</v>
      </c>
      <c r="AJ175">
        <v>525</v>
      </c>
      <c r="AK175">
        <v>342.5</v>
      </c>
      <c r="AL175">
        <v>402.5</v>
      </c>
      <c r="AM175">
        <v>22.5</v>
      </c>
      <c r="AN175">
        <v>20</v>
      </c>
      <c r="AO175">
        <v>0</v>
      </c>
      <c r="AP175">
        <v>0</v>
      </c>
      <c r="AQ175">
        <v>0</v>
      </c>
      <c r="AR175">
        <v>7.5</v>
      </c>
      <c r="AS175">
        <v>85</v>
      </c>
      <c r="AT175">
        <v>1405</v>
      </c>
      <c r="AU175" t="s">
        <v>33</v>
      </c>
    </row>
    <row r="176" spans="1:47" x14ac:dyDescent="0.2">
      <c r="A176">
        <v>262</v>
      </c>
      <c r="B176" t="s">
        <v>923</v>
      </c>
      <c r="C176">
        <v>31</v>
      </c>
      <c r="D176" t="s">
        <v>199</v>
      </c>
      <c r="G176" t="str">
        <f t="shared" si="2"/>
        <v>HLY0402=SBI-04SPRING31BC3</v>
      </c>
      <c r="H176">
        <v>71.604534999999998</v>
      </c>
      <c r="I176">
        <v>-155.914905</v>
      </c>
      <c r="J176" s="3">
        <v>20040619</v>
      </c>
      <c r="K176">
        <v>2004</v>
      </c>
      <c r="L176">
        <v>6.5981300000000003</v>
      </c>
      <c r="M176">
        <v>0.97775999999999996</v>
      </c>
      <c r="N176">
        <v>0.12277</v>
      </c>
      <c r="O176">
        <v>0.24723000000000001</v>
      </c>
      <c r="P176">
        <v>0.37119999999999997</v>
      </c>
      <c r="Q176">
        <v>0</v>
      </c>
      <c r="R176">
        <v>0</v>
      </c>
      <c r="S176">
        <v>0</v>
      </c>
      <c r="T176">
        <v>0.67796999999999996</v>
      </c>
      <c r="U176">
        <v>2.6009999999999998E-2</v>
      </c>
      <c r="V176">
        <v>9.0210699999999999</v>
      </c>
      <c r="W176" t="s">
        <v>9</v>
      </c>
      <c r="X176">
        <v>93.478999999999999</v>
      </c>
      <c r="Y176">
        <v>28.481999999999999</v>
      </c>
      <c r="Z176">
        <v>1.7430000000000001</v>
      </c>
      <c r="AA176">
        <v>5.4939999999999998</v>
      </c>
      <c r="AB176">
        <v>26.513999999999999</v>
      </c>
      <c r="AC176">
        <v>0</v>
      </c>
      <c r="AD176">
        <v>0</v>
      </c>
      <c r="AE176">
        <v>0</v>
      </c>
      <c r="AF176">
        <v>7.29</v>
      </c>
      <c r="AG176">
        <v>1.0660000000000001</v>
      </c>
      <c r="AH176">
        <v>164.06800000000001</v>
      </c>
      <c r="AI176" t="s">
        <v>21</v>
      </c>
      <c r="AJ176">
        <v>3560</v>
      </c>
      <c r="AK176">
        <v>160</v>
      </c>
      <c r="AL176">
        <v>312.5</v>
      </c>
      <c r="AM176">
        <v>262.5</v>
      </c>
      <c r="AN176">
        <v>42.5</v>
      </c>
      <c r="AO176">
        <v>0</v>
      </c>
      <c r="AP176">
        <v>0</v>
      </c>
      <c r="AQ176">
        <v>0</v>
      </c>
      <c r="AR176">
        <v>22.5</v>
      </c>
      <c r="AS176">
        <v>45</v>
      </c>
      <c r="AT176">
        <v>4405</v>
      </c>
      <c r="AU176" t="s">
        <v>33</v>
      </c>
    </row>
    <row r="177" spans="1:47" x14ac:dyDescent="0.2">
      <c r="A177">
        <v>263</v>
      </c>
      <c r="B177" t="s">
        <v>923</v>
      </c>
      <c r="C177">
        <v>34</v>
      </c>
      <c r="D177" t="s">
        <v>200</v>
      </c>
      <c r="G177" t="str">
        <f t="shared" si="2"/>
        <v>HLY0402=SBI-04SPRING34BC2</v>
      </c>
      <c r="H177">
        <v>71.391589999999994</v>
      </c>
      <c r="I177">
        <v>-157.534257</v>
      </c>
      <c r="J177" s="3">
        <v>20040620</v>
      </c>
      <c r="K177">
        <v>2004</v>
      </c>
      <c r="L177">
        <v>6.6003100000000003</v>
      </c>
      <c r="M177">
        <v>1.94573</v>
      </c>
      <c r="N177">
        <v>1.7828299999999999</v>
      </c>
      <c r="O177">
        <v>0.36635000000000001</v>
      </c>
      <c r="P177">
        <v>1.4415800000000001</v>
      </c>
      <c r="Q177">
        <v>0</v>
      </c>
      <c r="R177">
        <v>0.89215999999999995</v>
      </c>
      <c r="S177">
        <v>0.37907999999999997</v>
      </c>
      <c r="T177">
        <v>4.752E-2</v>
      </c>
      <c r="U177">
        <v>2.5116900000000002</v>
      </c>
      <c r="V177">
        <v>15.96725</v>
      </c>
      <c r="W177" t="s">
        <v>9</v>
      </c>
      <c r="X177">
        <v>101.402</v>
      </c>
      <c r="Y177">
        <v>96.713999999999999</v>
      </c>
      <c r="Z177">
        <v>23.35</v>
      </c>
      <c r="AA177">
        <v>8.141</v>
      </c>
      <c r="AB177">
        <v>102.97</v>
      </c>
      <c r="AC177">
        <v>0</v>
      </c>
      <c r="AD177">
        <v>22.303999999999998</v>
      </c>
      <c r="AE177">
        <v>17.140999999999998</v>
      </c>
      <c r="AF177">
        <v>0.51100000000000001</v>
      </c>
      <c r="AG177">
        <v>81.844999999999999</v>
      </c>
      <c r="AH177">
        <v>454.37799999999999</v>
      </c>
      <c r="AI177" t="s">
        <v>25</v>
      </c>
      <c r="AJ177">
        <v>1135</v>
      </c>
      <c r="AK177">
        <v>327.5</v>
      </c>
      <c r="AL177">
        <v>7170</v>
      </c>
      <c r="AM177">
        <v>175</v>
      </c>
      <c r="AN177">
        <v>192.5</v>
      </c>
      <c r="AO177">
        <v>0</v>
      </c>
      <c r="AP177">
        <v>2.5</v>
      </c>
      <c r="AQ177">
        <v>5</v>
      </c>
      <c r="AR177">
        <v>35</v>
      </c>
      <c r="AS177">
        <v>97.5</v>
      </c>
      <c r="AT177">
        <v>9140</v>
      </c>
      <c r="AU177" t="s">
        <v>35</v>
      </c>
    </row>
    <row r="178" spans="1:47" x14ac:dyDescent="0.2">
      <c r="A178">
        <v>264</v>
      </c>
      <c r="B178" t="s">
        <v>923</v>
      </c>
      <c r="C178" t="s">
        <v>223</v>
      </c>
      <c r="D178" t="s">
        <v>224</v>
      </c>
      <c r="G178" t="str">
        <f t="shared" si="2"/>
        <v>HLY0402=SBI-04SPRING34bBC2b</v>
      </c>
      <c r="H178">
        <v>71.417114999999995</v>
      </c>
      <c r="I178">
        <v>-157.44394199999999</v>
      </c>
      <c r="J178" s="3">
        <v>20040620</v>
      </c>
      <c r="K178">
        <v>2004</v>
      </c>
      <c r="L178">
        <v>9.6479099999999995</v>
      </c>
      <c r="M178">
        <v>89.69211</v>
      </c>
      <c r="N178">
        <v>2.39621</v>
      </c>
      <c r="O178">
        <v>42.413359999999997</v>
      </c>
      <c r="P178">
        <v>0.90390000000000004</v>
      </c>
      <c r="Q178">
        <v>0</v>
      </c>
      <c r="R178">
        <v>0</v>
      </c>
      <c r="S178">
        <v>2.8389999999999999E-2</v>
      </c>
      <c r="T178">
        <v>0.14945</v>
      </c>
      <c r="U178">
        <v>0.12012</v>
      </c>
      <c r="V178">
        <v>145.35145</v>
      </c>
      <c r="W178" t="s">
        <v>10</v>
      </c>
      <c r="X178">
        <v>157.11500000000001</v>
      </c>
      <c r="Y178">
        <v>3184.835</v>
      </c>
      <c r="Z178">
        <v>33.393999999999998</v>
      </c>
      <c r="AA178">
        <v>942.51900000000001</v>
      </c>
      <c r="AB178">
        <v>64.563999999999993</v>
      </c>
      <c r="AC178">
        <v>0</v>
      </c>
      <c r="AD178">
        <v>0</v>
      </c>
      <c r="AE178">
        <v>2.028</v>
      </c>
      <c r="AF178">
        <v>1.607</v>
      </c>
      <c r="AG178">
        <v>5.6970000000000001</v>
      </c>
      <c r="AH178">
        <v>4391.759</v>
      </c>
      <c r="AI178" t="s">
        <v>22</v>
      </c>
      <c r="AJ178">
        <v>12105.268</v>
      </c>
      <c r="AK178">
        <v>12456.144</v>
      </c>
      <c r="AL178">
        <v>12681.709000000001</v>
      </c>
      <c r="AM178">
        <v>1127.82</v>
      </c>
      <c r="AN178">
        <v>150.376</v>
      </c>
      <c r="AO178">
        <v>0</v>
      </c>
      <c r="AP178">
        <v>0</v>
      </c>
      <c r="AQ178">
        <v>0</v>
      </c>
      <c r="AR178">
        <v>0</v>
      </c>
      <c r="AS178">
        <v>100.25</v>
      </c>
      <c r="AT178">
        <v>38621.567000000003</v>
      </c>
      <c r="AU178" t="s">
        <v>35</v>
      </c>
    </row>
    <row r="179" spans="1:47" x14ac:dyDescent="0.2">
      <c r="A179">
        <v>265</v>
      </c>
      <c r="B179" t="s">
        <v>923</v>
      </c>
      <c r="C179">
        <v>6</v>
      </c>
      <c r="D179" t="s">
        <v>180</v>
      </c>
      <c r="G179" t="str">
        <f t="shared" si="2"/>
        <v>HLY0402=SBI-04SPRING6HV1</v>
      </c>
      <c r="H179">
        <v>67.502737999999994</v>
      </c>
      <c r="I179">
        <v>-168.905992</v>
      </c>
      <c r="J179" s="3">
        <v>20040518</v>
      </c>
      <c r="K179">
        <v>2004</v>
      </c>
      <c r="L179">
        <v>2.2677499999999999</v>
      </c>
      <c r="M179">
        <v>9.6001100000000008</v>
      </c>
      <c r="N179">
        <v>7.9444600000000003</v>
      </c>
      <c r="O179">
        <v>5.0000000000000001E-4</v>
      </c>
      <c r="P179">
        <v>0.32495000000000002</v>
      </c>
      <c r="Q179">
        <v>0</v>
      </c>
      <c r="R179">
        <v>1.3373600000000001</v>
      </c>
      <c r="S179">
        <v>0</v>
      </c>
      <c r="T179">
        <v>1.051E-2</v>
      </c>
      <c r="U179">
        <v>0.25696999999999998</v>
      </c>
      <c r="V179">
        <v>21.742609999999999</v>
      </c>
      <c r="W179" t="s">
        <v>10</v>
      </c>
      <c r="X179">
        <v>37.348999999999997</v>
      </c>
      <c r="Y179">
        <v>260.43799999999999</v>
      </c>
      <c r="Z179">
        <v>88.87</v>
      </c>
      <c r="AA179">
        <v>1.0999999999999999E-2</v>
      </c>
      <c r="AB179">
        <v>23.210999999999999</v>
      </c>
      <c r="AC179">
        <v>0</v>
      </c>
      <c r="AD179">
        <v>21.923999999999999</v>
      </c>
      <c r="AE179">
        <v>0</v>
      </c>
      <c r="AF179">
        <v>0.113</v>
      </c>
      <c r="AG179">
        <v>6.6230000000000002</v>
      </c>
      <c r="AH179">
        <v>438.53899999999999</v>
      </c>
      <c r="AI179" t="s">
        <v>22</v>
      </c>
      <c r="AJ179">
        <v>832.5</v>
      </c>
      <c r="AK179">
        <v>1800</v>
      </c>
      <c r="AL179">
        <v>6502.5</v>
      </c>
      <c r="AM179">
        <v>2.5</v>
      </c>
      <c r="AN179">
        <v>15</v>
      </c>
      <c r="AO179">
        <v>0</v>
      </c>
      <c r="AP179">
        <v>40</v>
      </c>
      <c r="AQ179">
        <v>0</v>
      </c>
      <c r="AR179">
        <v>10</v>
      </c>
      <c r="AS179">
        <v>32.5</v>
      </c>
      <c r="AT179">
        <v>9235</v>
      </c>
      <c r="AU179" t="s">
        <v>35</v>
      </c>
    </row>
    <row r="180" spans="1:47" x14ac:dyDescent="0.2">
      <c r="A180">
        <v>266</v>
      </c>
      <c r="B180" t="s">
        <v>923</v>
      </c>
      <c r="C180">
        <v>7</v>
      </c>
      <c r="D180" t="s">
        <v>189</v>
      </c>
      <c r="G180" t="str">
        <f t="shared" si="2"/>
        <v>HLY0402=SBI-04SPRING7HV2</v>
      </c>
      <c r="H180">
        <v>70.708070000000006</v>
      </c>
      <c r="I180">
        <v>-167.18804299999999</v>
      </c>
      <c r="J180" s="3">
        <v>20040521</v>
      </c>
      <c r="K180">
        <v>2004</v>
      </c>
      <c r="L180">
        <v>4.05471</v>
      </c>
      <c r="M180">
        <v>0.57630999999999999</v>
      </c>
      <c r="N180">
        <v>0.76017999999999997</v>
      </c>
      <c r="O180">
        <v>2.1414599999999999</v>
      </c>
      <c r="P180">
        <v>5.7000000000000002E-3</v>
      </c>
      <c r="Q180">
        <v>0</v>
      </c>
      <c r="R180">
        <v>0</v>
      </c>
      <c r="S180">
        <v>0</v>
      </c>
      <c r="T180">
        <v>5.5999999999999995E-4</v>
      </c>
      <c r="U180">
        <v>1.26E-2</v>
      </c>
      <c r="V180">
        <v>7.55152</v>
      </c>
      <c r="W180" t="s">
        <v>9</v>
      </c>
      <c r="X180">
        <v>59.338000000000001</v>
      </c>
      <c r="Y180">
        <v>15.064</v>
      </c>
      <c r="Z180">
        <v>8.4570000000000007</v>
      </c>
      <c r="AA180">
        <v>47.588000000000001</v>
      </c>
      <c r="AB180">
        <v>0.40699999999999997</v>
      </c>
      <c r="AC180">
        <v>0</v>
      </c>
      <c r="AD180">
        <v>0</v>
      </c>
      <c r="AE180">
        <v>0</v>
      </c>
      <c r="AF180">
        <v>6.0000000000000001E-3</v>
      </c>
      <c r="AG180">
        <v>0.41599999999999998</v>
      </c>
      <c r="AH180">
        <v>131.27600000000001</v>
      </c>
      <c r="AI180" t="s">
        <v>21</v>
      </c>
      <c r="AJ180">
        <v>227.5</v>
      </c>
      <c r="AK180">
        <v>987.5</v>
      </c>
      <c r="AL180">
        <v>265</v>
      </c>
      <c r="AM180">
        <v>10</v>
      </c>
      <c r="AN180">
        <v>10</v>
      </c>
      <c r="AO180">
        <v>0</v>
      </c>
      <c r="AP180">
        <v>0</v>
      </c>
      <c r="AQ180">
        <v>0</v>
      </c>
      <c r="AR180">
        <v>2.5</v>
      </c>
      <c r="AS180">
        <v>52.5</v>
      </c>
      <c r="AT180">
        <v>1555</v>
      </c>
      <c r="AU180" t="s">
        <v>34</v>
      </c>
    </row>
    <row r="181" spans="1:47" x14ac:dyDescent="0.2">
      <c r="A181">
        <v>267</v>
      </c>
      <c r="B181" t="s">
        <v>923</v>
      </c>
      <c r="C181">
        <v>9</v>
      </c>
      <c r="D181" t="s">
        <v>225</v>
      </c>
      <c r="G181" t="str">
        <f t="shared" si="2"/>
        <v>HLY0402=SBI-04SPRING9EHS0</v>
      </c>
      <c r="H181">
        <v>72.004757999999995</v>
      </c>
      <c r="I181">
        <v>-159.84577200000001</v>
      </c>
      <c r="J181" s="3">
        <v>20040524</v>
      </c>
      <c r="K181">
        <v>2004</v>
      </c>
      <c r="L181">
        <v>0.85087999999999997</v>
      </c>
      <c r="M181">
        <v>4.1493799999999998</v>
      </c>
      <c r="N181">
        <v>0.26871</v>
      </c>
      <c r="O181">
        <v>5.2920000000000002E-2</v>
      </c>
      <c r="P181">
        <v>0</v>
      </c>
      <c r="Q181">
        <v>0</v>
      </c>
      <c r="R181">
        <v>0.49598999999999999</v>
      </c>
      <c r="S181">
        <v>0.27159</v>
      </c>
      <c r="T181">
        <v>9.2999999999999992E-3</v>
      </c>
      <c r="U181">
        <v>0.92695000000000005</v>
      </c>
      <c r="V181">
        <v>7.0257199999999997</v>
      </c>
      <c r="W181" t="s">
        <v>10</v>
      </c>
      <c r="X181">
        <v>11.99</v>
      </c>
      <c r="Y181">
        <v>209.1</v>
      </c>
      <c r="Z181">
        <v>4.0119999999999996</v>
      </c>
      <c r="AA181">
        <v>1.1759999999999999</v>
      </c>
      <c r="AB181">
        <v>0</v>
      </c>
      <c r="AC181">
        <v>0</v>
      </c>
      <c r="AD181">
        <v>8.1310000000000002</v>
      </c>
      <c r="AE181">
        <v>19.399000000000001</v>
      </c>
      <c r="AF181">
        <v>0.1</v>
      </c>
      <c r="AG181">
        <v>33.305</v>
      </c>
      <c r="AH181">
        <v>287.21300000000002</v>
      </c>
      <c r="AI181" t="s">
        <v>22</v>
      </c>
      <c r="AJ181">
        <v>665</v>
      </c>
      <c r="AK181">
        <v>457.5</v>
      </c>
      <c r="AL181">
        <v>295</v>
      </c>
      <c r="AM181">
        <v>52.5</v>
      </c>
      <c r="AN181">
        <v>0</v>
      </c>
      <c r="AO181">
        <v>0</v>
      </c>
      <c r="AP181">
        <v>112.5</v>
      </c>
      <c r="AQ181">
        <v>25</v>
      </c>
      <c r="AR181">
        <v>15</v>
      </c>
      <c r="AS181">
        <v>132.5</v>
      </c>
      <c r="AT181">
        <v>1755</v>
      </c>
      <c r="AU181" t="s">
        <v>33</v>
      </c>
    </row>
    <row r="182" spans="1:47" x14ac:dyDescent="0.2">
      <c r="A182">
        <v>268</v>
      </c>
      <c r="B182" t="s">
        <v>924</v>
      </c>
      <c r="C182">
        <v>7</v>
      </c>
      <c r="D182" t="s">
        <v>215</v>
      </c>
      <c r="G182" t="str">
        <f t="shared" si="2"/>
        <v>HLY0403=SBI04SUMMER7ACW1</v>
      </c>
      <c r="H182">
        <v>68.489999999999995</v>
      </c>
      <c r="I182">
        <v>-167.376</v>
      </c>
      <c r="J182" s="3">
        <v>20040721</v>
      </c>
      <c r="K182">
        <v>2004</v>
      </c>
      <c r="L182">
        <v>4.0058999999999996</v>
      </c>
      <c r="M182">
        <v>0.61865999999999999</v>
      </c>
      <c r="N182">
        <v>7.5880000000000003E-2</v>
      </c>
      <c r="O182">
        <v>0.98014999999999997</v>
      </c>
      <c r="P182">
        <v>4.6100000000000004E-3</v>
      </c>
      <c r="Q182">
        <v>0</v>
      </c>
      <c r="R182">
        <v>8.72E-2</v>
      </c>
      <c r="S182">
        <v>1.50979</v>
      </c>
      <c r="T182">
        <v>2.827E-2</v>
      </c>
      <c r="U182">
        <v>0.84641999999999995</v>
      </c>
      <c r="V182">
        <v>8.1568799999999992</v>
      </c>
      <c r="W182" t="s">
        <v>9</v>
      </c>
      <c r="X182">
        <v>54.225000000000001</v>
      </c>
      <c r="Y182">
        <v>24.466999999999999</v>
      </c>
      <c r="Z182">
        <v>1.0609999999999999</v>
      </c>
      <c r="AA182">
        <v>21.780999999999999</v>
      </c>
      <c r="AB182">
        <v>0.32900000000000001</v>
      </c>
      <c r="AC182">
        <v>0</v>
      </c>
      <c r="AD182">
        <v>2.1800000000000002</v>
      </c>
      <c r="AE182">
        <v>107.842</v>
      </c>
      <c r="AF182">
        <v>0.30399999999999999</v>
      </c>
      <c r="AG182">
        <v>43.201000000000001</v>
      </c>
      <c r="AH182">
        <v>255.39</v>
      </c>
      <c r="AI182" t="s">
        <v>28</v>
      </c>
      <c r="AJ182">
        <v>990</v>
      </c>
      <c r="AK182">
        <v>417.5</v>
      </c>
      <c r="AL182">
        <v>457.5</v>
      </c>
      <c r="AM182">
        <v>1107.5</v>
      </c>
      <c r="AN182">
        <v>75</v>
      </c>
      <c r="AO182">
        <v>0</v>
      </c>
      <c r="AP182">
        <v>12.5</v>
      </c>
      <c r="AQ182">
        <v>22.5</v>
      </c>
      <c r="AR182">
        <v>15</v>
      </c>
      <c r="AS182">
        <v>97.5</v>
      </c>
      <c r="AT182">
        <v>3195</v>
      </c>
      <c r="AU182" t="s">
        <v>36</v>
      </c>
    </row>
    <row r="183" spans="1:47" x14ac:dyDescent="0.2">
      <c r="A183">
        <v>269</v>
      </c>
      <c r="B183" t="s">
        <v>924</v>
      </c>
      <c r="C183">
        <v>8</v>
      </c>
      <c r="D183" t="s">
        <v>216</v>
      </c>
      <c r="G183" t="str">
        <f t="shared" si="2"/>
        <v>HLY0403=SBI04SUMMER8ACW2</v>
      </c>
      <c r="H183">
        <v>69.953999999999994</v>
      </c>
      <c r="I183">
        <v>-164.40600000000001</v>
      </c>
      <c r="J183" s="3">
        <v>20040721</v>
      </c>
      <c r="K183">
        <v>2004</v>
      </c>
      <c r="L183">
        <v>2.0714000000000001</v>
      </c>
      <c r="M183">
        <v>2.4836800000000001</v>
      </c>
      <c r="N183">
        <v>4.5199999999999997E-3</v>
      </c>
      <c r="O183">
        <v>1.0399999999999999E-3</v>
      </c>
      <c r="P183">
        <v>2.0000000000000001E-4</v>
      </c>
      <c r="Q183">
        <v>10.76999</v>
      </c>
      <c r="R183">
        <v>0</v>
      </c>
      <c r="S183">
        <v>2.0000000000000001E-4</v>
      </c>
      <c r="T183">
        <v>1.67E-3</v>
      </c>
      <c r="U183">
        <v>9.0900000000000009E-3</v>
      </c>
      <c r="V183">
        <v>15.34179</v>
      </c>
      <c r="W183" t="s">
        <v>14</v>
      </c>
      <c r="X183">
        <v>29.32</v>
      </c>
      <c r="Y183">
        <v>160.22900000000001</v>
      </c>
      <c r="Z183">
        <v>6.5000000000000002E-2</v>
      </c>
      <c r="AA183">
        <v>2.3E-2</v>
      </c>
      <c r="AB183">
        <v>1.4E-2</v>
      </c>
      <c r="AC183">
        <v>1346.249</v>
      </c>
      <c r="AD183">
        <v>0</v>
      </c>
      <c r="AE183">
        <v>1.4E-2</v>
      </c>
      <c r="AF183">
        <v>1.7999999999999999E-2</v>
      </c>
      <c r="AG183">
        <v>0.89500000000000002</v>
      </c>
      <c r="AH183">
        <v>1536.827</v>
      </c>
      <c r="AI183" t="s">
        <v>26</v>
      </c>
      <c r="AJ183">
        <v>290</v>
      </c>
      <c r="AK183">
        <v>85</v>
      </c>
      <c r="AL183">
        <v>52.5</v>
      </c>
      <c r="AM183">
        <v>5</v>
      </c>
      <c r="AN183">
        <v>7.5</v>
      </c>
      <c r="AO183">
        <v>317.5</v>
      </c>
      <c r="AP183">
        <v>0</v>
      </c>
      <c r="AQ183">
        <v>2.5</v>
      </c>
      <c r="AR183">
        <v>2.5</v>
      </c>
      <c r="AS183">
        <v>7.5</v>
      </c>
      <c r="AT183">
        <v>770</v>
      </c>
      <c r="AU183" t="s">
        <v>38</v>
      </c>
    </row>
    <row r="184" spans="1:47" x14ac:dyDescent="0.2">
      <c r="A184">
        <v>270</v>
      </c>
      <c r="B184" t="s">
        <v>924</v>
      </c>
      <c r="C184">
        <v>15</v>
      </c>
      <c r="D184" t="s">
        <v>200</v>
      </c>
      <c r="G184" t="str">
        <f t="shared" si="2"/>
        <v>HLY0403=SBI04SUMMER15BC2</v>
      </c>
      <c r="H184">
        <v>71.415000000000006</v>
      </c>
      <c r="I184">
        <v>-157.44200000000001</v>
      </c>
      <c r="J184" s="3">
        <v>20040723</v>
      </c>
      <c r="K184">
        <v>2004</v>
      </c>
      <c r="L184">
        <v>4.7547800000000002</v>
      </c>
      <c r="M184">
        <v>52.089419999999997</v>
      </c>
      <c r="N184">
        <v>1.37873</v>
      </c>
      <c r="O184">
        <v>24.28668</v>
      </c>
      <c r="P184">
        <v>1.722</v>
      </c>
      <c r="Q184">
        <v>0</v>
      </c>
      <c r="R184">
        <v>0</v>
      </c>
      <c r="S184">
        <v>1.324E-2</v>
      </c>
      <c r="T184">
        <v>0.37348999999999999</v>
      </c>
      <c r="U184">
        <v>4.7252799999999997</v>
      </c>
      <c r="V184">
        <v>89.343620000000001</v>
      </c>
      <c r="W184" t="s">
        <v>10</v>
      </c>
      <c r="X184">
        <v>68.695999999999998</v>
      </c>
      <c r="Y184">
        <v>1856.0139999999999</v>
      </c>
      <c r="Z184">
        <v>18.962</v>
      </c>
      <c r="AA184">
        <v>539.70399999999995</v>
      </c>
      <c r="AB184">
        <v>123</v>
      </c>
      <c r="AC184">
        <v>0</v>
      </c>
      <c r="AD184">
        <v>0</v>
      </c>
      <c r="AE184">
        <v>0.94599999999999995</v>
      </c>
      <c r="AF184">
        <v>4.016</v>
      </c>
      <c r="AG184">
        <v>105.351</v>
      </c>
      <c r="AH184">
        <v>2716.6889999999999</v>
      </c>
      <c r="AI184" t="s">
        <v>22</v>
      </c>
      <c r="AJ184">
        <v>1435</v>
      </c>
      <c r="AK184">
        <v>2592.5</v>
      </c>
      <c r="AL184">
        <v>5287.5</v>
      </c>
      <c r="AM184">
        <v>780</v>
      </c>
      <c r="AN184">
        <v>260</v>
      </c>
      <c r="AO184">
        <v>0</v>
      </c>
      <c r="AP184">
        <v>0</v>
      </c>
      <c r="AQ184">
        <v>12.5</v>
      </c>
      <c r="AR184">
        <v>20</v>
      </c>
      <c r="AS184">
        <v>27.5</v>
      </c>
      <c r="AT184">
        <v>10415</v>
      </c>
      <c r="AU184" t="s">
        <v>35</v>
      </c>
    </row>
    <row r="185" spans="1:47" x14ac:dyDescent="0.2">
      <c r="A185">
        <v>271</v>
      </c>
      <c r="B185" t="s">
        <v>924</v>
      </c>
      <c r="C185">
        <v>17</v>
      </c>
      <c r="D185" t="s">
        <v>226</v>
      </c>
      <c r="G185" t="str">
        <f t="shared" si="2"/>
        <v>HLY0403=SBI04SUMMER17BC3.2</v>
      </c>
      <c r="H185">
        <v>71.673000000000002</v>
      </c>
      <c r="I185">
        <v>-156</v>
      </c>
      <c r="J185" s="3">
        <v>20040724</v>
      </c>
      <c r="K185">
        <v>2004</v>
      </c>
      <c r="L185">
        <v>1.4825900000000001</v>
      </c>
      <c r="M185">
        <v>99.908580000000001</v>
      </c>
      <c r="N185">
        <v>1.33E-3</v>
      </c>
      <c r="O185">
        <v>0</v>
      </c>
      <c r="P185">
        <v>0.44175999999999999</v>
      </c>
      <c r="Q185">
        <v>0</v>
      </c>
      <c r="R185">
        <v>0</v>
      </c>
      <c r="S185">
        <v>0</v>
      </c>
      <c r="T185">
        <v>8.0449999999999994E-2</v>
      </c>
      <c r="U185">
        <v>2.7E-2</v>
      </c>
      <c r="V185">
        <v>101.94171</v>
      </c>
      <c r="W185" t="s">
        <v>10</v>
      </c>
      <c r="X185">
        <v>24.08</v>
      </c>
      <c r="Y185">
        <v>2853.1660000000002</v>
      </c>
      <c r="Z185">
        <v>1.7999999999999999E-2</v>
      </c>
      <c r="AA185">
        <v>0</v>
      </c>
      <c r="AB185">
        <v>31.553999999999998</v>
      </c>
      <c r="AC185">
        <v>0</v>
      </c>
      <c r="AD185">
        <v>0</v>
      </c>
      <c r="AE185">
        <v>0</v>
      </c>
      <c r="AF185">
        <v>0.86499999999999999</v>
      </c>
      <c r="AG185">
        <v>0.86</v>
      </c>
      <c r="AH185">
        <v>2910.5430000000001</v>
      </c>
      <c r="AI185" t="s">
        <v>22</v>
      </c>
      <c r="AJ185">
        <v>1565</v>
      </c>
      <c r="AK185">
        <v>1305</v>
      </c>
      <c r="AL185">
        <v>5</v>
      </c>
      <c r="AM185">
        <v>0</v>
      </c>
      <c r="AN185">
        <v>15</v>
      </c>
      <c r="AO185">
        <v>0</v>
      </c>
      <c r="AP185">
        <v>0</v>
      </c>
      <c r="AQ185">
        <v>0</v>
      </c>
      <c r="AR185">
        <v>15</v>
      </c>
      <c r="AS185">
        <v>15</v>
      </c>
      <c r="AT185">
        <v>2920</v>
      </c>
      <c r="AU185" t="s">
        <v>33</v>
      </c>
    </row>
    <row r="186" spans="1:47" x14ac:dyDescent="0.2">
      <c r="A186">
        <v>272</v>
      </c>
      <c r="B186" t="s">
        <v>924</v>
      </c>
      <c r="C186">
        <v>21</v>
      </c>
      <c r="D186" t="s">
        <v>199</v>
      </c>
      <c r="G186" t="str">
        <f t="shared" si="2"/>
        <v>HLY0403=SBI04SUMMER21BC3</v>
      </c>
      <c r="H186">
        <v>71.578999999999994</v>
      </c>
      <c r="I186">
        <v>-156.018</v>
      </c>
      <c r="J186" s="3">
        <v>20040727</v>
      </c>
      <c r="K186">
        <v>2004</v>
      </c>
      <c r="L186">
        <v>0.63982000000000006</v>
      </c>
      <c r="M186">
        <v>0.99367000000000005</v>
      </c>
      <c r="N186">
        <v>1.6449999999999999E-2</v>
      </c>
      <c r="O186">
        <v>0.11627999999999999</v>
      </c>
      <c r="P186">
        <v>0.13064000000000001</v>
      </c>
      <c r="Q186">
        <v>0</v>
      </c>
      <c r="R186">
        <v>0</v>
      </c>
      <c r="S186">
        <v>4.8000000000000001E-4</v>
      </c>
      <c r="T186">
        <v>1.218E-2</v>
      </c>
      <c r="U186">
        <v>4.3929999999999997E-2</v>
      </c>
      <c r="V186">
        <v>1.9534499999999999</v>
      </c>
      <c r="W186" t="s">
        <v>10</v>
      </c>
      <c r="X186">
        <v>8.6379999999999999</v>
      </c>
      <c r="Y186">
        <v>28.280999999999999</v>
      </c>
      <c r="Z186">
        <v>0.22700000000000001</v>
      </c>
      <c r="AA186">
        <v>2.5840000000000001</v>
      </c>
      <c r="AB186">
        <v>9.3309999999999995</v>
      </c>
      <c r="AC186">
        <v>0</v>
      </c>
      <c r="AD186">
        <v>0</v>
      </c>
      <c r="AE186">
        <v>3.4000000000000002E-2</v>
      </c>
      <c r="AF186">
        <v>0.13100000000000001</v>
      </c>
      <c r="AG186">
        <v>1.3009999999999999</v>
      </c>
      <c r="AH186">
        <v>50.527000000000001</v>
      </c>
      <c r="AI186" t="s">
        <v>22</v>
      </c>
      <c r="AJ186">
        <v>1262.5</v>
      </c>
      <c r="AK186">
        <v>47.5</v>
      </c>
      <c r="AL186">
        <v>60</v>
      </c>
      <c r="AM186">
        <v>72.5</v>
      </c>
      <c r="AN186">
        <v>7.5</v>
      </c>
      <c r="AO186">
        <v>0</v>
      </c>
      <c r="AP186">
        <v>0</v>
      </c>
      <c r="AQ186">
        <v>2.5</v>
      </c>
      <c r="AR186">
        <v>17.5</v>
      </c>
      <c r="AS186">
        <v>22.5</v>
      </c>
      <c r="AT186">
        <v>1492.5</v>
      </c>
      <c r="AU186" t="s">
        <v>33</v>
      </c>
    </row>
    <row r="187" spans="1:47" x14ac:dyDescent="0.2">
      <c r="A187">
        <v>273</v>
      </c>
      <c r="B187" t="s">
        <v>924</v>
      </c>
      <c r="C187">
        <v>22</v>
      </c>
      <c r="D187" t="s">
        <v>194</v>
      </c>
      <c r="G187" t="str">
        <f t="shared" si="2"/>
        <v>HLY0403=SBI04SUMMER22BC4</v>
      </c>
      <c r="H187">
        <v>71.930000000000007</v>
      </c>
      <c r="I187">
        <v>-154.887</v>
      </c>
      <c r="J187" s="3">
        <v>20040805</v>
      </c>
      <c r="K187">
        <v>2004</v>
      </c>
      <c r="L187">
        <v>1.26522</v>
      </c>
      <c r="M187">
        <v>0.11171</v>
      </c>
      <c r="N187">
        <v>0.22478000000000001</v>
      </c>
      <c r="O187">
        <v>3.1099999999999999E-3</v>
      </c>
      <c r="P187">
        <v>6.5299999999999997E-2</v>
      </c>
      <c r="Q187">
        <v>0</v>
      </c>
      <c r="R187">
        <v>0</v>
      </c>
      <c r="S187">
        <v>0</v>
      </c>
      <c r="T187">
        <v>1.004E-2</v>
      </c>
      <c r="U187">
        <v>3.1370000000000002E-2</v>
      </c>
      <c r="V187">
        <v>1.71153</v>
      </c>
      <c r="W187" t="s">
        <v>9</v>
      </c>
      <c r="X187">
        <v>19.690999999999999</v>
      </c>
      <c r="Y187">
        <v>4.7489999999999997</v>
      </c>
      <c r="Z187">
        <v>2.8410000000000002</v>
      </c>
      <c r="AA187">
        <v>6.9000000000000006E-2</v>
      </c>
      <c r="AB187">
        <v>4.6639999999999997</v>
      </c>
      <c r="AC187">
        <v>0</v>
      </c>
      <c r="AD187">
        <v>0</v>
      </c>
      <c r="AE187">
        <v>0</v>
      </c>
      <c r="AF187">
        <v>0.108</v>
      </c>
      <c r="AG187">
        <v>1.258</v>
      </c>
      <c r="AH187">
        <v>33.380000000000003</v>
      </c>
      <c r="AI187" t="s">
        <v>21</v>
      </c>
      <c r="AJ187">
        <v>355</v>
      </c>
      <c r="AK187">
        <v>220</v>
      </c>
      <c r="AL187">
        <v>370</v>
      </c>
      <c r="AM187">
        <v>5</v>
      </c>
      <c r="AN187">
        <v>7.5</v>
      </c>
      <c r="AO187">
        <v>0</v>
      </c>
      <c r="AP187">
        <v>0</v>
      </c>
      <c r="AQ187">
        <v>0</v>
      </c>
      <c r="AR187">
        <v>5</v>
      </c>
      <c r="AS187">
        <v>45</v>
      </c>
      <c r="AT187">
        <v>1007.5</v>
      </c>
      <c r="AU187" t="s">
        <v>35</v>
      </c>
    </row>
    <row r="188" spans="1:47" x14ac:dyDescent="0.2">
      <c r="A188">
        <v>274</v>
      </c>
      <c r="B188" t="s">
        <v>924</v>
      </c>
      <c r="C188">
        <v>23</v>
      </c>
      <c r="D188" t="s">
        <v>195</v>
      </c>
      <c r="G188" t="str">
        <f t="shared" si="2"/>
        <v>HLY0403=SBI04SUMMER23BC5</v>
      </c>
      <c r="H188">
        <v>72</v>
      </c>
      <c r="I188">
        <v>-154.708</v>
      </c>
      <c r="J188" s="3">
        <v>20040727</v>
      </c>
      <c r="K188">
        <v>2004</v>
      </c>
      <c r="L188">
        <v>1.41038</v>
      </c>
      <c r="M188">
        <v>0.48903000000000002</v>
      </c>
      <c r="N188">
        <v>7.4260000000000007E-2</v>
      </c>
      <c r="O188">
        <v>2.2679999999999999E-2</v>
      </c>
      <c r="P188">
        <v>0</v>
      </c>
      <c r="Q188">
        <v>0</v>
      </c>
      <c r="R188">
        <v>0</v>
      </c>
      <c r="S188">
        <v>0</v>
      </c>
      <c r="T188">
        <v>2.5850000000000001E-2</v>
      </c>
      <c r="U188">
        <v>3.2399999999999998E-3</v>
      </c>
      <c r="V188">
        <v>2.0254400000000001</v>
      </c>
      <c r="W188" t="s">
        <v>9</v>
      </c>
      <c r="X188">
        <v>23.186</v>
      </c>
      <c r="Y188">
        <v>17.518999999999998</v>
      </c>
      <c r="Z188">
        <v>0.83299999999999996</v>
      </c>
      <c r="AA188">
        <v>0.504</v>
      </c>
      <c r="AB188">
        <v>0</v>
      </c>
      <c r="AC188">
        <v>0</v>
      </c>
      <c r="AD188">
        <v>0</v>
      </c>
      <c r="AE188">
        <v>0</v>
      </c>
      <c r="AF188">
        <v>0.27800000000000002</v>
      </c>
      <c r="AG188">
        <v>0.151</v>
      </c>
      <c r="AH188">
        <v>42.470999999999997</v>
      </c>
      <c r="AI188" t="s">
        <v>21</v>
      </c>
      <c r="AJ188">
        <v>394.73700000000002</v>
      </c>
      <c r="AK188">
        <v>977.44399999999996</v>
      </c>
      <c r="AL188">
        <v>319.54899999999998</v>
      </c>
      <c r="AM188">
        <v>169.173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37.594000000000001</v>
      </c>
      <c r="AT188">
        <v>1898.4970000000001</v>
      </c>
      <c r="AU188" t="s">
        <v>34</v>
      </c>
    </row>
    <row r="189" spans="1:47" x14ac:dyDescent="0.2">
      <c r="A189">
        <v>275</v>
      </c>
      <c r="B189" t="s">
        <v>924</v>
      </c>
      <c r="C189">
        <v>25</v>
      </c>
      <c r="D189" t="s">
        <v>212</v>
      </c>
      <c r="G189" t="str">
        <f t="shared" si="2"/>
        <v>HLY0403=SBI04SUMMER25EB1</v>
      </c>
      <c r="H189">
        <v>71.296000000000006</v>
      </c>
      <c r="I189">
        <v>-153.55500000000001</v>
      </c>
      <c r="J189" s="3">
        <v>20040814</v>
      </c>
      <c r="K189">
        <v>2004</v>
      </c>
      <c r="L189">
        <v>0.95438000000000001</v>
      </c>
      <c r="M189">
        <v>1.8023800000000001</v>
      </c>
      <c r="N189">
        <v>2.0770400000000002</v>
      </c>
      <c r="O189">
        <v>0.13235</v>
      </c>
      <c r="P189">
        <v>0.23255000000000001</v>
      </c>
      <c r="Q189">
        <v>0</v>
      </c>
      <c r="R189">
        <v>0</v>
      </c>
      <c r="S189">
        <v>0.11631</v>
      </c>
      <c r="T189">
        <v>1.516E-2</v>
      </c>
      <c r="U189">
        <v>4.6039999999999998E-2</v>
      </c>
      <c r="V189">
        <v>5.3762100000000004</v>
      </c>
      <c r="W189" t="s">
        <v>11</v>
      </c>
      <c r="X189">
        <v>14.077999999999999</v>
      </c>
      <c r="Y189">
        <v>112.649</v>
      </c>
      <c r="Z189">
        <v>29.896999999999998</v>
      </c>
      <c r="AA189">
        <v>2.9409999999999998</v>
      </c>
      <c r="AB189">
        <v>16.611000000000001</v>
      </c>
      <c r="AC189">
        <v>0</v>
      </c>
      <c r="AD189">
        <v>0</v>
      </c>
      <c r="AE189">
        <v>8.3079999999999998</v>
      </c>
      <c r="AF189">
        <v>0.16300000000000001</v>
      </c>
      <c r="AG189">
        <v>1.69</v>
      </c>
      <c r="AH189">
        <v>186.33699999999999</v>
      </c>
      <c r="AI189" t="s">
        <v>22</v>
      </c>
      <c r="AJ189">
        <v>287.5</v>
      </c>
      <c r="AK189">
        <v>252.5</v>
      </c>
      <c r="AL189">
        <v>1320</v>
      </c>
      <c r="AM189">
        <v>122.5</v>
      </c>
      <c r="AN189">
        <v>75</v>
      </c>
      <c r="AO189">
        <v>0</v>
      </c>
      <c r="AP189">
        <v>0</v>
      </c>
      <c r="AQ189">
        <v>40</v>
      </c>
      <c r="AR189">
        <v>10</v>
      </c>
      <c r="AS189">
        <v>27.5</v>
      </c>
      <c r="AT189">
        <v>2135</v>
      </c>
      <c r="AU189" t="s">
        <v>35</v>
      </c>
    </row>
    <row r="190" spans="1:47" x14ac:dyDescent="0.2">
      <c r="A190">
        <v>276</v>
      </c>
      <c r="B190" t="s">
        <v>924</v>
      </c>
      <c r="C190">
        <v>26</v>
      </c>
      <c r="D190" t="s">
        <v>211</v>
      </c>
      <c r="G190" t="str">
        <f t="shared" si="2"/>
        <v>HLY0403=SBI04SUMMER26EB2</v>
      </c>
      <c r="H190">
        <v>71.442999999999998</v>
      </c>
      <c r="I190">
        <v>-152.50800000000001</v>
      </c>
      <c r="J190" s="3">
        <v>20040816</v>
      </c>
      <c r="K190">
        <v>2004</v>
      </c>
      <c r="L190">
        <v>1.7914099999999999</v>
      </c>
      <c r="M190">
        <v>0.95284000000000002</v>
      </c>
      <c r="N190">
        <v>0.24251</v>
      </c>
      <c r="O190">
        <v>9.5802800000000001</v>
      </c>
      <c r="P190">
        <v>0.55517000000000005</v>
      </c>
      <c r="Q190">
        <v>0</v>
      </c>
      <c r="R190">
        <v>4.6559999999999997E-2</v>
      </c>
      <c r="S190">
        <v>0</v>
      </c>
      <c r="T190">
        <v>3.3500000000000001E-3</v>
      </c>
      <c r="U190">
        <v>6.1400000000000003E-2</v>
      </c>
      <c r="V190">
        <v>13.23352</v>
      </c>
      <c r="W190" t="s">
        <v>12</v>
      </c>
      <c r="X190">
        <v>26.74</v>
      </c>
      <c r="Y190">
        <v>59.613999999999997</v>
      </c>
      <c r="Z190">
        <v>3.28</v>
      </c>
      <c r="AA190">
        <v>212.89500000000001</v>
      </c>
      <c r="AB190">
        <v>39.655000000000001</v>
      </c>
      <c r="AC190">
        <v>0</v>
      </c>
      <c r="AD190">
        <v>1.1639999999999999</v>
      </c>
      <c r="AE190">
        <v>0</v>
      </c>
      <c r="AF190">
        <v>3.5999999999999997E-2</v>
      </c>
      <c r="AG190">
        <v>2.7530000000000001</v>
      </c>
      <c r="AH190">
        <v>346.137</v>
      </c>
      <c r="AI190" t="s">
        <v>24</v>
      </c>
      <c r="AJ190">
        <v>405</v>
      </c>
      <c r="AK190">
        <v>255</v>
      </c>
      <c r="AL190">
        <v>870</v>
      </c>
      <c r="AM190">
        <v>35</v>
      </c>
      <c r="AN190">
        <v>255</v>
      </c>
      <c r="AO190">
        <v>0</v>
      </c>
      <c r="AP190">
        <v>10</v>
      </c>
      <c r="AQ190">
        <v>0</v>
      </c>
      <c r="AR190">
        <v>2.5</v>
      </c>
      <c r="AS190">
        <v>47.5</v>
      </c>
      <c r="AT190">
        <v>1880</v>
      </c>
      <c r="AU190" t="s">
        <v>35</v>
      </c>
    </row>
    <row r="191" spans="1:47" x14ac:dyDescent="0.2">
      <c r="A191">
        <v>277</v>
      </c>
      <c r="B191" t="s">
        <v>924</v>
      </c>
      <c r="C191">
        <v>29</v>
      </c>
      <c r="D191" t="s">
        <v>210</v>
      </c>
      <c r="G191" t="str">
        <f t="shared" si="2"/>
        <v>HLY0403=SBI04SUMMER29EB3</v>
      </c>
      <c r="H191">
        <v>71.591999999999999</v>
      </c>
      <c r="I191">
        <v>-152.44800000000001</v>
      </c>
      <c r="J191" s="3">
        <v>20040820</v>
      </c>
      <c r="K191">
        <v>2004</v>
      </c>
      <c r="L191">
        <v>6.6105299999999998</v>
      </c>
      <c r="M191">
        <v>0.94962999999999997</v>
      </c>
      <c r="N191">
        <v>11.75346</v>
      </c>
      <c r="O191">
        <v>0.34871000000000002</v>
      </c>
      <c r="P191">
        <v>0.94708999999999999</v>
      </c>
      <c r="Q191">
        <v>0</v>
      </c>
      <c r="R191">
        <v>1.4E-2</v>
      </c>
      <c r="S191">
        <v>3.0699999999999998E-3</v>
      </c>
      <c r="T191">
        <v>0.22534000000000001</v>
      </c>
      <c r="U191">
        <v>3.4950000000000002E-2</v>
      </c>
      <c r="V191">
        <v>20.886780000000002</v>
      </c>
      <c r="W191" t="s">
        <v>11</v>
      </c>
      <c r="X191">
        <v>95.405000000000001</v>
      </c>
      <c r="Y191">
        <v>28.315000000000001</v>
      </c>
      <c r="Z191">
        <v>172.34800000000001</v>
      </c>
      <c r="AA191">
        <v>7.7489999999999997</v>
      </c>
      <c r="AB191">
        <v>67.649000000000001</v>
      </c>
      <c r="AC191">
        <v>0</v>
      </c>
      <c r="AD191">
        <v>0.35</v>
      </c>
      <c r="AE191">
        <v>0.219</v>
      </c>
      <c r="AF191">
        <v>2.423</v>
      </c>
      <c r="AG191">
        <v>1.0589999999999999</v>
      </c>
      <c r="AH191">
        <v>375.517</v>
      </c>
      <c r="AI191" t="s">
        <v>23</v>
      </c>
      <c r="AJ191">
        <v>1662.5</v>
      </c>
      <c r="AK191">
        <v>322.5</v>
      </c>
      <c r="AL191">
        <v>16845</v>
      </c>
      <c r="AM191">
        <v>120</v>
      </c>
      <c r="AN191">
        <v>125</v>
      </c>
      <c r="AO191">
        <v>0</v>
      </c>
      <c r="AP191">
        <v>7.5</v>
      </c>
      <c r="AQ191">
        <v>2.5</v>
      </c>
      <c r="AR191">
        <v>22.5</v>
      </c>
      <c r="AS191">
        <v>27.5</v>
      </c>
      <c r="AT191">
        <v>19135</v>
      </c>
      <c r="AU191" t="s">
        <v>35</v>
      </c>
    </row>
    <row r="192" spans="1:47" x14ac:dyDescent="0.2">
      <c r="A192">
        <v>278</v>
      </c>
      <c r="B192" t="s">
        <v>924</v>
      </c>
      <c r="C192">
        <v>33</v>
      </c>
      <c r="D192" t="s">
        <v>208</v>
      </c>
      <c r="G192" t="str">
        <f t="shared" si="2"/>
        <v>HLY0403=SBI04SUMMER33EB5</v>
      </c>
      <c r="H192">
        <v>71.635999999999996</v>
      </c>
      <c r="I192">
        <v>-152.21199999999999</v>
      </c>
      <c r="J192" s="3">
        <v>20040805</v>
      </c>
      <c r="K192">
        <v>2004</v>
      </c>
      <c r="L192">
        <v>1.73106</v>
      </c>
      <c r="M192">
        <v>0.19606000000000001</v>
      </c>
      <c r="N192">
        <v>0.15190000000000001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3.8870000000000002E-2</v>
      </c>
      <c r="V192">
        <v>2.1178900000000001</v>
      </c>
      <c r="W192" t="s">
        <v>9</v>
      </c>
      <c r="X192">
        <v>24.859000000000002</v>
      </c>
      <c r="Y192">
        <v>5.9749999999999996</v>
      </c>
      <c r="Z192">
        <v>2.0529999999999999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0.627</v>
      </c>
      <c r="AH192">
        <v>33.514000000000003</v>
      </c>
      <c r="AI192" t="s">
        <v>21</v>
      </c>
      <c r="AJ192">
        <v>375.94099999999997</v>
      </c>
      <c r="AK192">
        <v>551.37900000000002</v>
      </c>
      <c r="AL192">
        <v>626.56700000000001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250.62700000000001</v>
      </c>
      <c r="AT192">
        <v>1804.5139999999999</v>
      </c>
      <c r="AU192" t="s">
        <v>35</v>
      </c>
    </row>
    <row r="193" spans="1:47" x14ac:dyDescent="0.2">
      <c r="A193">
        <v>279</v>
      </c>
      <c r="B193" t="s">
        <v>924</v>
      </c>
      <c r="C193">
        <v>34</v>
      </c>
      <c r="D193" t="s">
        <v>209</v>
      </c>
      <c r="G193" t="str">
        <f t="shared" si="2"/>
        <v>HLY0403=SBI04SUMMER34EB4</v>
      </c>
      <c r="H193">
        <v>71.641999999999996</v>
      </c>
      <c r="I193">
        <v>-152.31</v>
      </c>
      <c r="J193" s="3">
        <v>20040806</v>
      </c>
      <c r="K193">
        <v>2004</v>
      </c>
      <c r="L193">
        <v>7.0361200000000004</v>
      </c>
      <c r="M193">
        <v>2.2397800000000001</v>
      </c>
      <c r="N193">
        <v>0.11836000000000001</v>
      </c>
      <c r="O193">
        <v>0</v>
      </c>
      <c r="P193">
        <v>0.16447000000000001</v>
      </c>
      <c r="Q193">
        <v>0</v>
      </c>
      <c r="R193">
        <v>0</v>
      </c>
      <c r="S193">
        <v>0</v>
      </c>
      <c r="T193">
        <v>0.41421999999999998</v>
      </c>
      <c r="U193">
        <v>8.4010000000000001E-2</v>
      </c>
      <c r="V193">
        <v>10.05696</v>
      </c>
      <c r="W193" t="s">
        <v>9</v>
      </c>
      <c r="X193">
        <v>100.48399999999999</v>
      </c>
      <c r="Y193">
        <v>69.271000000000001</v>
      </c>
      <c r="Z193">
        <v>1.647</v>
      </c>
      <c r="AA193">
        <v>0</v>
      </c>
      <c r="AB193">
        <v>11.747999999999999</v>
      </c>
      <c r="AC193">
        <v>0</v>
      </c>
      <c r="AD193">
        <v>0</v>
      </c>
      <c r="AE193">
        <v>0</v>
      </c>
      <c r="AF193">
        <v>4.4539999999999997</v>
      </c>
      <c r="AG193">
        <v>3.3090000000000002</v>
      </c>
      <c r="AH193">
        <v>190.91300000000001</v>
      </c>
      <c r="AI193" t="s">
        <v>21</v>
      </c>
      <c r="AJ193">
        <v>2477.5</v>
      </c>
      <c r="AK193">
        <v>90</v>
      </c>
      <c r="AL193">
        <v>350</v>
      </c>
      <c r="AM193">
        <v>0</v>
      </c>
      <c r="AN193">
        <v>20</v>
      </c>
      <c r="AO193">
        <v>0</v>
      </c>
      <c r="AP193">
        <v>0</v>
      </c>
      <c r="AQ193">
        <v>0</v>
      </c>
      <c r="AR193">
        <v>10</v>
      </c>
      <c r="AS193">
        <v>47.5</v>
      </c>
      <c r="AT193">
        <v>2995</v>
      </c>
      <c r="AU193" t="s">
        <v>33</v>
      </c>
    </row>
    <row r="194" spans="1:47" x14ac:dyDescent="0.2">
      <c r="A194">
        <v>280</v>
      </c>
      <c r="B194" t="s">
        <v>924</v>
      </c>
      <c r="C194">
        <v>35</v>
      </c>
      <c r="D194" t="s">
        <v>196</v>
      </c>
      <c r="G194" t="str">
        <f t="shared" si="2"/>
        <v>HLY0403=SBI04SUMMER35BC6</v>
      </c>
      <c r="H194">
        <v>72.233000000000004</v>
      </c>
      <c r="I194">
        <v>-154.03700000000001</v>
      </c>
      <c r="J194" s="3">
        <v>20040808</v>
      </c>
      <c r="K194">
        <v>2004</v>
      </c>
      <c r="L194">
        <v>1.4670000000000001E-2</v>
      </c>
      <c r="M194">
        <v>0.14957999999999999</v>
      </c>
      <c r="N194">
        <v>0.13216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0.29641000000000001</v>
      </c>
      <c r="W194" t="s">
        <v>10</v>
      </c>
      <c r="X194">
        <v>0.21</v>
      </c>
      <c r="Y194">
        <v>5.3419999999999996</v>
      </c>
      <c r="Z194">
        <v>1.786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7.3380000000000001</v>
      </c>
      <c r="AI194" t="s">
        <v>22</v>
      </c>
      <c r="AJ194">
        <v>0</v>
      </c>
      <c r="AK194">
        <v>225.56399999999999</v>
      </c>
      <c r="AL194">
        <v>75.188000000000002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300.75200000000001</v>
      </c>
      <c r="AU194" t="s">
        <v>34</v>
      </c>
    </row>
    <row r="195" spans="1:47" x14ac:dyDescent="0.2">
      <c r="A195">
        <v>281</v>
      </c>
      <c r="B195" t="s">
        <v>924</v>
      </c>
      <c r="C195">
        <v>38</v>
      </c>
      <c r="D195" t="s">
        <v>190</v>
      </c>
      <c r="G195" t="str">
        <f t="shared" ref="G195:G258" si="3">CONCATENATE(B195,C195,D195)</f>
        <v>HLY0403=SBI04SUMMER38EHS1</v>
      </c>
      <c r="H195">
        <v>72.171000000000006</v>
      </c>
      <c r="I195">
        <v>-159.07</v>
      </c>
      <c r="J195" s="3">
        <v>20040810</v>
      </c>
      <c r="K195">
        <v>2004</v>
      </c>
      <c r="L195">
        <v>1.01875</v>
      </c>
      <c r="M195">
        <v>2.1475900000000001</v>
      </c>
      <c r="N195">
        <v>0.82562000000000002</v>
      </c>
      <c r="O195">
        <v>9.0000000000000006E-5</v>
      </c>
      <c r="P195">
        <v>0.12304</v>
      </c>
      <c r="Q195">
        <v>0</v>
      </c>
      <c r="R195">
        <v>0</v>
      </c>
      <c r="S195">
        <v>9.7780000000000006E-2</v>
      </c>
      <c r="T195">
        <v>5.3659999999999999E-2</v>
      </c>
      <c r="U195">
        <v>3.8510000000000003E-2</v>
      </c>
      <c r="V195">
        <v>4.30504</v>
      </c>
      <c r="W195" t="s">
        <v>10</v>
      </c>
      <c r="X195">
        <v>14.282999999999999</v>
      </c>
      <c r="Y195">
        <v>81.197000000000003</v>
      </c>
      <c r="Z195">
        <v>12.111000000000001</v>
      </c>
      <c r="AA195">
        <v>2E-3</v>
      </c>
      <c r="AB195">
        <v>8.7889999999999997</v>
      </c>
      <c r="AC195">
        <v>0</v>
      </c>
      <c r="AD195">
        <v>0</v>
      </c>
      <c r="AE195">
        <v>6.984</v>
      </c>
      <c r="AF195">
        <v>0.57699999999999996</v>
      </c>
      <c r="AG195">
        <v>1.718</v>
      </c>
      <c r="AH195">
        <v>125.661</v>
      </c>
      <c r="AI195" t="s">
        <v>22</v>
      </c>
      <c r="AJ195">
        <v>217.5</v>
      </c>
      <c r="AK195">
        <v>635</v>
      </c>
      <c r="AL195">
        <v>267.5</v>
      </c>
      <c r="AM195">
        <v>2.5</v>
      </c>
      <c r="AN195">
        <v>10</v>
      </c>
      <c r="AO195">
        <v>0</v>
      </c>
      <c r="AP195">
        <v>0</v>
      </c>
      <c r="AQ195">
        <v>12.5</v>
      </c>
      <c r="AR195">
        <v>2.5</v>
      </c>
      <c r="AS195">
        <v>65</v>
      </c>
      <c r="AT195">
        <v>1212.5</v>
      </c>
      <c r="AU195" t="s">
        <v>34</v>
      </c>
    </row>
    <row r="196" spans="1:47" x14ac:dyDescent="0.2">
      <c r="A196">
        <v>282</v>
      </c>
      <c r="B196" t="s">
        <v>924</v>
      </c>
      <c r="C196">
        <v>42</v>
      </c>
      <c r="D196" t="s">
        <v>188</v>
      </c>
      <c r="G196" t="str">
        <f t="shared" si="3"/>
        <v>HLY0403=SBI04SUMMER42EHS4</v>
      </c>
      <c r="H196">
        <v>72.628</v>
      </c>
      <c r="I196">
        <v>-158.726</v>
      </c>
      <c r="J196" s="3">
        <v>20040811</v>
      </c>
      <c r="K196">
        <v>2004</v>
      </c>
      <c r="L196">
        <v>1.6830000000000001</v>
      </c>
      <c r="M196">
        <v>1.35192</v>
      </c>
      <c r="N196">
        <v>0.36885000000000001</v>
      </c>
      <c r="O196">
        <v>9.5939999999999998E-2</v>
      </c>
      <c r="P196">
        <v>0.28861999999999999</v>
      </c>
      <c r="Q196">
        <v>0</v>
      </c>
      <c r="R196">
        <v>4.6399999999999997E-2</v>
      </c>
      <c r="S196">
        <v>1.16E-3</v>
      </c>
      <c r="T196">
        <v>9.4900000000000002E-3</v>
      </c>
      <c r="U196">
        <v>6.6489999999999994E-2</v>
      </c>
      <c r="V196">
        <v>3.91187</v>
      </c>
      <c r="W196" t="s">
        <v>9</v>
      </c>
      <c r="X196">
        <v>24.654</v>
      </c>
      <c r="Y196">
        <v>56.709000000000003</v>
      </c>
      <c r="Z196">
        <v>4.9020000000000001</v>
      </c>
      <c r="AA196">
        <v>2.1320000000000001</v>
      </c>
      <c r="AB196">
        <v>20.616</v>
      </c>
      <c r="AC196">
        <v>0</v>
      </c>
      <c r="AD196">
        <v>1.1599999999999999</v>
      </c>
      <c r="AE196">
        <v>8.3000000000000004E-2</v>
      </c>
      <c r="AF196">
        <v>0.10199999999999999</v>
      </c>
      <c r="AG196">
        <v>2.0019999999999998</v>
      </c>
      <c r="AH196">
        <v>112.36</v>
      </c>
      <c r="AI196" t="s">
        <v>22</v>
      </c>
      <c r="AJ196">
        <v>340</v>
      </c>
      <c r="AK196">
        <v>740</v>
      </c>
      <c r="AL196">
        <v>875</v>
      </c>
      <c r="AM196">
        <v>222.5</v>
      </c>
      <c r="AN196">
        <v>110</v>
      </c>
      <c r="AO196">
        <v>0</v>
      </c>
      <c r="AP196">
        <v>15</v>
      </c>
      <c r="AQ196">
        <v>2.5</v>
      </c>
      <c r="AR196">
        <v>5</v>
      </c>
      <c r="AS196">
        <v>62.5</v>
      </c>
      <c r="AT196">
        <v>2372.5</v>
      </c>
      <c r="AU196" t="s">
        <v>35</v>
      </c>
    </row>
    <row r="197" spans="1:47" x14ac:dyDescent="0.2">
      <c r="A197">
        <v>283</v>
      </c>
      <c r="B197" t="s">
        <v>924</v>
      </c>
      <c r="C197">
        <v>44</v>
      </c>
      <c r="D197" t="s">
        <v>187</v>
      </c>
      <c r="G197" t="str">
        <f t="shared" si="3"/>
        <v>HLY0403=SBI04SUMMER44EHS5</v>
      </c>
      <c r="H197">
        <v>72.686999999999998</v>
      </c>
      <c r="I197">
        <v>-158.446</v>
      </c>
      <c r="J197" s="3">
        <v>20040812</v>
      </c>
      <c r="K197">
        <v>2004</v>
      </c>
      <c r="L197">
        <v>1.91726</v>
      </c>
      <c r="M197">
        <v>0.15342</v>
      </c>
      <c r="N197">
        <v>9.3590000000000007E-2</v>
      </c>
      <c r="O197">
        <v>2.0740000000000001E-2</v>
      </c>
      <c r="P197">
        <v>1.1E-4</v>
      </c>
      <c r="Q197">
        <v>0</v>
      </c>
      <c r="R197">
        <v>0.14341000000000001</v>
      </c>
      <c r="S197">
        <v>0</v>
      </c>
      <c r="T197">
        <v>0.12656999999999999</v>
      </c>
      <c r="U197">
        <v>2.299E-2</v>
      </c>
      <c r="V197">
        <v>2.4780899999999999</v>
      </c>
      <c r="W197" t="s">
        <v>9</v>
      </c>
      <c r="X197">
        <v>27.869</v>
      </c>
      <c r="Y197">
        <v>5.7249999999999996</v>
      </c>
      <c r="Z197">
        <v>1.266</v>
      </c>
      <c r="AA197">
        <v>0.46100000000000002</v>
      </c>
      <c r="AB197">
        <v>8.0000000000000002E-3</v>
      </c>
      <c r="AC197">
        <v>0</v>
      </c>
      <c r="AD197">
        <v>3.0110000000000001</v>
      </c>
      <c r="AE197">
        <v>0</v>
      </c>
      <c r="AF197">
        <v>1.361</v>
      </c>
      <c r="AG197">
        <v>0.83</v>
      </c>
      <c r="AH197">
        <v>40.530999999999999</v>
      </c>
      <c r="AI197" t="s">
        <v>21</v>
      </c>
      <c r="AJ197">
        <v>910</v>
      </c>
      <c r="AK197">
        <v>482.5</v>
      </c>
      <c r="AL197">
        <v>460</v>
      </c>
      <c r="AM197">
        <v>70</v>
      </c>
      <c r="AN197">
        <v>2.5</v>
      </c>
      <c r="AO197">
        <v>0</v>
      </c>
      <c r="AP197">
        <v>12.5</v>
      </c>
      <c r="AQ197">
        <v>0</v>
      </c>
      <c r="AR197">
        <v>5</v>
      </c>
      <c r="AS197">
        <v>35</v>
      </c>
      <c r="AT197">
        <v>1977.5</v>
      </c>
      <c r="AU197" t="s">
        <v>33</v>
      </c>
    </row>
    <row r="198" spans="1:47" x14ac:dyDescent="0.2">
      <c r="A198">
        <v>284</v>
      </c>
      <c r="B198" t="s">
        <v>924</v>
      </c>
      <c r="C198">
        <v>47</v>
      </c>
      <c r="D198" t="s">
        <v>186</v>
      </c>
      <c r="G198" t="str">
        <f t="shared" si="3"/>
        <v>HLY0403=SBI04SUMMER47EHS6</v>
      </c>
      <c r="H198">
        <v>72.837999999999994</v>
      </c>
      <c r="I198">
        <v>-158.28299999999999</v>
      </c>
      <c r="J198" s="3">
        <v>20040813</v>
      </c>
      <c r="K198">
        <v>2004</v>
      </c>
      <c r="L198">
        <v>0.40988999999999998</v>
      </c>
      <c r="M198">
        <v>0.12106</v>
      </c>
      <c r="N198">
        <v>6.071E-2</v>
      </c>
      <c r="O198">
        <v>2.7E-2</v>
      </c>
      <c r="P198">
        <v>1.8000000000000001E-4</v>
      </c>
      <c r="Q198">
        <v>0</v>
      </c>
      <c r="R198">
        <v>0</v>
      </c>
      <c r="S198">
        <v>0</v>
      </c>
      <c r="T198">
        <v>0</v>
      </c>
      <c r="U198">
        <v>7.6689999999999994E-2</v>
      </c>
      <c r="V198">
        <v>0.69552999999999998</v>
      </c>
      <c r="W198" t="s">
        <v>9</v>
      </c>
      <c r="X198">
        <v>5.9039999999999999</v>
      </c>
      <c r="Y198">
        <v>4.3239999999999998</v>
      </c>
      <c r="Z198">
        <v>0.81499999999999995</v>
      </c>
      <c r="AA198">
        <v>0.6</v>
      </c>
      <c r="AB198">
        <v>1.2999999999999999E-2</v>
      </c>
      <c r="AC198">
        <v>0</v>
      </c>
      <c r="AD198">
        <v>0</v>
      </c>
      <c r="AE198">
        <v>0</v>
      </c>
      <c r="AF198">
        <v>0</v>
      </c>
      <c r="AG198">
        <v>2.0089999999999999</v>
      </c>
      <c r="AH198">
        <v>13.664999999999999</v>
      </c>
      <c r="AI198" t="s">
        <v>21</v>
      </c>
      <c r="AJ198">
        <v>239.99799999999999</v>
      </c>
      <c r="AK198">
        <v>1066.6669999999999</v>
      </c>
      <c r="AL198">
        <v>370</v>
      </c>
      <c r="AM198">
        <v>53.332999999999998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60</v>
      </c>
      <c r="AT198">
        <v>1789.998</v>
      </c>
      <c r="AU198" t="s">
        <v>34</v>
      </c>
    </row>
    <row r="199" spans="1:47" x14ac:dyDescent="0.2">
      <c r="A199">
        <v>285</v>
      </c>
      <c r="B199" t="s">
        <v>924</v>
      </c>
      <c r="C199">
        <v>48</v>
      </c>
      <c r="D199" t="s">
        <v>185</v>
      </c>
      <c r="G199" t="str">
        <f t="shared" si="3"/>
        <v>HLY0403=SBI04SUMMER48EHS7</v>
      </c>
      <c r="H199">
        <v>72.864000000000004</v>
      </c>
      <c r="I199">
        <v>-158.31399999999999</v>
      </c>
      <c r="J199" s="3">
        <v>20040814</v>
      </c>
      <c r="K199">
        <v>2004</v>
      </c>
      <c r="L199">
        <v>7.6179999999999998E-2</v>
      </c>
      <c r="M199">
        <v>0.25494</v>
      </c>
      <c r="N199">
        <v>3.0300000000000001E-3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0.33415</v>
      </c>
      <c r="W199" t="s">
        <v>10</v>
      </c>
      <c r="X199">
        <v>0.82399999999999995</v>
      </c>
      <c r="Y199">
        <v>9.1050000000000004</v>
      </c>
      <c r="Z199">
        <v>4.1000000000000002E-2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9.9700000000000006</v>
      </c>
      <c r="AI199" t="s">
        <v>22</v>
      </c>
      <c r="AJ199">
        <v>75.188000000000002</v>
      </c>
      <c r="AK199">
        <v>2894.7370000000001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2969.9250000000002</v>
      </c>
      <c r="AU199" t="s">
        <v>34</v>
      </c>
    </row>
    <row r="200" spans="1:47" x14ac:dyDescent="0.2">
      <c r="A200">
        <v>286</v>
      </c>
      <c r="B200" t="s">
        <v>924</v>
      </c>
      <c r="C200">
        <v>49</v>
      </c>
      <c r="D200" t="s">
        <v>184</v>
      </c>
      <c r="G200" t="str">
        <f t="shared" si="3"/>
        <v>HLY0403=SBI04SUMMER49EHS9</v>
      </c>
      <c r="H200">
        <v>73.040000000000006</v>
      </c>
      <c r="I200">
        <v>-157.935</v>
      </c>
      <c r="J200" s="3">
        <v>20040816</v>
      </c>
      <c r="K200">
        <v>2004</v>
      </c>
      <c r="L200">
        <v>7.7999999999999996E-3</v>
      </c>
      <c r="M200">
        <v>4.1270000000000001E-2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4.9070000000000003E-2</v>
      </c>
      <c r="W200" t="s">
        <v>10</v>
      </c>
      <c r="X200">
        <v>0.113</v>
      </c>
      <c r="Y200">
        <v>1.474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1.587</v>
      </c>
      <c r="AI200" t="s">
        <v>22</v>
      </c>
      <c r="AJ200">
        <v>75.188000000000002</v>
      </c>
      <c r="AK200">
        <v>225.56399999999999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300.75200000000001</v>
      </c>
      <c r="AU200" t="s">
        <v>34</v>
      </c>
    </row>
    <row r="201" spans="1:47" x14ac:dyDescent="0.2">
      <c r="A201">
        <v>287</v>
      </c>
      <c r="B201" t="s">
        <v>924</v>
      </c>
      <c r="C201">
        <v>54</v>
      </c>
      <c r="D201" t="s">
        <v>181</v>
      </c>
      <c r="G201" t="str">
        <f t="shared" si="3"/>
        <v>HLY0403=SBI04SUMMER54WHS6</v>
      </c>
      <c r="H201">
        <v>73.494</v>
      </c>
      <c r="I201">
        <v>-159.751</v>
      </c>
      <c r="J201" s="3">
        <v>20040820</v>
      </c>
      <c r="K201">
        <v>2004</v>
      </c>
      <c r="L201">
        <v>0</v>
      </c>
      <c r="M201">
        <v>3.6000000000000002E-4</v>
      </c>
      <c r="N201">
        <v>6.3119999999999996E-2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6.3479999999999995E-2</v>
      </c>
      <c r="W201" t="s">
        <v>11</v>
      </c>
      <c r="X201">
        <v>0</v>
      </c>
      <c r="Y201">
        <v>1.9E-2</v>
      </c>
      <c r="Z201">
        <v>0.85299999999999998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0.872</v>
      </c>
      <c r="AI201" t="s">
        <v>23</v>
      </c>
      <c r="AJ201">
        <v>0</v>
      </c>
      <c r="AK201">
        <v>37.594000000000001</v>
      </c>
      <c r="AL201">
        <v>37.594000000000001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75.188000000000002</v>
      </c>
      <c r="AU201" t="s">
        <v>34</v>
      </c>
    </row>
    <row r="202" spans="1:47" x14ac:dyDescent="0.2">
      <c r="A202">
        <v>288</v>
      </c>
      <c r="B202" t="s">
        <v>924</v>
      </c>
      <c r="C202">
        <v>55</v>
      </c>
      <c r="D202" t="s">
        <v>205</v>
      </c>
      <c r="G202" t="str">
        <f t="shared" si="3"/>
        <v>HLY0403=SBI04SUMMER55WHS5</v>
      </c>
      <c r="H202">
        <v>73.278999999999996</v>
      </c>
      <c r="I202">
        <v>-160.10400000000001</v>
      </c>
      <c r="J202" s="3">
        <v>20040821</v>
      </c>
      <c r="K202">
        <v>2004</v>
      </c>
      <c r="L202">
        <v>0</v>
      </c>
      <c r="M202">
        <v>5.611E-2</v>
      </c>
      <c r="N202">
        <v>0</v>
      </c>
      <c r="O202">
        <v>1.9800000000000002E-2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7.5910000000000005E-2</v>
      </c>
      <c r="W202" t="s">
        <v>10</v>
      </c>
      <c r="X202">
        <v>0</v>
      </c>
      <c r="Y202">
        <v>2.004</v>
      </c>
      <c r="Z202">
        <v>0</v>
      </c>
      <c r="AA202">
        <v>0.44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2.444</v>
      </c>
      <c r="AI202" t="s">
        <v>22</v>
      </c>
      <c r="AJ202">
        <v>0</v>
      </c>
      <c r="AK202">
        <v>75.188000000000002</v>
      </c>
      <c r="AL202">
        <v>0</v>
      </c>
      <c r="AM202">
        <v>37.594000000000001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112.782</v>
      </c>
      <c r="AU202" t="s">
        <v>34</v>
      </c>
    </row>
    <row r="203" spans="1:47" x14ac:dyDescent="0.2">
      <c r="A203">
        <v>289</v>
      </c>
      <c r="B203" t="s">
        <v>924</v>
      </c>
      <c r="C203">
        <v>56</v>
      </c>
      <c r="D203" t="s">
        <v>204</v>
      </c>
      <c r="G203" t="str">
        <f t="shared" si="3"/>
        <v>HLY0403=SBI04SUMMER56WHS4</v>
      </c>
      <c r="H203">
        <v>73.248000000000005</v>
      </c>
      <c r="I203">
        <v>-160.31700000000001</v>
      </c>
      <c r="J203" s="3">
        <v>20040822</v>
      </c>
      <c r="K203">
        <v>2004</v>
      </c>
      <c r="L203">
        <v>0.34644999999999998</v>
      </c>
      <c r="M203">
        <v>1.1E-4</v>
      </c>
      <c r="N203">
        <v>3.2770000000000001E-2</v>
      </c>
      <c r="O203">
        <v>2.5739999999999999E-2</v>
      </c>
      <c r="P203">
        <v>0</v>
      </c>
      <c r="Q203">
        <v>0</v>
      </c>
      <c r="R203">
        <v>3.5599999999999998E-3</v>
      </c>
      <c r="S203">
        <v>0</v>
      </c>
      <c r="T203">
        <v>0</v>
      </c>
      <c r="U203">
        <v>6.0000000000000002E-5</v>
      </c>
      <c r="V203">
        <v>0.40869</v>
      </c>
      <c r="W203" t="s">
        <v>9</v>
      </c>
      <c r="X203">
        <v>5.0140000000000002</v>
      </c>
      <c r="Y203">
        <v>6.0000000000000001E-3</v>
      </c>
      <c r="Z203">
        <v>0.441</v>
      </c>
      <c r="AA203">
        <v>0.57199999999999995</v>
      </c>
      <c r="AB203">
        <v>0</v>
      </c>
      <c r="AC203">
        <v>0</v>
      </c>
      <c r="AD203">
        <v>8.8999999999999996E-2</v>
      </c>
      <c r="AE203">
        <v>0</v>
      </c>
      <c r="AF203">
        <v>0</v>
      </c>
      <c r="AG203">
        <v>2E-3</v>
      </c>
      <c r="AH203">
        <v>6.1239999999999997</v>
      </c>
      <c r="AI203" t="s">
        <v>21</v>
      </c>
      <c r="AJ203">
        <v>32.5</v>
      </c>
      <c r="AK203">
        <v>17.5</v>
      </c>
      <c r="AL203">
        <v>285</v>
      </c>
      <c r="AM203">
        <v>5</v>
      </c>
      <c r="AN203">
        <v>0</v>
      </c>
      <c r="AO203">
        <v>0</v>
      </c>
      <c r="AP203">
        <v>5</v>
      </c>
      <c r="AQ203">
        <v>0</v>
      </c>
      <c r="AR203">
        <v>0</v>
      </c>
      <c r="AS203">
        <v>2.5</v>
      </c>
      <c r="AT203">
        <v>347.5</v>
      </c>
      <c r="AU203" t="s">
        <v>35</v>
      </c>
    </row>
    <row r="204" spans="1:47" x14ac:dyDescent="0.2">
      <c r="A204">
        <v>290</v>
      </c>
      <c r="B204" t="s">
        <v>924</v>
      </c>
      <c r="C204">
        <v>58</v>
      </c>
      <c r="D204" t="s">
        <v>203</v>
      </c>
      <c r="G204" t="str">
        <f t="shared" si="3"/>
        <v>HLY0403=SBI04SUMMER58WHS3</v>
      </c>
      <c r="H204">
        <v>73.100999999999999</v>
      </c>
      <c r="I204">
        <v>-160.505</v>
      </c>
      <c r="J204" s="3">
        <v>20040823</v>
      </c>
      <c r="K204">
        <v>2004</v>
      </c>
      <c r="L204">
        <v>2.4818199999999999</v>
      </c>
      <c r="M204">
        <v>7.5100000000000002E-3</v>
      </c>
      <c r="N204">
        <v>0.16153000000000001</v>
      </c>
      <c r="O204">
        <v>0</v>
      </c>
      <c r="P204">
        <v>0</v>
      </c>
      <c r="Q204">
        <v>0</v>
      </c>
      <c r="R204">
        <v>0.38358999999999999</v>
      </c>
      <c r="S204">
        <v>0</v>
      </c>
      <c r="T204">
        <v>3.4040000000000001E-2</v>
      </c>
      <c r="U204">
        <v>1.728E-2</v>
      </c>
      <c r="V204">
        <v>3.0857700000000001</v>
      </c>
      <c r="W204" t="s">
        <v>9</v>
      </c>
      <c r="X204">
        <v>35.375999999999998</v>
      </c>
      <c r="Y204">
        <v>0.33600000000000002</v>
      </c>
      <c r="Z204">
        <v>2.0710000000000002</v>
      </c>
      <c r="AA204">
        <v>0</v>
      </c>
      <c r="AB204">
        <v>0</v>
      </c>
      <c r="AC204">
        <v>0</v>
      </c>
      <c r="AD204">
        <v>6.391</v>
      </c>
      <c r="AE204">
        <v>0</v>
      </c>
      <c r="AF204">
        <v>0.36599999999999999</v>
      </c>
      <c r="AG204">
        <v>0.38400000000000001</v>
      </c>
      <c r="AH204">
        <v>44.923999999999999</v>
      </c>
      <c r="AI204" t="s">
        <v>21</v>
      </c>
      <c r="AJ204">
        <v>310</v>
      </c>
      <c r="AK204">
        <v>40</v>
      </c>
      <c r="AL204">
        <v>82.5</v>
      </c>
      <c r="AM204">
        <v>0</v>
      </c>
      <c r="AN204">
        <v>0</v>
      </c>
      <c r="AO204">
        <v>0</v>
      </c>
      <c r="AP204">
        <v>17.5</v>
      </c>
      <c r="AQ204">
        <v>0</v>
      </c>
      <c r="AR204">
        <v>2.5</v>
      </c>
      <c r="AS204">
        <v>10</v>
      </c>
      <c r="AT204">
        <v>462.5</v>
      </c>
      <c r="AU204" t="s">
        <v>33</v>
      </c>
    </row>
    <row r="205" spans="1:47" x14ac:dyDescent="0.2">
      <c r="A205">
        <v>291</v>
      </c>
      <c r="B205" t="s">
        <v>924</v>
      </c>
      <c r="C205">
        <v>59</v>
      </c>
      <c r="D205" t="s">
        <v>202</v>
      </c>
      <c r="G205" t="str">
        <f t="shared" si="3"/>
        <v>HLY0403=SBI04SUMMER59WHS2</v>
      </c>
      <c r="H205">
        <v>72.975999999999999</v>
      </c>
      <c r="I205">
        <v>-160.66900000000001</v>
      </c>
      <c r="J205" s="3">
        <v>20040823</v>
      </c>
      <c r="K205">
        <v>2004</v>
      </c>
      <c r="L205">
        <v>2.2758500000000002</v>
      </c>
      <c r="M205">
        <v>3.3740299999999999</v>
      </c>
      <c r="N205">
        <v>0.33955999999999997</v>
      </c>
      <c r="O205">
        <v>5.2199999999999998E-3</v>
      </c>
      <c r="P205">
        <v>0.59511000000000003</v>
      </c>
      <c r="Q205">
        <v>0</v>
      </c>
      <c r="R205">
        <v>0.12679000000000001</v>
      </c>
      <c r="S205">
        <v>8.0530000000000004E-2</v>
      </c>
      <c r="T205">
        <v>0.12089999999999999</v>
      </c>
      <c r="U205">
        <v>2.03457</v>
      </c>
      <c r="V205">
        <v>8.9525600000000001</v>
      </c>
      <c r="W205" t="s">
        <v>10</v>
      </c>
      <c r="X205">
        <v>32.435000000000002</v>
      </c>
      <c r="Y205">
        <v>143.68600000000001</v>
      </c>
      <c r="Z205">
        <v>4.8869999999999996</v>
      </c>
      <c r="AA205">
        <v>0.11600000000000001</v>
      </c>
      <c r="AB205">
        <v>42.508000000000003</v>
      </c>
      <c r="AC205">
        <v>0</v>
      </c>
      <c r="AD205">
        <v>2.0819999999999999</v>
      </c>
      <c r="AE205">
        <v>5.7519999999999998</v>
      </c>
      <c r="AF205">
        <v>1.3</v>
      </c>
      <c r="AG205">
        <v>94.42</v>
      </c>
      <c r="AH205">
        <v>327.18599999999998</v>
      </c>
      <c r="AI205" t="s">
        <v>22</v>
      </c>
      <c r="AJ205">
        <v>1297.5</v>
      </c>
      <c r="AK205">
        <v>240</v>
      </c>
      <c r="AL205">
        <v>677.5</v>
      </c>
      <c r="AM205">
        <v>17.5</v>
      </c>
      <c r="AN205">
        <v>145</v>
      </c>
      <c r="AO205">
        <v>0</v>
      </c>
      <c r="AP205">
        <v>32.5</v>
      </c>
      <c r="AQ205">
        <v>20</v>
      </c>
      <c r="AR205">
        <v>10</v>
      </c>
      <c r="AS205">
        <v>100</v>
      </c>
      <c r="AT205">
        <v>2540</v>
      </c>
      <c r="AU205" t="s">
        <v>33</v>
      </c>
    </row>
    <row r="206" spans="1:47" x14ac:dyDescent="0.2">
      <c r="A206">
        <v>292</v>
      </c>
      <c r="B206" t="s">
        <v>924</v>
      </c>
      <c r="C206">
        <v>60</v>
      </c>
      <c r="D206" t="s">
        <v>201</v>
      </c>
      <c r="G206" t="str">
        <f t="shared" si="3"/>
        <v>HLY0403=SBI04SUMMER60WHS1</v>
      </c>
      <c r="H206">
        <v>72.742999999999995</v>
      </c>
      <c r="I206">
        <v>-161.29499999999999</v>
      </c>
      <c r="J206" s="3">
        <v>20040824</v>
      </c>
      <c r="K206">
        <v>2004</v>
      </c>
      <c r="L206">
        <v>0.52244999999999997</v>
      </c>
      <c r="M206">
        <v>4.0618800000000004</v>
      </c>
      <c r="N206">
        <v>0.19714999999999999</v>
      </c>
      <c r="O206">
        <v>0</v>
      </c>
      <c r="P206">
        <v>0.25900000000000001</v>
      </c>
      <c r="Q206">
        <v>0</v>
      </c>
      <c r="R206">
        <v>0</v>
      </c>
      <c r="S206">
        <v>0</v>
      </c>
      <c r="T206">
        <v>0.12295</v>
      </c>
      <c r="U206">
        <v>3.8399999999999997E-2</v>
      </c>
      <c r="V206">
        <v>5.2018300000000002</v>
      </c>
      <c r="W206" t="s">
        <v>10</v>
      </c>
      <c r="X206">
        <v>8.0280000000000005</v>
      </c>
      <c r="Y206">
        <v>116.631</v>
      </c>
      <c r="Z206">
        <v>2.6789999999999998</v>
      </c>
      <c r="AA206">
        <v>0</v>
      </c>
      <c r="AB206">
        <v>18.5</v>
      </c>
      <c r="AC206">
        <v>0</v>
      </c>
      <c r="AD206">
        <v>0</v>
      </c>
      <c r="AE206">
        <v>0</v>
      </c>
      <c r="AF206">
        <v>1.3220000000000001</v>
      </c>
      <c r="AG206">
        <v>0.96099999999999997</v>
      </c>
      <c r="AH206">
        <v>148.12100000000001</v>
      </c>
      <c r="AI206" t="s">
        <v>22</v>
      </c>
      <c r="AJ206">
        <v>45</v>
      </c>
      <c r="AK206">
        <v>447.5</v>
      </c>
      <c r="AL206">
        <v>45</v>
      </c>
      <c r="AM206">
        <v>0</v>
      </c>
      <c r="AN206">
        <v>12.5</v>
      </c>
      <c r="AO206">
        <v>0</v>
      </c>
      <c r="AP206">
        <v>0</v>
      </c>
      <c r="AQ206">
        <v>0</v>
      </c>
      <c r="AR206">
        <v>7.5</v>
      </c>
      <c r="AS206">
        <v>150</v>
      </c>
      <c r="AT206">
        <v>707.5</v>
      </c>
      <c r="AU206" t="s">
        <v>34</v>
      </c>
    </row>
    <row r="207" spans="1:47" x14ac:dyDescent="0.2">
      <c r="A207">
        <v>983</v>
      </c>
      <c r="B207" t="s">
        <v>429</v>
      </c>
      <c r="C207">
        <v>11</v>
      </c>
      <c r="D207" t="s">
        <v>430</v>
      </c>
      <c r="G207" t="str">
        <f t="shared" si="3"/>
        <v>RUSALCA0411KHR15</v>
      </c>
      <c r="H207">
        <v>67.867800000000003</v>
      </c>
      <c r="I207">
        <v>-168.32835</v>
      </c>
      <c r="J207" s="3">
        <v>20040812</v>
      </c>
      <c r="K207">
        <v>2004</v>
      </c>
      <c r="L207">
        <v>5.7240200000000003</v>
      </c>
      <c r="M207">
        <v>32.823039999999999</v>
      </c>
      <c r="N207">
        <v>3.0834899999999998</v>
      </c>
      <c r="O207">
        <v>0</v>
      </c>
      <c r="P207">
        <v>0</v>
      </c>
      <c r="Q207">
        <v>0</v>
      </c>
      <c r="R207">
        <v>1.8748400000000001</v>
      </c>
      <c r="S207">
        <v>0</v>
      </c>
      <c r="T207">
        <v>2.2409999999999999E-2</v>
      </c>
      <c r="U207">
        <v>6.268E-2</v>
      </c>
      <c r="V207">
        <v>43.590479999999999</v>
      </c>
      <c r="W207" t="s">
        <v>10</v>
      </c>
      <c r="X207">
        <v>81.491</v>
      </c>
      <c r="Y207">
        <v>858.92200000000003</v>
      </c>
      <c r="Z207">
        <v>33.631999999999998</v>
      </c>
      <c r="AA207">
        <v>0</v>
      </c>
      <c r="AB207">
        <v>0</v>
      </c>
      <c r="AC207">
        <v>0</v>
      </c>
      <c r="AD207">
        <v>30.734999999999999</v>
      </c>
      <c r="AE207">
        <v>0</v>
      </c>
      <c r="AF207">
        <v>0.24099999999999999</v>
      </c>
      <c r="AG207">
        <v>2.9849999999999999</v>
      </c>
      <c r="AH207">
        <v>1008.006</v>
      </c>
      <c r="AI207" t="s">
        <v>22</v>
      </c>
      <c r="AJ207">
        <v>2372.5</v>
      </c>
      <c r="AK207">
        <v>1087.5</v>
      </c>
      <c r="AL207">
        <v>3000</v>
      </c>
      <c r="AM207">
        <v>0</v>
      </c>
      <c r="AN207">
        <v>0</v>
      </c>
      <c r="AO207">
        <v>0</v>
      </c>
      <c r="AP207">
        <v>20</v>
      </c>
      <c r="AQ207">
        <v>0</v>
      </c>
      <c r="AR207">
        <v>7.5</v>
      </c>
      <c r="AS207">
        <v>17.5</v>
      </c>
      <c r="AT207">
        <v>6505</v>
      </c>
      <c r="AU207" t="s">
        <v>35</v>
      </c>
    </row>
    <row r="208" spans="1:47" x14ac:dyDescent="0.2">
      <c r="A208">
        <v>984</v>
      </c>
      <c r="B208" t="s">
        <v>429</v>
      </c>
      <c r="C208">
        <v>13</v>
      </c>
      <c r="D208" t="s">
        <v>431</v>
      </c>
      <c r="G208" t="str">
        <f t="shared" si="3"/>
        <v>RUSALCA0413KHR17</v>
      </c>
      <c r="H208">
        <v>68.296833000000007</v>
      </c>
      <c r="I208">
        <v>-167.05111600000001</v>
      </c>
      <c r="J208" s="3">
        <v>20040813</v>
      </c>
      <c r="K208">
        <v>2004</v>
      </c>
      <c r="L208">
        <v>3.1939700000000002</v>
      </c>
      <c r="M208">
        <v>0.97745000000000004</v>
      </c>
      <c r="N208">
        <v>0.25742999999999999</v>
      </c>
      <c r="O208">
        <v>0.2228</v>
      </c>
      <c r="P208">
        <v>4.1999999999999997E-3</v>
      </c>
      <c r="Q208">
        <v>0</v>
      </c>
      <c r="R208">
        <v>0.30615999999999999</v>
      </c>
      <c r="S208">
        <v>4.0994700000000002</v>
      </c>
      <c r="T208">
        <v>0.1235</v>
      </c>
      <c r="U208">
        <v>0.60470000000000002</v>
      </c>
      <c r="V208">
        <v>9.7896800000000006</v>
      </c>
      <c r="W208" t="s">
        <v>16</v>
      </c>
      <c r="X208">
        <v>43.36</v>
      </c>
      <c r="Y208">
        <v>54.258000000000003</v>
      </c>
      <c r="Z208">
        <v>3.7370000000000001</v>
      </c>
      <c r="AA208">
        <v>4.9509999999999996</v>
      </c>
      <c r="AB208">
        <v>0.3</v>
      </c>
      <c r="AC208">
        <v>0</v>
      </c>
      <c r="AD208">
        <v>7.6539999999999999</v>
      </c>
      <c r="AE208">
        <v>103.16200000000001</v>
      </c>
      <c r="AF208">
        <v>1.3280000000000001</v>
      </c>
      <c r="AG208">
        <v>35.512</v>
      </c>
      <c r="AH208">
        <v>254.262</v>
      </c>
      <c r="AI208" t="s">
        <v>28</v>
      </c>
      <c r="AJ208">
        <v>1700</v>
      </c>
      <c r="AK208">
        <v>252.5</v>
      </c>
      <c r="AL208">
        <v>650</v>
      </c>
      <c r="AM208">
        <v>255</v>
      </c>
      <c r="AN208">
        <v>45</v>
      </c>
      <c r="AO208">
        <v>0</v>
      </c>
      <c r="AP208">
        <v>27.5</v>
      </c>
      <c r="AQ208">
        <v>67.5</v>
      </c>
      <c r="AR208">
        <v>42.5</v>
      </c>
      <c r="AS208">
        <v>262.5</v>
      </c>
      <c r="AT208">
        <v>3302.5</v>
      </c>
      <c r="AU208" t="s">
        <v>33</v>
      </c>
    </row>
    <row r="209" spans="1:47" x14ac:dyDescent="0.2">
      <c r="A209">
        <v>985</v>
      </c>
      <c r="B209" t="s">
        <v>429</v>
      </c>
      <c r="C209">
        <v>14</v>
      </c>
      <c r="D209" t="s">
        <v>432</v>
      </c>
      <c r="G209" t="str">
        <f t="shared" si="3"/>
        <v>RUSALCA0414KHR18</v>
      </c>
      <c r="H209">
        <v>68.950033000000005</v>
      </c>
      <c r="I209">
        <v>-166.91245000000001</v>
      </c>
      <c r="J209" s="3">
        <v>20040813</v>
      </c>
      <c r="K209">
        <v>2004</v>
      </c>
      <c r="L209">
        <v>0.64115999999999995</v>
      </c>
      <c r="M209">
        <v>0.10281</v>
      </c>
      <c r="N209">
        <v>1.2999999999999999E-2</v>
      </c>
      <c r="O209">
        <v>0</v>
      </c>
      <c r="P209">
        <v>9.3999999999999997E-4</v>
      </c>
      <c r="Q209">
        <v>0</v>
      </c>
      <c r="R209">
        <v>0</v>
      </c>
      <c r="S209">
        <v>0</v>
      </c>
      <c r="T209">
        <v>0.63724000000000003</v>
      </c>
      <c r="U209">
        <v>4.1340000000000002E-2</v>
      </c>
      <c r="V209">
        <v>1.43649</v>
      </c>
      <c r="W209" t="s">
        <v>9</v>
      </c>
      <c r="X209">
        <v>10.02</v>
      </c>
      <c r="Y209">
        <v>4.3220000000000001</v>
      </c>
      <c r="Z209">
        <v>0.17</v>
      </c>
      <c r="AA209">
        <v>0</v>
      </c>
      <c r="AB209">
        <v>6.7000000000000004E-2</v>
      </c>
      <c r="AC209">
        <v>0</v>
      </c>
      <c r="AD209">
        <v>0</v>
      </c>
      <c r="AE209">
        <v>0</v>
      </c>
      <c r="AF209">
        <v>6.8520000000000003</v>
      </c>
      <c r="AG209">
        <v>1.2430000000000001</v>
      </c>
      <c r="AH209">
        <v>22.673999999999999</v>
      </c>
      <c r="AI209" t="s">
        <v>21</v>
      </c>
      <c r="AJ209">
        <v>722.5</v>
      </c>
      <c r="AK209">
        <v>117.5</v>
      </c>
      <c r="AL209">
        <v>45</v>
      </c>
      <c r="AM209">
        <v>0</v>
      </c>
      <c r="AN209">
        <v>2.5</v>
      </c>
      <c r="AO209">
        <v>0</v>
      </c>
      <c r="AP209">
        <v>0</v>
      </c>
      <c r="AQ209">
        <v>0</v>
      </c>
      <c r="AR209">
        <v>2.5</v>
      </c>
      <c r="AS209">
        <v>12.5</v>
      </c>
      <c r="AT209">
        <v>902.5</v>
      </c>
      <c r="AU209" t="s">
        <v>33</v>
      </c>
    </row>
    <row r="210" spans="1:47" x14ac:dyDescent="0.2">
      <c r="A210">
        <v>986</v>
      </c>
      <c r="B210" t="s">
        <v>429</v>
      </c>
      <c r="C210">
        <v>16</v>
      </c>
      <c r="D210" t="s">
        <v>433</v>
      </c>
      <c r="G210" t="str">
        <f t="shared" si="3"/>
        <v>RUSALCA0416KHR20</v>
      </c>
      <c r="H210">
        <v>69.006033000000002</v>
      </c>
      <c r="I210">
        <v>-168.8946</v>
      </c>
      <c r="J210" s="3">
        <v>20040814</v>
      </c>
      <c r="K210">
        <v>2004</v>
      </c>
      <c r="L210">
        <v>4.6006900000000002</v>
      </c>
      <c r="M210">
        <v>0.21875</v>
      </c>
      <c r="N210">
        <v>0.93637000000000004</v>
      </c>
      <c r="O210">
        <v>0</v>
      </c>
      <c r="P210">
        <v>0.10871</v>
      </c>
      <c r="Q210">
        <v>0</v>
      </c>
      <c r="R210">
        <v>0</v>
      </c>
      <c r="S210">
        <v>0</v>
      </c>
      <c r="T210">
        <v>6.4200000000000004E-3</v>
      </c>
      <c r="U210">
        <v>2.741E-2</v>
      </c>
      <c r="V210">
        <v>5.8983499999999998</v>
      </c>
      <c r="W210" t="s">
        <v>9</v>
      </c>
      <c r="X210">
        <v>65.918000000000006</v>
      </c>
      <c r="Y210">
        <v>7.6630000000000003</v>
      </c>
      <c r="Z210">
        <v>11.92</v>
      </c>
      <c r="AA210">
        <v>0</v>
      </c>
      <c r="AB210">
        <v>7.7649999999999997</v>
      </c>
      <c r="AC210">
        <v>0</v>
      </c>
      <c r="AD210">
        <v>0</v>
      </c>
      <c r="AE210">
        <v>0</v>
      </c>
      <c r="AF210">
        <v>6.9000000000000006E-2</v>
      </c>
      <c r="AG210">
        <v>0.84599999999999997</v>
      </c>
      <c r="AH210">
        <v>94.180999999999997</v>
      </c>
      <c r="AI210" t="s">
        <v>21</v>
      </c>
      <c r="AJ210">
        <v>650</v>
      </c>
      <c r="AK210">
        <v>790</v>
      </c>
      <c r="AL210">
        <v>1150</v>
      </c>
      <c r="AM210">
        <v>0</v>
      </c>
      <c r="AN210">
        <v>17.5</v>
      </c>
      <c r="AO210">
        <v>0</v>
      </c>
      <c r="AP210">
        <v>0</v>
      </c>
      <c r="AQ210">
        <v>0</v>
      </c>
      <c r="AR210">
        <v>0</v>
      </c>
      <c r="AS210">
        <v>157.5</v>
      </c>
      <c r="AT210">
        <v>2765</v>
      </c>
      <c r="AU210" t="s">
        <v>35</v>
      </c>
    </row>
    <row r="211" spans="1:47" x14ac:dyDescent="0.2">
      <c r="A211">
        <v>987</v>
      </c>
      <c r="B211" t="s">
        <v>429</v>
      </c>
      <c r="C211">
        <v>19</v>
      </c>
      <c r="D211" t="s">
        <v>434</v>
      </c>
      <c r="G211" t="str">
        <f t="shared" si="3"/>
        <v>RUSALCA0419KHR23</v>
      </c>
      <c r="H211">
        <v>68.523566000000002</v>
      </c>
      <c r="I211">
        <v>-171.214437</v>
      </c>
      <c r="J211" s="3">
        <v>20040815</v>
      </c>
      <c r="K211">
        <v>2004</v>
      </c>
      <c r="L211">
        <v>3.0672999999999999</v>
      </c>
      <c r="M211">
        <v>17.10547</v>
      </c>
      <c r="N211">
        <v>0.42336000000000001</v>
      </c>
      <c r="O211">
        <v>0</v>
      </c>
      <c r="P211">
        <v>1.6379999999999999E-2</v>
      </c>
      <c r="Q211">
        <v>0</v>
      </c>
      <c r="R211">
        <v>2.0460600000000002</v>
      </c>
      <c r="S211">
        <v>0</v>
      </c>
      <c r="T211">
        <v>1.76505</v>
      </c>
      <c r="U211">
        <v>3.6720000000000003E-2</v>
      </c>
      <c r="V211">
        <v>24.460339999999999</v>
      </c>
      <c r="W211" t="s">
        <v>10</v>
      </c>
      <c r="X211">
        <v>45.578000000000003</v>
      </c>
      <c r="Y211">
        <v>437.17399999999998</v>
      </c>
      <c r="Z211">
        <v>5.1920000000000002</v>
      </c>
      <c r="AA211">
        <v>0</v>
      </c>
      <c r="AB211">
        <v>1.17</v>
      </c>
      <c r="AC211">
        <v>0</v>
      </c>
      <c r="AD211">
        <v>33.542000000000002</v>
      </c>
      <c r="AE211">
        <v>0</v>
      </c>
      <c r="AF211">
        <v>18.978999999999999</v>
      </c>
      <c r="AG211">
        <v>1.6579999999999999</v>
      </c>
      <c r="AH211">
        <v>543.29300000000001</v>
      </c>
      <c r="AI211" t="s">
        <v>22</v>
      </c>
      <c r="AJ211">
        <v>1242.5</v>
      </c>
      <c r="AK211">
        <v>1400</v>
      </c>
      <c r="AL211">
        <v>525</v>
      </c>
      <c r="AM211">
        <v>0</v>
      </c>
      <c r="AN211">
        <v>7.5</v>
      </c>
      <c r="AO211">
        <v>0</v>
      </c>
      <c r="AP211">
        <v>57.5</v>
      </c>
      <c r="AQ211">
        <v>0</v>
      </c>
      <c r="AR211">
        <v>17.5</v>
      </c>
      <c r="AS211">
        <v>32.5</v>
      </c>
      <c r="AT211">
        <v>3282.5</v>
      </c>
      <c r="AU211" t="s">
        <v>34</v>
      </c>
    </row>
    <row r="212" spans="1:47" x14ac:dyDescent="0.2">
      <c r="A212">
        <v>988</v>
      </c>
      <c r="B212" t="s">
        <v>429</v>
      </c>
      <c r="C212">
        <v>21</v>
      </c>
      <c r="D212" t="s">
        <v>435</v>
      </c>
      <c r="G212" t="str">
        <f t="shared" si="3"/>
        <v>RUSALCA0421KHR25</v>
      </c>
      <c r="H212">
        <v>67.870149999999995</v>
      </c>
      <c r="I212">
        <v>-172.55138299999999</v>
      </c>
      <c r="J212" s="3">
        <v>20040815</v>
      </c>
      <c r="K212">
        <v>2004</v>
      </c>
      <c r="L212">
        <v>2.9289999999999998</v>
      </c>
      <c r="M212">
        <v>28.06165</v>
      </c>
      <c r="N212">
        <v>0.16263</v>
      </c>
      <c r="O212">
        <v>0</v>
      </c>
      <c r="P212">
        <v>7.4599999999999996E-3</v>
      </c>
      <c r="Q212">
        <v>0</v>
      </c>
      <c r="R212">
        <v>2.4317700000000002</v>
      </c>
      <c r="S212">
        <v>1.5169999999999999E-2</v>
      </c>
      <c r="T212">
        <v>1.8614900000000001</v>
      </c>
      <c r="U212">
        <v>0.22212000000000001</v>
      </c>
      <c r="V212">
        <v>35.691290000000002</v>
      </c>
      <c r="W212" t="s">
        <v>10</v>
      </c>
      <c r="X212">
        <v>39.383000000000003</v>
      </c>
      <c r="Y212">
        <v>716.26400000000001</v>
      </c>
      <c r="Z212">
        <v>2.266</v>
      </c>
      <c r="AA212">
        <v>0</v>
      </c>
      <c r="AB212">
        <v>0.53300000000000003</v>
      </c>
      <c r="AC212">
        <v>0</v>
      </c>
      <c r="AD212">
        <v>39.865000000000002</v>
      </c>
      <c r="AE212">
        <v>0.37</v>
      </c>
      <c r="AF212">
        <v>20.015999999999998</v>
      </c>
      <c r="AG212">
        <v>7.3339999999999996</v>
      </c>
      <c r="AH212">
        <v>826.03099999999995</v>
      </c>
      <c r="AI212" t="s">
        <v>22</v>
      </c>
      <c r="AJ212">
        <v>1370</v>
      </c>
      <c r="AK212">
        <v>1272.5</v>
      </c>
      <c r="AL212">
        <v>262.5</v>
      </c>
      <c r="AM212">
        <v>0</v>
      </c>
      <c r="AN212">
        <v>7.5</v>
      </c>
      <c r="AO212">
        <v>0</v>
      </c>
      <c r="AP212">
        <v>77.5</v>
      </c>
      <c r="AQ212">
        <v>2.5</v>
      </c>
      <c r="AR212">
        <v>32.5</v>
      </c>
      <c r="AS212">
        <v>70</v>
      </c>
      <c r="AT212">
        <v>3095</v>
      </c>
      <c r="AU212" t="s">
        <v>33</v>
      </c>
    </row>
    <row r="213" spans="1:47" x14ac:dyDescent="0.2">
      <c r="A213">
        <v>989</v>
      </c>
      <c r="B213" t="s">
        <v>429</v>
      </c>
      <c r="C213">
        <v>23</v>
      </c>
      <c r="D213" t="s">
        <v>436</v>
      </c>
      <c r="G213" t="str">
        <f t="shared" si="3"/>
        <v>RUSALCA0423KHR27</v>
      </c>
      <c r="H213">
        <v>67.397400000000005</v>
      </c>
      <c r="I213">
        <v>-173.6532</v>
      </c>
      <c r="J213" s="3">
        <v>20040816</v>
      </c>
      <c r="K213">
        <v>2004</v>
      </c>
      <c r="L213">
        <v>2.8340700000000001</v>
      </c>
      <c r="M213">
        <v>0.98241000000000001</v>
      </c>
      <c r="N213">
        <v>0.43869999999999998</v>
      </c>
      <c r="O213">
        <v>0</v>
      </c>
      <c r="P213">
        <v>6.3000000000000003E-4</v>
      </c>
      <c r="Q213">
        <v>0</v>
      </c>
      <c r="R213">
        <v>0.78263000000000005</v>
      </c>
      <c r="S213">
        <v>3.322E-2</v>
      </c>
      <c r="T213">
        <v>0.45793</v>
      </c>
      <c r="U213">
        <v>0.25624000000000002</v>
      </c>
      <c r="V213">
        <v>5.7858299999999998</v>
      </c>
      <c r="W213" t="s">
        <v>9</v>
      </c>
      <c r="X213">
        <v>39.293999999999997</v>
      </c>
      <c r="Y213">
        <v>30.369</v>
      </c>
      <c r="Z213">
        <v>5.8650000000000002</v>
      </c>
      <c r="AA213">
        <v>0</v>
      </c>
      <c r="AB213">
        <v>4.4999999999999998E-2</v>
      </c>
      <c r="AC213">
        <v>0</v>
      </c>
      <c r="AD213">
        <v>12.83</v>
      </c>
      <c r="AE213">
        <v>2.3730000000000002</v>
      </c>
      <c r="AF213">
        <v>4.9240000000000004</v>
      </c>
      <c r="AG213">
        <v>6.0339999999999998</v>
      </c>
      <c r="AH213">
        <v>101.73399999999999</v>
      </c>
      <c r="AI213" t="s">
        <v>21</v>
      </c>
      <c r="AJ213">
        <v>4062.5</v>
      </c>
      <c r="AK213">
        <v>195</v>
      </c>
      <c r="AL213">
        <v>457.5</v>
      </c>
      <c r="AM213">
        <v>0</v>
      </c>
      <c r="AN213">
        <v>0</v>
      </c>
      <c r="AO213">
        <v>0</v>
      </c>
      <c r="AP213">
        <v>12.5</v>
      </c>
      <c r="AQ213">
        <v>7.5</v>
      </c>
      <c r="AR213">
        <v>90</v>
      </c>
      <c r="AS213">
        <v>20</v>
      </c>
      <c r="AT213">
        <v>4845</v>
      </c>
      <c r="AU213" t="s">
        <v>33</v>
      </c>
    </row>
    <row r="214" spans="1:47" x14ac:dyDescent="0.2">
      <c r="A214">
        <v>990</v>
      </c>
      <c r="B214" t="s">
        <v>429</v>
      </c>
      <c r="C214">
        <v>26</v>
      </c>
      <c r="D214" t="s">
        <v>437</v>
      </c>
      <c r="G214" t="str">
        <f t="shared" si="3"/>
        <v>RUSALCA0426KHR106</v>
      </c>
      <c r="H214">
        <v>70.759765999999999</v>
      </c>
      <c r="I214">
        <v>-175.53418300000001</v>
      </c>
      <c r="J214" s="3">
        <v>20040818</v>
      </c>
      <c r="K214">
        <v>2004</v>
      </c>
      <c r="L214">
        <v>3.2439800000000001</v>
      </c>
      <c r="M214">
        <v>1.04036</v>
      </c>
      <c r="N214">
        <v>7.2899999999999996E-3</v>
      </c>
      <c r="O214">
        <v>0</v>
      </c>
      <c r="P214">
        <v>1.01E-3</v>
      </c>
      <c r="Q214">
        <v>0</v>
      </c>
      <c r="R214">
        <v>0</v>
      </c>
      <c r="S214">
        <v>6.3000000000000003E-4</v>
      </c>
      <c r="T214">
        <v>2.0500000000000002E-3</v>
      </c>
      <c r="U214">
        <v>7.4900000000000001E-3</v>
      </c>
      <c r="V214">
        <v>4.30281</v>
      </c>
      <c r="W214" t="s">
        <v>9</v>
      </c>
      <c r="X214">
        <v>46.042000000000002</v>
      </c>
      <c r="Y214">
        <v>37.780999999999999</v>
      </c>
      <c r="Z214">
        <v>9.4E-2</v>
      </c>
      <c r="AA214">
        <v>0</v>
      </c>
      <c r="AB214">
        <v>7.1999999999999995E-2</v>
      </c>
      <c r="AC214">
        <v>0</v>
      </c>
      <c r="AD214">
        <v>0</v>
      </c>
      <c r="AE214">
        <v>4.4999999999999998E-2</v>
      </c>
      <c r="AF214">
        <v>2.1999999999999999E-2</v>
      </c>
      <c r="AG214">
        <v>0.29599999999999999</v>
      </c>
      <c r="AH214">
        <v>84.352000000000004</v>
      </c>
      <c r="AI214" t="s">
        <v>21</v>
      </c>
      <c r="AJ214">
        <v>302.5</v>
      </c>
      <c r="AK214">
        <v>685</v>
      </c>
      <c r="AL214">
        <v>77.5</v>
      </c>
      <c r="AM214">
        <v>0</v>
      </c>
      <c r="AN214">
        <v>15</v>
      </c>
      <c r="AO214">
        <v>0</v>
      </c>
      <c r="AP214">
        <v>0</v>
      </c>
      <c r="AQ214">
        <v>5</v>
      </c>
      <c r="AR214">
        <v>7.5</v>
      </c>
      <c r="AS214">
        <v>82.5</v>
      </c>
      <c r="AT214">
        <v>1175</v>
      </c>
      <c r="AU214" t="s">
        <v>34</v>
      </c>
    </row>
    <row r="215" spans="1:47" x14ac:dyDescent="0.2">
      <c r="A215">
        <v>991</v>
      </c>
      <c r="B215" t="s">
        <v>429</v>
      </c>
      <c r="C215">
        <v>7</v>
      </c>
      <c r="D215" s="4" t="s">
        <v>934</v>
      </c>
      <c r="E215" s="4" t="s">
        <v>934</v>
      </c>
      <c r="F215" s="4" t="s">
        <v>438</v>
      </c>
      <c r="G215" t="str">
        <f t="shared" si="3"/>
        <v>RUSALCA047DBO3.14</v>
      </c>
      <c r="H215">
        <v>66.937282999999994</v>
      </c>
      <c r="I215">
        <v>-170.997117</v>
      </c>
      <c r="J215" s="3">
        <v>20040811</v>
      </c>
      <c r="K215">
        <v>2004</v>
      </c>
      <c r="L215">
        <v>5.0654899999999996</v>
      </c>
      <c r="M215">
        <v>41.25685</v>
      </c>
      <c r="N215">
        <v>9.6913099999999996</v>
      </c>
      <c r="O215">
        <v>5.6250000000000001E-2</v>
      </c>
      <c r="P215">
        <v>6.9999999999999994E-5</v>
      </c>
      <c r="Q215">
        <v>0</v>
      </c>
      <c r="R215">
        <v>0.59377000000000002</v>
      </c>
      <c r="S215">
        <v>0.19162000000000001</v>
      </c>
      <c r="T215">
        <v>1.9301200000000001</v>
      </c>
      <c r="U215">
        <v>0.57055</v>
      </c>
      <c r="V215">
        <v>59.356029999999997</v>
      </c>
      <c r="W215" t="s">
        <v>10</v>
      </c>
      <c r="X215">
        <v>67.623000000000005</v>
      </c>
      <c r="Y215">
        <v>1061.547</v>
      </c>
      <c r="Z215">
        <v>138.54300000000001</v>
      </c>
      <c r="AA215">
        <v>1.25</v>
      </c>
      <c r="AB215">
        <v>5.0000000000000001E-3</v>
      </c>
      <c r="AC215">
        <v>0</v>
      </c>
      <c r="AD215">
        <v>9.7370000000000001</v>
      </c>
      <c r="AE215">
        <v>13.686999999999999</v>
      </c>
      <c r="AF215">
        <v>20.754000000000001</v>
      </c>
      <c r="AG215">
        <v>26.545000000000002</v>
      </c>
      <c r="AH215">
        <v>1339.691</v>
      </c>
      <c r="AI215" t="s">
        <v>22</v>
      </c>
      <c r="AJ215">
        <v>1000</v>
      </c>
      <c r="AK215">
        <v>2110</v>
      </c>
      <c r="AL215">
        <v>4047.5</v>
      </c>
      <c r="AM215">
        <v>87.5</v>
      </c>
      <c r="AN215">
        <v>2.5</v>
      </c>
      <c r="AO215">
        <v>0</v>
      </c>
      <c r="AP215">
        <v>12.5</v>
      </c>
      <c r="AQ215">
        <v>7.5</v>
      </c>
      <c r="AR215">
        <v>70</v>
      </c>
      <c r="AS215">
        <v>230</v>
      </c>
      <c r="AT215">
        <v>7567.5</v>
      </c>
      <c r="AU215" t="s">
        <v>35</v>
      </c>
    </row>
    <row r="216" spans="1:47" x14ac:dyDescent="0.2">
      <c r="A216">
        <v>992</v>
      </c>
      <c r="B216" t="s">
        <v>429</v>
      </c>
      <c r="C216">
        <v>73</v>
      </c>
      <c r="D216" t="s">
        <v>439</v>
      </c>
      <c r="G216" t="str">
        <f t="shared" si="3"/>
        <v>RUSALCA0473KHR85B</v>
      </c>
      <c r="H216">
        <v>72.317266000000004</v>
      </c>
      <c r="I216">
        <v>-175.98455000000001</v>
      </c>
      <c r="J216" s="3">
        <v>20040820</v>
      </c>
      <c r="K216">
        <v>2004</v>
      </c>
      <c r="L216">
        <v>6.8293600000000003</v>
      </c>
      <c r="M216">
        <v>0.78710999999999998</v>
      </c>
      <c r="N216">
        <v>7.0699999999999999E-2</v>
      </c>
      <c r="O216">
        <v>0</v>
      </c>
      <c r="P216">
        <v>1.6000000000000001E-4</v>
      </c>
      <c r="Q216">
        <v>6.0000000000000002E-5</v>
      </c>
      <c r="R216">
        <v>0</v>
      </c>
      <c r="S216">
        <v>0</v>
      </c>
      <c r="T216">
        <v>0.55176999999999998</v>
      </c>
      <c r="U216">
        <v>8.2199999999999999E-3</v>
      </c>
      <c r="V216">
        <v>8.2473799999999997</v>
      </c>
      <c r="W216" t="s">
        <v>9</v>
      </c>
      <c r="X216">
        <v>97.14</v>
      </c>
      <c r="Y216">
        <v>51.334000000000003</v>
      </c>
      <c r="Z216">
        <v>0.96699999999999997</v>
      </c>
      <c r="AA216">
        <v>0</v>
      </c>
      <c r="AB216">
        <v>1.2E-2</v>
      </c>
      <c r="AC216">
        <v>7.0000000000000001E-3</v>
      </c>
      <c r="AD216">
        <v>0</v>
      </c>
      <c r="AE216">
        <v>0</v>
      </c>
      <c r="AF216">
        <v>5.9329999999999998</v>
      </c>
      <c r="AG216">
        <v>0.59799999999999998</v>
      </c>
      <c r="AH216">
        <v>155.99100000000001</v>
      </c>
      <c r="AI216" t="s">
        <v>21</v>
      </c>
      <c r="AJ216">
        <v>507.5</v>
      </c>
      <c r="AK216">
        <v>135</v>
      </c>
      <c r="AL216">
        <v>375</v>
      </c>
      <c r="AM216">
        <v>0</v>
      </c>
      <c r="AN216">
        <v>5</v>
      </c>
      <c r="AO216">
        <v>2.5</v>
      </c>
      <c r="AP216">
        <v>0</v>
      </c>
      <c r="AQ216">
        <v>0</v>
      </c>
      <c r="AR216">
        <v>2.5</v>
      </c>
      <c r="AS216">
        <v>35</v>
      </c>
      <c r="AT216">
        <v>1062.5</v>
      </c>
      <c r="AU216" t="s">
        <v>33</v>
      </c>
    </row>
    <row r="217" spans="1:47" x14ac:dyDescent="0.2">
      <c r="A217">
        <v>993</v>
      </c>
      <c r="B217" t="s">
        <v>429</v>
      </c>
      <c r="C217">
        <v>74</v>
      </c>
      <c r="D217" t="s">
        <v>440</v>
      </c>
      <c r="G217" t="str">
        <f t="shared" si="3"/>
        <v>RUSALCA0474KHR73B</v>
      </c>
      <c r="H217">
        <v>71.901816999999994</v>
      </c>
      <c r="I217">
        <v>-175.485817</v>
      </c>
      <c r="J217" s="3">
        <v>20040821</v>
      </c>
      <c r="K217">
        <v>2004</v>
      </c>
      <c r="L217">
        <v>20.474769999999999</v>
      </c>
      <c r="M217">
        <v>2.5137299999999998</v>
      </c>
      <c r="N217">
        <v>1.25126</v>
      </c>
      <c r="O217">
        <v>1.737E-2</v>
      </c>
      <c r="P217">
        <v>0.12382</v>
      </c>
      <c r="Q217">
        <v>0</v>
      </c>
      <c r="R217">
        <v>3.8400000000000001E-3</v>
      </c>
      <c r="S217">
        <v>0</v>
      </c>
      <c r="T217">
        <v>4.1759999999999999E-2</v>
      </c>
      <c r="U217">
        <v>0.17066000000000001</v>
      </c>
      <c r="V217">
        <v>24.59721</v>
      </c>
      <c r="W217" t="s">
        <v>9</v>
      </c>
      <c r="X217">
        <v>292.59199999999998</v>
      </c>
      <c r="Y217">
        <v>76.757999999999996</v>
      </c>
      <c r="Z217">
        <v>17.298999999999999</v>
      </c>
      <c r="AA217">
        <v>0.38600000000000001</v>
      </c>
      <c r="AB217">
        <v>8.8439999999999994</v>
      </c>
      <c r="AC217">
        <v>0</v>
      </c>
      <c r="AD217">
        <v>6.3E-2</v>
      </c>
      <c r="AE217">
        <v>0</v>
      </c>
      <c r="AF217">
        <v>0.44900000000000001</v>
      </c>
      <c r="AG217">
        <v>7.3040000000000003</v>
      </c>
      <c r="AH217">
        <v>403.69499999999999</v>
      </c>
      <c r="AI217" t="s">
        <v>21</v>
      </c>
      <c r="AJ217">
        <v>8277.5</v>
      </c>
      <c r="AK217">
        <v>307.5</v>
      </c>
      <c r="AL217">
        <v>2195</v>
      </c>
      <c r="AM217">
        <v>60</v>
      </c>
      <c r="AN217">
        <v>35</v>
      </c>
      <c r="AO217">
        <v>0</v>
      </c>
      <c r="AP217">
        <v>2.5</v>
      </c>
      <c r="AQ217">
        <v>0</v>
      </c>
      <c r="AR217">
        <v>15</v>
      </c>
      <c r="AS217">
        <v>40</v>
      </c>
      <c r="AT217">
        <v>10932.5</v>
      </c>
      <c r="AU217" t="s">
        <v>33</v>
      </c>
    </row>
    <row r="218" spans="1:47" x14ac:dyDescent="0.2">
      <c r="A218">
        <v>994</v>
      </c>
      <c r="B218" t="s">
        <v>429</v>
      </c>
      <c r="C218">
        <v>75</v>
      </c>
      <c r="D218" t="s">
        <v>441</v>
      </c>
      <c r="G218" t="str">
        <f t="shared" si="3"/>
        <v>RUSALCA0475KHR62B</v>
      </c>
      <c r="H218">
        <v>71.395566000000002</v>
      </c>
      <c r="I218">
        <v>-174.91235</v>
      </c>
      <c r="J218" s="3">
        <v>20040821</v>
      </c>
      <c r="K218">
        <v>2004</v>
      </c>
      <c r="L218">
        <v>8.0844299999999993</v>
      </c>
      <c r="M218">
        <v>0.56084000000000001</v>
      </c>
      <c r="N218">
        <v>0.22866</v>
      </c>
      <c r="O218">
        <v>2.4806699999999999</v>
      </c>
      <c r="P218">
        <v>0.87866999999999995</v>
      </c>
      <c r="Q218">
        <v>0</v>
      </c>
      <c r="R218">
        <v>0.77461999999999998</v>
      </c>
      <c r="S218">
        <v>8.3909999999999998E-2</v>
      </c>
      <c r="T218">
        <v>1.1658500000000001</v>
      </c>
      <c r="U218">
        <v>0.10791000000000001</v>
      </c>
      <c r="V218">
        <v>14.36556</v>
      </c>
      <c r="W218" t="s">
        <v>9</v>
      </c>
      <c r="X218">
        <v>113.944</v>
      </c>
      <c r="Y218">
        <v>30.79</v>
      </c>
      <c r="Z218">
        <v>3.0379999999999998</v>
      </c>
      <c r="AA218">
        <v>55.125999999999998</v>
      </c>
      <c r="AB218">
        <v>62.762</v>
      </c>
      <c r="AC218">
        <v>0</v>
      </c>
      <c r="AD218">
        <v>18.411999999999999</v>
      </c>
      <c r="AE218">
        <v>5.7830000000000004</v>
      </c>
      <c r="AF218">
        <v>12.536</v>
      </c>
      <c r="AG218">
        <v>8.1880000000000006</v>
      </c>
      <c r="AH218">
        <v>310.57900000000001</v>
      </c>
      <c r="AI218" t="s">
        <v>21</v>
      </c>
      <c r="AJ218">
        <v>740</v>
      </c>
      <c r="AK218">
        <v>227.5</v>
      </c>
      <c r="AL218">
        <v>1447.5</v>
      </c>
      <c r="AM218">
        <v>155</v>
      </c>
      <c r="AN218">
        <v>330</v>
      </c>
      <c r="AO218">
        <v>0</v>
      </c>
      <c r="AP218">
        <v>90</v>
      </c>
      <c r="AQ218">
        <v>12.5</v>
      </c>
      <c r="AR218">
        <v>27.5</v>
      </c>
      <c r="AS218">
        <v>55</v>
      </c>
      <c r="AT218">
        <v>3085</v>
      </c>
      <c r="AU218" t="s">
        <v>35</v>
      </c>
    </row>
    <row r="219" spans="1:47" x14ac:dyDescent="0.2">
      <c r="A219">
        <v>995</v>
      </c>
      <c r="B219" t="s">
        <v>429</v>
      </c>
      <c r="C219">
        <v>77</v>
      </c>
      <c r="D219" t="s">
        <v>442</v>
      </c>
      <c r="G219" t="str">
        <f t="shared" si="3"/>
        <v>RUSALCA0477KHR107</v>
      </c>
      <c r="H219">
        <v>70.888166999999996</v>
      </c>
      <c r="I219">
        <v>-172.69810000000001</v>
      </c>
      <c r="J219" s="3">
        <v>20040822</v>
      </c>
      <c r="K219">
        <v>2004</v>
      </c>
      <c r="L219">
        <v>4.3964499999999997</v>
      </c>
      <c r="M219">
        <v>4.4889999999999999E-2</v>
      </c>
      <c r="N219">
        <v>0.46290999999999999</v>
      </c>
      <c r="O219">
        <v>2.8089900000000001</v>
      </c>
      <c r="P219">
        <v>6.9999999999999994E-5</v>
      </c>
      <c r="Q219">
        <v>0</v>
      </c>
      <c r="R219">
        <v>0</v>
      </c>
      <c r="S219">
        <v>0</v>
      </c>
      <c r="T219">
        <v>3.2460000000000003E-2</v>
      </c>
      <c r="U219">
        <v>2.656E-2</v>
      </c>
      <c r="V219">
        <v>7.7723300000000002</v>
      </c>
      <c r="W219" t="s">
        <v>9</v>
      </c>
      <c r="X219">
        <v>64.085999999999999</v>
      </c>
      <c r="Y219">
        <v>1.3420000000000001</v>
      </c>
      <c r="Z219">
        <v>6.875</v>
      </c>
      <c r="AA219">
        <v>62.421999999999997</v>
      </c>
      <c r="AB219">
        <v>5.0000000000000001E-3</v>
      </c>
      <c r="AC219">
        <v>0</v>
      </c>
      <c r="AD219">
        <v>0</v>
      </c>
      <c r="AE219">
        <v>0</v>
      </c>
      <c r="AF219">
        <v>0.34899999999999998</v>
      </c>
      <c r="AG219">
        <v>0.438</v>
      </c>
      <c r="AH219">
        <v>135.517</v>
      </c>
      <c r="AI219" t="s">
        <v>21</v>
      </c>
      <c r="AJ219">
        <v>657.5</v>
      </c>
      <c r="AK219">
        <v>157.5</v>
      </c>
      <c r="AL219">
        <v>742.5</v>
      </c>
      <c r="AM219">
        <v>12.5</v>
      </c>
      <c r="AN219">
        <v>5</v>
      </c>
      <c r="AO219">
        <v>0</v>
      </c>
      <c r="AP219">
        <v>0</v>
      </c>
      <c r="AQ219">
        <v>0</v>
      </c>
      <c r="AR219">
        <v>12.5</v>
      </c>
      <c r="AS219">
        <v>37.5</v>
      </c>
      <c r="AT219">
        <v>1625</v>
      </c>
      <c r="AU219" t="s">
        <v>35</v>
      </c>
    </row>
    <row r="220" spans="1:47" x14ac:dyDescent="0.2">
      <c r="A220">
        <v>996</v>
      </c>
      <c r="B220" t="s">
        <v>429</v>
      </c>
      <c r="C220">
        <v>9</v>
      </c>
      <c r="D220" t="s">
        <v>443</v>
      </c>
      <c r="G220" t="str">
        <f t="shared" si="3"/>
        <v>RUSALCA049KHR13</v>
      </c>
      <c r="H220">
        <v>67.432029999999997</v>
      </c>
      <c r="I220">
        <v>-169.62071700000001</v>
      </c>
      <c r="J220" s="3">
        <v>20040812</v>
      </c>
      <c r="K220">
        <v>2004</v>
      </c>
      <c r="L220">
        <v>9.0770400000000002</v>
      </c>
      <c r="M220">
        <v>101.4511</v>
      </c>
      <c r="N220">
        <v>2.8107899999999999</v>
      </c>
      <c r="O220">
        <v>0</v>
      </c>
      <c r="P220">
        <v>8.4600000000000005E-3</v>
      </c>
      <c r="Q220">
        <v>0</v>
      </c>
      <c r="R220">
        <v>1.8622700000000001</v>
      </c>
      <c r="S220">
        <v>0</v>
      </c>
      <c r="T220">
        <v>1.19496</v>
      </c>
      <c r="U220">
        <v>0.55388999999999999</v>
      </c>
      <c r="V220">
        <v>116.95851</v>
      </c>
      <c r="W220" t="s">
        <v>10</v>
      </c>
      <c r="X220">
        <v>118.107</v>
      </c>
      <c r="Y220">
        <v>2797.99</v>
      </c>
      <c r="Z220">
        <v>31.712</v>
      </c>
      <c r="AA220">
        <v>0</v>
      </c>
      <c r="AB220">
        <v>0.60399999999999998</v>
      </c>
      <c r="AC220">
        <v>0</v>
      </c>
      <c r="AD220">
        <v>30.529</v>
      </c>
      <c r="AE220">
        <v>0</v>
      </c>
      <c r="AF220">
        <v>12.849</v>
      </c>
      <c r="AG220">
        <v>13.301</v>
      </c>
      <c r="AH220">
        <v>3005.0920000000001</v>
      </c>
      <c r="AI220" t="s">
        <v>22</v>
      </c>
      <c r="AJ220">
        <v>2915</v>
      </c>
      <c r="AK220">
        <v>6680</v>
      </c>
      <c r="AL220">
        <v>4255</v>
      </c>
      <c r="AM220">
        <v>0</v>
      </c>
      <c r="AN220">
        <v>5</v>
      </c>
      <c r="AO220">
        <v>0</v>
      </c>
      <c r="AP220">
        <v>57.5</v>
      </c>
      <c r="AQ220">
        <v>0</v>
      </c>
      <c r="AR220">
        <v>20</v>
      </c>
      <c r="AS220">
        <v>125</v>
      </c>
      <c r="AT220">
        <v>14057.5</v>
      </c>
      <c r="AU220" t="s">
        <v>34</v>
      </c>
    </row>
    <row r="221" spans="1:47" x14ac:dyDescent="0.2">
      <c r="A221">
        <v>1464</v>
      </c>
      <c r="B221" t="s">
        <v>932</v>
      </c>
      <c r="C221">
        <v>25</v>
      </c>
      <c r="D221" t="s">
        <v>551</v>
      </c>
      <c r="G221" t="str">
        <f t="shared" si="3"/>
        <v>SWL200425SLIP1</v>
      </c>
      <c r="H221">
        <v>62.013333000000003</v>
      </c>
      <c r="I221">
        <v>-175.05651700000001</v>
      </c>
      <c r="J221" s="3">
        <v>20040715</v>
      </c>
      <c r="K221">
        <v>2004</v>
      </c>
      <c r="L221">
        <v>7.9870799999999997</v>
      </c>
      <c r="M221">
        <v>12.17197</v>
      </c>
      <c r="N221">
        <v>5.2299999999999999E-2</v>
      </c>
      <c r="O221">
        <v>7.92E-3</v>
      </c>
      <c r="P221">
        <v>0.64666000000000001</v>
      </c>
      <c r="Q221">
        <v>0</v>
      </c>
      <c r="R221">
        <v>0</v>
      </c>
      <c r="S221">
        <v>0.11840000000000001</v>
      </c>
      <c r="T221">
        <v>8.9469999999999994E-2</v>
      </c>
      <c r="U221">
        <v>3.0970000000000001E-2</v>
      </c>
      <c r="V221">
        <v>21.104769999999998</v>
      </c>
      <c r="W221" t="s">
        <v>10</v>
      </c>
      <c r="X221">
        <v>115.333</v>
      </c>
      <c r="Y221">
        <v>411.60500000000002</v>
      </c>
      <c r="Z221">
        <v>0.67100000000000004</v>
      </c>
      <c r="AA221">
        <v>0.17599999999999999</v>
      </c>
      <c r="AB221">
        <v>46.19</v>
      </c>
      <c r="AC221">
        <v>0</v>
      </c>
      <c r="AD221">
        <v>0</v>
      </c>
      <c r="AE221">
        <v>8.4570000000000007</v>
      </c>
      <c r="AF221">
        <v>0.96199999999999997</v>
      </c>
      <c r="AG221">
        <v>0.67</v>
      </c>
      <c r="AH221">
        <v>584.06399999999996</v>
      </c>
      <c r="AI221" t="s">
        <v>22</v>
      </c>
      <c r="AJ221">
        <v>740</v>
      </c>
      <c r="AK221">
        <v>525</v>
      </c>
      <c r="AL221">
        <v>165</v>
      </c>
      <c r="AM221">
        <v>45</v>
      </c>
      <c r="AN221">
        <v>20</v>
      </c>
      <c r="AO221">
        <v>0</v>
      </c>
      <c r="AP221">
        <v>0</v>
      </c>
      <c r="AQ221">
        <v>2.5</v>
      </c>
      <c r="AR221">
        <v>5</v>
      </c>
      <c r="AS221">
        <v>122.5</v>
      </c>
      <c r="AT221">
        <v>1625</v>
      </c>
      <c r="AU221" t="s">
        <v>33</v>
      </c>
    </row>
    <row r="222" spans="1:47" x14ac:dyDescent="0.2">
      <c r="A222">
        <v>1465</v>
      </c>
      <c r="B222" t="s">
        <v>932</v>
      </c>
      <c r="C222">
        <v>26</v>
      </c>
      <c r="D222" t="s">
        <v>552</v>
      </c>
      <c r="G222" t="str">
        <f t="shared" si="3"/>
        <v>SWL200426SLIP2</v>
      </c>
      <c r="H222">
        <v>62.053832999999997</v>
      </c>
      <c r="I222">
        <v>-175.20699999999999</v>
      </c>
      <c r="J222" s="3">
        <v>20040715</v>
      </c>
      <c r="K222">
        <v>2004</v>
      </c>
      <c r="L222">
        <v>5.5041399999999996</v>
      </c>
      <c r="M222">
        <v>11.210369999999999</v>
      </c>
      <c r="N222">
        <v>5.3530000000000001E-2</v>
      </c>
      <c r="O222">
        <v>2.61</v>
      </c>
      <c r="P222">
        <v>0.12933</v>
      </c>
      <c r="Q222">
        <v>0</v>
      </c>
      <c r="R222">
        <v>0</v>
      </c>
      <c r="S222">
        <v>0</v>
      </c>
      <c r="T222">
        <v>2.6421299999999999</v>
      </c>
      <c r="U222">
        <v>5.5870000000000003E-2</v>
      </c>
      <c r="V222">
        <v>22.205369999999998</v>
      </c>
      <c r="W222" t="s">
        <v>10</v>
      </c>
      <c r="X222">
        <v>88.54</v>
      </c>
      <c r="Y222">
        <v>469.47500000000002</v>
      </c>
      <c r="Z222">
        <v>0.72199999999999998</v>
      </c>
      <c r="AA222">
        <v>58</v>
      </c>
      <c r="AB222">
        <v>9.2379999999999995</v>
      </c>
      <c r="AC222">
        <v>0</v>
      </c>
      <c r="AD222">
        <v>0</v>
      </c>
      <c r="AE222">
        <v>0</v>
      </c>
      <c r="AF222">
        <v>28.41</v>
      </c>
      <c r="AG222">
        <v>1.0089999999999999</v>
      </c>
      <c r="AH222">
        <v>655.39400000000001</v>
      </c>
      <c r="AI222" t="s">
        <v>22</v>
      </c>
      <c r="AJ222">
        <v>585</v>
      </c>
      <c r="AK222">
        <v>425</v>
      </c>
      <c r="AL222">
        <v>97.5</v>
      </c>
      <c r="AM222">
        <v>15</v>
      </c>
      <c r="AN222">
        <v>15</v>
      </c>
      <c r="AO222">
        <v>0</v>
      </c>
      <c r="AP222">
        <v>0</v>
      </c>
      <c r="AQ222">
        <v>0</v>
      </c>
      <c r="AR222">
        <v>20</v>
      </c>
      <c r="AS222">
        <v>70</v>
      </c>
      <c r="AT222">
        <v>1227.5</v>
      </c>
      <c r="AU222" t="s">
        <v>33</v>
      </c>
    </row>
    <row r="223" spans="1:47" x14ac:dyDescent="0.2">
      <c r="A223">
        <v>1466</v>
      </c>
      <c r="B223" t="s">
        <v>932</v>
      </c>
      <c r="C223">
        <v>29</v>
      </c>
      <c r="D223" t="s">
        <v>553</v>
      </c>
      <c r="G223" t="str">
        <f t="shared" si="3"/>
        <v>SWL200429SLIP3</v>
      </c>
      <c r="H223">
        <v>62.393349999999998</v>
      </c>
      <c r="I223">
        <v>-174.570167</v>
      </c>
      <c r="J223" s="3">
        <v>20040716</v>
      </c>
      <c r="K223">
        <v>2004</v>
      </c>
      <c r="L223">
        <v>4.0134999999999996</v>
      </c>
      <c r="M223">
        <v>13.0152</v>
      </c>
      <c r="N223">
        <v>0.10199999999999999</v>
      </c>
      <c r="O223">
        <v>0</v>
      </c>
      <c r="P223">
        <v>0.48562</v>
      </c>
      <c r="Q223">
        <v>0</v>
      </c>
      <c r="R223">
        <v>0</v>
      </c>
      <c r="S223">
        <v>0.38625999999999999</v>
      </c>
      <c r="T223">
        <v>3.9710000000000002E-2</v>
      </c>
      <c r="U223">
        <v>5.8659999999999997E-2</v>
      </c>
      <c r="V223">
        <v>18.100950000000001</v>
      </c>
      <c r="W223" t="s">
        <v>10</v>
      </c>
      <c r="X223">
        <v>58.957000000000001</v>
      </c>
      <c r="Y223">
        <v>542.91399999999999</v>
      </c>
      <c r="Z223">
        <v>1.302</v>
      </c>
      <c r="AA223">
        <v>0</v>
      </c>
      <c r="AB223">
        <v>34.686999999999998</v>
      </c>
      <c r="AC223">
        <v>0</v>
      </c>
      <c r="AD223">
        <v>0</v>
      </c>
      <c r="AE223">
        <v>27.59</v>
      </c>
      <c r="AF223">
        <v>0.42699999999999999</v>
      </c>
      <c r="AG223">
        <v>1.302</v>
      </c>
      <c r="AH223">
        <v>667.17899999999997</v>
      </c>
      <c r="AI223" t="s">
        <v>22</v>
      </c>
      <c r="AJ223">
        <v>792.5</v>
      </c>
      <c r="AK223">
        <v>580</v>
      </c>
      <c r="AL223">
        <v>135</v>
      </c>
      <c r="AM223">
        <v>0</v>
      </c>
      <c r="AN223">
        <v>27.5</v>
      </c>
      <c r="AO223">
        <v>0</v>
      </c>
      <c r="AP223">
        <v>0</v>
      </c>
      <c r="AQ223">
        <v>7.5</v>
      </c>
      <c r="AR223">
        <v>7.5</v>
      </c>
      <c r="AS223">
        <v>155</v>
      </c>
      <c r="AT223">
        <v>1705</v>
      </c>
      <c r="AU223" t="s">
        <v>33</v>
      </c>
    </row>
    <row r="224" spans="1:47" x14ac:dyDescent="0.2">
      <c r="A224">
        <v>1467</v>
      </c>
      <c r="B224" t="s">
        <v>932</v>
      </c>
      <c r="C224">
        <v>30</v>
      </c>
      <c r="D224" t="s">
        <v>554</v>
      </c>
      <c r="G224" t="str">
        <f t="shared" si="3"/>
        <v>SWL200430SLIP5</v>
      </c>
      <c r="H224">
        <v>62.563049999999997</v>
      </c>
      <c r="I224">
        <v>-173.55606700000001</v>
      </c>
      <c r="J224" s="3">
        <v>20040716</v>
      </c>
      <c r="K224">
        <v>2004</v>
      </c>
      <c r="L224">
        <v>4.2531699999999999</v>
      </c>
      <c r="M224">
        <v>20.897849999999998</v>
      </c>
      <c r="N224">
        <v>2.751E-2</v>
      </c>
      <c r="O224">
        <v>9.8999999999999999E-4</v>
      </c>
      <c r="P224">
        <v>0.54735999999999996</v>
      </c>
      <c r="Q224">
        <v>0</v>
      </c>
      <c r="R224">
        <v>0</v>
      </c>
      <c r="S224">
        <v>0</v>
      </c>
      <c r="T224">
        <v>0.30746000000000001</v>
      </c>
      <c r="U224">
        <v>4.0300000000000002E-2</v>
      </c>
      <c r="V224">
        <v>26.074639999999999</v>
      </c>
      <c r="W224" t="s">
        <v>10</v>
      </c>
      <c r="X224">
        <v>73.477999999999994</v>
      </c>
      <c r="Y224">
        <v>661.76499999999999</v>
      </c>
      <c r="Z224">
        <v>0.311</v>
      </c>
      <c r="AA224">
        <v>2.1999999999999999E-2</v>
      </c>
      <c r="AB224">
        <v>39.097000000000001</v>
      </c>
      <c r="AC224">
        <v>0</v>
      </c>
      <c r="AD224">
        <v>0</v>
      </c>
      <c r="AE224">
        <v>0</v>
      </c>
      <c r="AF224">
        <v>3.306</v>
      </c>
      <c r="AG224">
        <v>0.66600000000000004</v>
      </c>
      <c r="AH224">
        <v>778.64499999999998</v>
      </c>
      <c r="AI224" t="s">
        <v>22</v>
      </c>
      <c r="AJ224">
        <v>802.5</v>
      </c>
      <c r="AK224">
        <v>2037.5</v>
      </c>
      <c r="AL224">
        <v>85</v>
      </c>
      <c r="AM224">
        <v>10</v>
      </c>
      <c r="AN224">
        <v>15</v>
      </c>
      <c r="AO224">
        <v>0</v>
      </c>
      <c r="AP224">
        <v>0</v>
      </c>
      <c r="AQ224">
        <v>0</v>
      </c>
      <c r="AR224">
        <v>2.5</v>
      </c>
      <c r="AS224">
        <v>105</v>
      </c>
      <c r="AT224">
        <v>3057.5</v>
      </c>
      <c r="AU224" t="s">
        <v>34</v>
      </c>
    </row>
    <row r="225" spans="1:47" x14ac:dyDescent="0.2">
      <c r="A225">
        <v>1468</v>
      </c>
      <c r="B225" t="s">
        <v>932</v>
      </c>
      <c r="C225">
        <v>31</v>
      </c>
      <c r="D225" t="s">
        <v>555</v>
      </c>
      <c r="G225" t="str">
        <f t="shared" si="3"/>
        <v>SWL200431SLIP4</v>
      </c>
      <c r="H225">
        <v>63.028167000000003</v>
      </c>
      <c r="I225">
        <v>-173.45689999999999</v>
      </c>
      <c r="J225" s="3">
        <v>20040716</v>
      </c>
      <c r="K225">
        <v>2004</v>
      </c>
      <c r="L225">
        <v>5.6070700000000002</v>
      </c>
      <c r="M225">
        <v>12.101470000000001</v>
      </c>
      <c r="N225">
        <v>0.24981999999999999</v>
      </c>
      <c r="O225">
        <v>1.63625</v>
      </c>
      <c r="P225">
        <v>0.31891999999999998</v>
      </c>
      <c r="Q225">
        <v>0</v>
      </c>
      <c r="R225">
        <v>0</v>
      </c>
      <c r="S225">
        <v>0</v>
      </c>
      <c r="T225">
        <v>9.9879999999999997E-2</v>
      </c>
      <c r="U225">
        <v>0.11649</v>
      </c>
      <c r="V225">
        <v>20.129899999999999</v>
      </c>
      <c r="W225" t="s">
        <v>10</v>
      </c>
      <c r="X225">
        <v>109.414</v>
      </c>
      <c r="Y225">
        <v>354.51400000000001</v>
      </c>
      <c r="Z225">
        <v>2.8519999999999999</v>
      </c>
      <c r="AA225">
        <v>36.360999999999997</v>
      </c>
      <c r="AB225">
        <v>22.78</v>
      </c>
      <c r="AC225">
        <v>0</v>
      </c>
      <c r="AD225">
        <v>0</v>
      </c>
      <c r="AE225">
        <v>0</v>
      </c>
      <c r="AF225">
        <v>1.0740000000000001</v>
      </c>
      <c r="AG225">
        <v>2.1840000000000002</v>
      </c>
      <c r="AH225">
        <v>529.17899999999997</v>
      </c>
      <c r="AI225" t="s">
        <v>22</v>
      </c>
      <c r="AJ225">
        <v>747.5</v>
      </c>
      <c r="AK225">
        <v>880</v>
      </c>
      <c r="AL225">
        <v>132.5</v>
      </c>
      <c r="AM225">
        <v>2.5</v>
      </c>
      <c r="AN225">
        <v>7.5</v>
      </c>
      <c r="AO225">
        <v>0</v>
      </c>
      <c r="AP225">
        <v>0</v>
      </c>
      <c r="AQ225">
        <v>0</v>
      </c>
      <c r="AR225">
        <v>5</v>
      </c>
      <c r="AS225">
        <v>85</v>
      </c>
      <c r="AT225">
        <v>1860</v>
      </c>
      <c r="AU225" t="s">
        <v>34</v>
      </c>
    </row>
    <row r="226" spans="1:47" x14ac:dyDescent="0.2">
      <c r="A226">
        <v>1469</v>
      </c>
      <c r="B226" t="s">
        <v>932</v>
      </c>
      <c r="C226">
        <v>33</v>
      </c>
      <c r="D226" t="s">
        <v>556</v>
      </c>
      <c r="G226" t="str">
        <f t="shared" si="3"/>
        <v>SWL200433UTBS5</v>
      </c>
      <c r="H226">
        <v>64.671166999999997</v>
      </c>
      <c r="I226">
        <v>-169.92175</v>
      </c>
      <c r="J226" s="3">
        <v>20040717</v>
      </c>
      <c r="K226">
        <v>2004</v>
      </c>
      <c r="L226">
        <v>21.682880000000001</v>
      </c>
      <c r="M226">
        <v>14.916079999999999</v>
      </c>
      <c r="N226">
        <v>7.9079999999999998E-2</v>
      </c>
      <c r="O226">
        <v>3.6000000000000002E-4</v>
      </c>
      <c r="P226">
        <v>0</v>
      </c>
      <c r="Q226">
        <v>0</v>
      </c>
      <c r="R226">
        <v>0</v>
      </c>
      <c r="S226">
        <v>0.39682000000000001</v>
      </c>
      <c r="T226">
        <v>0</v>
      </c>
      <c r="U226">
        <v>7.43E-3</v>
      </c>
      <c r="V226">
        <v>37.082650000000001</v>
      </c>
      <c r="W226" t="s">
        <v>9</v>
      </c>
      <c r="X226">
        <v>312.44099999999997</v>
      </c>
      <c r="Y226">
        <v>424.69600000000003</v>
      </c>
      <c r="Z226">
        <v>1.0860000000000001</v>
      </c>
      <c r="AA226">
        <v>8.0000000000000002E-3</v>
      </c>
      <c r="AB226">
        <v>0</v>
      </c>
      <c r="AC226">
        <v>0</v>
      </c>
      <c r="AD226">
        <v>0</v>
      </c>
      <c r="AE226">
        <v>28.344000000000001</v>
      </c>
      <c r="AF226">
        <v>0</v>
      </c>
      <c r="AG226">
        <v>0.72899999999999998</v>
      </c>
      <c r="AH226">
        <v>767.30399999999997</v>
      </c>
      <c r="AI226" t="s">
        <v>22</v>
      </c>
      <c r="AJ226">
        <v>642.5</v>
      </c>
      <c r="AK226">
        <v>510</v>
      </c>
      <c r="AL226">
        <v>260</v>
      </c>
      <c r="AM226">
        <v>7.5</v>
      </c>
      <c r="AN226">
        <v>0</v>
      </c>
      <c r="AO226">
        <v>0</v>
      </c>
      <c r="AP226">
        <v>0</v>
      </c>
      <c r="AQ226">
        <v>22.5</v>
      </c>
      <c r="AR226">
        <v>0</v>
      </c>
      <c r="AS226">
        <v>7.5</v>
      </c>
      <c r="AT226">
        <v>1450</v>
      </c>
      <c r="AU226" t="s">
        <v>33</v>
      </c>
    </row>
    <row r="227" spans="1:47" x14ac:dyDescent="0.2">
      <c r="A227">
        <v>1470</v>
      </c>
      <c r="B227" t="s">
        <v>932</v>
      </c>
      <c r="C227">
        <v>34</v>
      </c>
      <c r="D227" t="s">
        <v>557</v>
      </c>
      <c r="G227" t="str">
        <f t="shared" si="3"/>
        <v>SWL200434UTBS2</v>
      </c>
      <c r="H227">
        <v>64.683032999999995</v>
      </c>
      <c r="I227">
        <v>-169.09989999999999</v>
      </c>
      <c r="J227" s="3">
        <v>20040717</v>
      </c>
      <c r="K227">
        <v>2004</v>
      </c>
      <c r="L227">
        <v>5.83941</v>
      </c>
      <c r="M227">
        <v>4.1511899999999997</v>
      </c>
      <c r="N227">
        <v>13.40911</v>
      </c>
      <c r="O227">
        <v>3.2000000000000001E-2</v>
      </c>
      <c r="P227">
        <v>1.25E-3</v>
      </c>
      <c r="Q227">
        <v>0</v>
      </c>
      <c r="R227">
        <v>0</v>
      </c>
      <c r="S227">
        <v>0</v>
      </c>
      <c r="T227">
        <v>5.5890000000000002E-2</v>
      </c>
      <c r="U227">
        <v>1.6650000000000002E-2</v>
      </c>
      <c r="V227">
        <v>23.505500000000001</v>
      </c>
      <c r="W227" t="s">
        <v>11</v>
      </c>
      <c r="X227">
        <v>82.805000000000007</v>
      </c>
      <c r="Y227">
        <v>266.233</v>
      </c>
      <c r="Z227">
        <v>197.334</v>
      </c>
      <c r="AA227">
        <v>0.71099999999999997</v>
      </c>
      <c r="AB227">
        <v>8.8999999999999996E-2</v>
      </c>
      <c r="AC227">
        <v>0</v>
      </c>
      <c r="AD227">
        <v>0</v>
      </c>
      <c r="AE227">
        <v>0</v>
      </c>
      <c r="AF227">
        <v>0.60099999999999998</v>
      </c>
      <c r="AG227">
        <v>1.2190000000000001</v>
      </c>
      <c r="AH227">
        <v>548.99199999999996</v>
      </c>
      <c r="AI227" t="s">
        <v>22</v>
      </c>
      <c r="AJ227">
        <v>397.5</v>
      </c>
      <c r="AK227">
        <v>447.5</v>
      </c>
      <c r="AL227">
        <v>4740</v>
      </c>
      <c r="AM227">
        <v>27.5</v>
      </c>
      <c r="AN227">
        <v>2.5</v>
      </c>
      <c r="AO227">
        <v>0</v>
      </c>
      <c r="AP227">
        <v>0</v>
      </c>
      <c r="AQ227">
        <v>0</v>
      </c>
      <c r="AR227">
        <v>27.5</v>
      </c>
      <c r="AS227">
        <v>17.5</v>
      </c>
      <c r="AT227">
        <v>5660</v>
      </c>
      <c r="AU227" t="s">
        <v>35</v>
      </c>
    </row>
    <row r="228" spans="1:47" x14ac:dyDescent="0.2">
      <c r="A228">
        <v>1471</v>
      </c>
      <c r="B228" t="s">
        <v>932</v>
      </c>
      <c r="C228">
        <v>35</v>
      </c>
      <c r="D228" t="s">
        <v>558</v>
      </c>
      <c r="G228" t="str">
        <f t="shared" si="3"/>
        <v>SWL200435UTBS4</v>
      </c>
      <c r="H228">
        <v>64.958567000000002</v>
      </c>
      <c r="I228">
        <v>-169.883083</v>
      </c>
      <c r="J228" s="3">
        <v>20040717</v>
      </c>
      <c r="K228">
        <v>2004</v>
      </c>
      <c r="L228">
        <v>2.52081</v>
      </c>
      <c r="M228">
        <v>2.2699500000000001</v>
      </c>
      <c r="N228">
        <v>4.2487000000000004</v>
      </c>
      <c r="O228">
        <v>1.004E-2</v>
      </c>
      <c r="P228">
        <v>2.5000000000000001E-4</v>
      </c>
      <c r="Q228">
        <v>0</v>
      </c>
      <c r="R228">
        <v>0</v>
      </c>
      <c r="S228">
        <v>0</v>
      </c>
      <c r="T228">
        <v>3.4399999999999999E-3</v>
      </c>
      <c r="U228">
        <v>4.4999999999999999E-4</v>
      </c>
      <c r="V228">
        <v>9.0536399999999997</v>
      </c>
      <c r="W228" t="s">
        <v>11</v>
      </c>
      <c r="X228">
        <v>35.383000000000003</v>
      </c>
      <c r="Y228">
        <v>80.034999999999997</v>
      </c>
      <c r="Z228">
        <v>62.475999999999999</v>
      </c>
      <c r="AA228">
        <v>0.223</v>
      </c>
      <c r="AB228">
        <v>1.7999999999999999E-2</v>
      </c>
      <c r="AC228">
        <v>0</v>
      </c>
      <c r="AD228">
        <v>0</v>
      </c>
      <c r="AE228">
        <v>0</v>
      </c>
      <c r="AF228">
        <v>3.6999999999999998E-2</v>
      </c>
      <c r="AG228">
        <v>0.01</v>
      </c>
      <c r="AH228">
        <v>178.18199999999999</v>
      </c>
      <c r="AI228" t="s">
        <v>22</v>
      </c>
      <c r="AJ228">
        <v>255</v>
      </c>
      <c r="AK228">
        <v>332.5</v>
      </c>
      <c r="AL228">
        <v>932.5</v>
      </c>
      <c r="AM228">
        <v>30</v>
      </c>
      <c r="AN228">
        <v>2.5</v>
      </c>
      <c r="AO228">
        <v>0</v>
      </c>
      <c r="AP228">
        <v>0</v>
      </c>
      <c r="AQ228">
        <v>0</v>
      </c>
      <c r="AR228">
        <v>10</v>
      </c>
      <c r="AS228">
        <v>5</v>
      </c>
      <c r="AT228">
        <v>1567.5</v>
      </c>
      <c r="AU228" t="s">
        <v>35</v>
      </c>
    </row>
    <row r="229" spans="1:47" x14ac:dyDescent="0.2">
      <c r="A229">
        <v>1472</v>
      </c>
      <c r="B229" t="s">
        <v>932</v>
      </c>
      <c r="C229">
        <v>36</v>
      </c>
      <c r="D229" t="s">
        <v>179</v>
      </c>
      <c r="G229" t="str">
        <f t="shared" si="3"/>
        <v>SWL200436UTBS1</v>
      </c>
      <c r="H229">
        <v>64.992433000000005</v>
      </c>
      <c r="I229">
        <v>-169.14833300000001</v>
      </c>
      <c r="J229" s="3">
        <v>20040717</v>
      </c>
      <c r="K229">
        <v>2004</v>
      </c>
      <c r="L229">
        <v>2.4171800000000001</v>
      </c>
      <c r="M229">
        <v>7.7397099999999996</v>
      </c>
      <c r="N229">
        <v>10.339230000000001</v>
      </c>
      <c r="O229">
        <v>0</v>
      </c>
      <c r="P229">
        <v>0</v>
      </c>
      <c r="Q229">
        <v>0</v>
      </c>
      <c r="R229">
        <v>0.11187</v>
      </c>
      <c r="S229">
        <v>2.3789999999999999E-2</v>
      </c>
      <c r="T229">
        <v>0.10471999999999999</v>
      </c>
      <c r="U229">
        <v>2.5999999999999998E-4</v>
      </c>
      <c r="V229">
        <v>20.73676</v>
      </c>
      <c r="W229" t="s">
        <v>11</v>
      </c>
      <c r="X229">
        <v>33.447000000000003</v>
      </c>
      <c r="Y229">
        <v>374.28399999999999</v>
      </c>
      <c r="Z229">
        <v>151.22800000000001</v>
      </c>
      <c r="AA229">
        <v>0</v>
      </c>
      <c r="AB229">
        <v>0</v>
      </c>
      <c r="AC229">
        <v>0</v>
      </c>
      <c r="AD229">
        <v>1.8340000000000001</v>
      </c>
      <c r="AE229">
        <v>1.6990000000000001</v>
      </c>
      <c r="AF229">
        <v>1.1259999999999999</v>
      </c>
      <c r="AG229">
        <v>2.5999999999999999E-2</v>
      </c>
      <c r="AH229">
        <v>563.64400000000001</v>
      </c>
      <c r="AI229" t="s">
        <v>22</v>
      </c>
      <c r="AJ229">
        <v>262.5</v>
      </c>
      <c r="AK229">
        <v>817.5</v>
      </c>
      <c r="AL229">
        <v>2972.5</v>
      </c>
      <c r="AM229">
        <v>0</v>
      </c>
      <c r="AN229">
        <v>0</v>
      </c>
      <c r="AO229">
        <v>0</v>
      </c>
      <c r="AP229">
        <v>2.5</v>
      </c>
      <c r="AQ229">
        <v>2.5</v>
      </c>
      <c r="AR229">
        <v>12.5</v>
      </c>
      <c r="AS229">
        <v>2.5</v>
      </c>
      <c r="AT229">
        <v>4072.5</v>
      </c>
      <c r="AU229" t="s">
        <v>35</v>
      </c>
    </row>
    <row r="230" spans="1:47" x14ac:dyDescent="0.2">
      <c r="A230">
        <v>1473</v>
      </c>
      <c r="B230" t="s">
        <v>932</v>
      </c>
      <c r="C230">
        <v>42</v>
      </c>
      <c r="D230" t="s">
        <v>559</v>
      </c>
      <c r="G230" t="str">
        <f t="shared" si="3"/>
        <v>SWL200442UTN1</v>
      </c>
      <c r="H230">
        <v>66.708117000000001</v>
      </c>
      <c r="I230">
        <v>-168.39921699999999</v>
      </c>
      <c r="J230" s="3">
        <v>20040718</v>
      </c>
      <c r="K230">
        <v>2004</v>
      </c>
      <c r="L230">
        <v>4.1372799999999996</v>
      </c>
      <c r="M230">
        <v>0.13736000000000001</v>
      </c>
      <c r="N230">
        <v>2.274E-2</v>
      </c>
      <c r="O230">
        <v>0</v>
      </c>
      <c r="P230">
        <v>4.8999999999999998E-4</v>
      </c>
      <c r="Q230">
        <v>8.7469999999999999</v>
      </c>
      <c r="R230">
        <v>0.50775999999999999</v>
      </c>
      <c r="S230">
        <v>1.4205000000000001</v>
      </c>
      <c r="T230">
        <v>3.8780000000000002E-2</v>
      </c>
      <c r="U230">
        <v>0.11658</v>
      </c>
      <c r="V230">
        <v>15.128489999999999</v>
      </c>
      <c r="W230" t="s">
        <v>14</v>
      </c>
      <c r="X230">
        <v>59.082999999999998</v>
      </c>
      <c r="Y230">
        <v>4.6840000000000002</v>
      </c>
      <c r="Z230">
        <v>0.32200000000000001</v>
      </c>
      <c r="AA230">
        <v>0</v>
      </c>
      <c r="AB230">
        <v>3.5000000000000003E-2</v>
      </c>
      <c r="AC230">
        <v>1093.375</v>
      </c>
      <c r="AD230">
        <v>8.3239999999999998</v>
      </c>
      <c r="AE230">
        <v>100.533</v>
      </c>
      <c r="AF230">
        <v>0.41699999999999998</v>
      </c>
      <c r="AG230">
        <v>3.903</v>
      </c>
      <c r="AH230">
        <v>1270.6759999999999</v>
      </c>
      <c r="AI230" t="s">
        <v>26</v>
      </c>
      <c r="AJ230">
        <v>435</v>
      </c>
      <c r="AK230">
        <v>365</v>
      </c>
      <c r="AL230">
        <v>255</v>
      </c>
      <c r="AM230">
        <v>0</v>
      </c>
      <c r="AN230">
        <v>10</v>
      </c>
      <c r="AO230">
        <v>187.5</v>
      </c>
      <c r="AP230">
        <v>20</v>
      </c>
      <c r="AQ230">
        <v>122.5</v>
      </c>
      <c r="AR230">
        <v>0</v>
      </c>
      <c r="AS230">
        <v>17.5</v>
      </c>
      <c r="AT230">
        <v>1412.5</v>
      </c>
      <c r="AU230" t="s">
        <v>33</v>
      </c>
    </row>
    <row r="231" spans="1:47" x14ac:dyDescent="0.2">
      <c r="A231">
        <v>1474</v>
      </c>
      <c r="B231" t="s">
        <v>932</v>
      </c>
      <c r="C231">
        <v>43</v>
      </c>
      <c r="D231" t="s">
        <v>560</v>
      </c>
      <c r="G231" t="str">
        <f t="shared" si="3"/>
        <v>SWL200443UTN2</v>
      </c>
      <c r="H231">
        <v>67.061667</v>
      </c>
      <c r="I231">
        <v>-168.73699999999999</v>
      </c>
      <c r="J231" s="3">
        <v>20040718</v>
      </c>
      <c r="K231">
        <v>2004</v>
      </c>
      <c r="L231">
        <v>4.2814199999999998</v>
      </c>
      <c r="M231">
        <v>7.0910399999999996</v>
      </c>
      <c r="N231">
        <v>0.1023</v>
      </c>
      <c r="O231">
        <v>0</v>
      </c>
      <c r="P231">
        <v>6.0000000000000002E-5</v>
      </c>
      <c r="Q231">
        <v>0</v>
      </c>
      <c r="R231">
        <v>0.51149</v>
      </c>
      <c r="S231">
        <v>0</v>
      </c>
      <c r="T231">
        <v>0.27128000000000002</v>
      </c>
      <c r="U231">
        <v>9.9199999999999997E-2</v>
      </c>
      <c r="V231">
        <v>12.35679</v>
      </c>
      <c r="W231" t="s">
        <v>10</v>
      </c>
      <c r="X231">
        <v>61.006999999999998</v>
      </c>
      <c r="Y231">
        <v>309.85899999999998</v>
      </c>
      <c r="Z231">
        <v>1.3620000000000001</v>
      </c>
      <c r="AA231">
        <v>0</v>
      </c>
      <c r="AB231">
        <v>4.0000000000000001E-3</v>
      </c>
      <c r="AC231">
        <v>0</v>
      </c>
      <c r="AD231">
        <v>8.3849999999999998</v>
      </c>
      <c r="AE231">
        <v>0</v>
      </c>
      <c r="AF231">
        <v>2.9169999999999998</v>
      </c>
      <c r="AG231">
        <v>2.202</v>
      </c>
      <c r="AH231">
        <v>385.73599999999999</v>
      </c>
      <c r="AI231" t="s">
        <v>22</v>
      </c>
      <c r="AJ231">
        <v>445</v>
      </c>
      <c r="AK231">
        <v>532.5</v>
      </c>
      <c r="AL231">
        <v>1207.5</v>
      </c>
      <c r="AM231">
        <v>0</v>
      </c>
      <c r="AN231">
        <v>2.5</v>
      </c>
      <c r="AO231">
        <v>0</v>
      </c>
      <c r="AP231">
        <v>17.5</v>
      </c>
      <c r="AQ231">
        <v>0</v>
      </c>
      <c r="AR231">
        <v>5</v>
      </c>
      <c r="AS231">
        <v>10</v>
      </c>
      <c r="AT231">
        <v>2220</v>
      </c>
      <c r="AU231" t="s">
        <v>35</v>
      </c>
    </row>
    <row r="232" spans="1:47" x14ac:dyDescent="0.2">
      <c r="A232">
        <v>1475</v>
      </c>
      <c r="B232" t="s">
        <v>932</v>
      </c>
      <c r="C232">
        <v>44</v>
      </c>
      <c r="D232" t="s">
        <v>561</v>
      </c>
      <c r="G232" t="str">
        <f t="shared" si="3"/>
        <v>SWL200444UTN3</v>
      </c>
      <c r="H232">
        <v>67.344999999999999</v>
      </c>
      <c r="I232">
        <v>-168.99693300000001</v>
      </c>
      <c r="J232" s="3">
        <v>20040718</v>
      </c>
      <c r="K232">
        <v>2004</v>
      </c>
      <c r="L232">
        <v>4.9565599999999996</v>
      </c>
      <c r="M232">
        <v>11.70917</v>
      </c>
      <c r="N232">
        <v>9.4730100000000004</v>
      </c>
      <c r="O232">
        <v>0</v>
      </c>
      <c r="P232">
        <v>0.17074</v>
      </c>
      <c r="Q232">
        <v>0</v>
      </c>
      <c r="R232">
        <v>3.6666500000000002</v>
      </c>
      <c r="S232">
        <v>0</v>
      </c>
      <c r="T232">
        <v>0.16796</v>
      </c>
      <c r="U232">
        <v>0.69391000000000003</v>
      </c>
      <c r="V232">
        <v>30.838000000000001</v>
      </c>
      <c r="W232" t="s">
        <v>10</v>
      </c>
      <c r="X232">
        <v>72.570999999999998</v>
      </c>
      <c r="Y232">
        <v>326.48399999999998</v>
      </c>
      <c r="Z232">
        <v>113.672</v>
      </c>
      <c r="AA232">
        <v>0</v>
      </c>
      <c r="AB232">
        <v>12.196</v>
      </c>
      <c r="AC232">
        <v>0</v>
      </c>
      <c r="AD232">
        <v>60.109000000000002</v>
      </c>
      <c r="AE232">
        <v>0</v>
      </c>
      <c r="AF232">
        <v>1.806</v>
      </c>
      <c r="AG232">
        <v>32.86</v>
      </c>
      <c r="AH232">
        <v>619.69799999999998</v>
      </c>
      <c r="AI232" t="s">
        <v>22</v>
      </c>
      <c r="AJ232">
        <v>2270</v>
      </c>
      <c r="AK232">
        <v>2822.5</v>
      </c>
      <c r="AL232">
        <v>22527.5</v>
      </c>
      <c r="AM232">
        <v>0</v>
      </c>
      <c r="AN232">
        <v>7.5</v>
      </c>
      <c r="AO232">
        <v>0</v>
      </c>
      <c r="AP232">
        <v>70</v>
      </c>
      <c r="AQ232">
        <v>0</v>
      </c>
      <c r="AR232">
        <v>7.5</v>
      </c>
      <c r="AS232">
        <v>347.5</v>
      </c>
      <c r="AT232">
        <v>28052.5</v>
      </c>
      <c r="AU232" t="s">
        <v>35</v>
      </c>
    </row>
    <row r="233" spans="1:47" x14ac:dyDescent="0.2">
      <c r="A233">
        <v>1476</v>
      </c>
      <c r="B233" t="s">
        <v>932</v>
      </c>
      <c r="C233">
        <v>45</v>
      </c>
      <c r="D233" t="s">
        <v>562</v>
      </c>
      <c r="G233" t="str">
        <f t="shared" si="3"/>
        <v>SWL200445UTN4</v>
      </c>
      <c r="H233">
        <v>67.502717000000004</v>
      </c>
      <c r="I233">
        <v>-168.90941699999999</v>
      </c>
      <c r="J233" s="3">
        <v>20040719</v>
      </c>
      <c r="K233">
        <v>2004</v>
      </c>
      <c r="L233">
        <v>6.9225700000000003</v>
      </c>
      <c r="M233">
        <v>15.858420000000001</v>
      </c>
      <c r="N233">
        <v>6.2237400000000003</v>
      </c>
      <c r="O233">
        <v>8.9999999999999998E-4</v>
      </c>
      <c r="P233">
        <v>0.27866999999999997</v>
      </c>
      <c r="Q233">
        <v>0</v>
      </c>
      <c r="R233">
        <v>2.9564300000000001</v>
      </c>
      <c r="S233">
        <v>0.24034</v>
      </c>
      <c r="T233">
        <v>0.20227000000000001</v>
      </c>
      <c r="U233">
        <v>0.30292000000000002</v>
      </c>
      <c r="V233">
        <v>32.986260000000001</v>
      </c>
      <c r="W233" t="s">
        <v>10</v>
      </c>
      <c r="X233">
        <v>96.367999999999995</v>
      </c>
      <c r="Y233">
        <v>449.29700000000003</v>
      </c>
      <c r="Z233">
        <v>69.203000000000003</v>
      </c>
      <c r="AA233">
        <v>0.02</v>
      </c>
      <c r="AB233">
        <v>19.905000000000001</v>
      </c>
      <c r="AC233">
        <v>0</v>
      </c>
      <c r="AD233">
        <v>48.466000000000001</v>
      </c>
      <c r="AE233">
        <v>17.167000000000002</v>
      </c>
      <c r="AF233">
        <v>2.1749999999999998</v>
      </c>
      <c r="AG233">
        <v>13.332000000000001</v>
      </c>
      <c r="AH233">
        <v>715.93299999999999</v>
      </c>
      <c r="AI233" t="s">
        <v>22</v>
      </c>
      <c r="AJ233">
        <v>1255</v>
      </c>
      <c r="AK233">
        <v>1287.5</v>
      </c>
      <c r="AL233">
        <v>5732.5</v>
      </c>
      <c r="AM233">
        <v>7.5</v>
      </c>
      <c r="AN233">
        <v>2.5</v>
      </c>
      <c r="AO233">
        <v>0</v>
      </c>
      <c r="AP233">
        <v>75</v>
      </c>
      <c r="AQ233">
        <v>5</v>
      </c>
      <c r="AR233">
        <v>12.5</v>
      </c>
      <c r="AS233">
        <v>87.5</v>
      </c>
      <c r="AT233">
        <v>8465</v>
      </c>
      <c r="AU233" t="s">
        <v>35</v>
      </c>
    </row>
    <row r="234" spans="1:47" x14ac:dyDescent="0.2">
      <c r="A234">
        <v>1477</v>
      </c>
      <c r="B234" t="s">
        <v>932</v>
      </c>
      <c r="C234">
        <v>46</v>
      </c>
      <c r="D234" t="s">
        <v>306</v>
      </c>
      <c r="G234" t="str">
        <f t="shared" si="3"/>
        <v>SWL200446UTN5=SEC1</v>
      </c>
      <c r="H234">
        <v>67.669799999999995</v>
      </c>
      <c r="I234">
        <v>-168.9581</v>
      </c>
      <c r="J234" s="3">
        <v>20040719</v>
      </c>
      <c r="K234">
        <v>2004</v>
      </c>
      <c r="L234">
        <v>3.9998300000000002</v>
      </c>
      <c r="M234">
        <v>32.878270000000001</v>
      </c>
      <c r="N234">
        <v>4.3552499999999998</v>
      </c>
      <c r="O234">
        <v>0</v>
      </c>
      <c r="P234">
        <v>3.9E-2</v>
      </c>
      <c r="Q234">
        <v>0</v>
      </c>
      <c r="R234">
        <v>4.3918200000000001</v>
      </c>
      <c r="S234">
        <v>0</v>
      </c>
      <c r="T234">
        <v>0.29638999999999999</v>
      </c>
      <c r="U234">
        <v>0.18623999999999999</v>
      </c>
      <c r="V234">
        <v>46.146799999999999</v>
      </c>
      <c r="W234" t="s">
        <v>10</v>
      </c>
      <c r="X234">
        <v>62.573</v>
      </c>
      <c r="Y234">
        <v>893.928</v>
      </c>
      <c r="Z234">
        <v>49.378</v>
      </c>
      <c r="AA234">
        <v>0</v>
      </c>
      <c r="AB234">
        <v>2.786</v>
      </c>
      <c r="AC234">
        <v>0</v>
      </c>
      <c r="AD234">
        <v>71.997</v>
      </c>
      <c r="AE234">
        <v>0</v>
      </c>
      <c r="AF234">
        <v>3.1869999999999998</v>
      </c>
      <c r="AG234">
        <v>7.8209999999999997</v>
      </c>
      <c r="AH234">
        <v>1091.67</v>
      </c>
      <c r="AI234" t="s">
        <v>22</v>
      </c>
      <c r="AJ234">
        <v>1867.5</v>
      </c>
      <c r="AK234">
        <v>2657.5</v>
      </c>
      <c r="AL234">
        <v>5502.5</v>
      </c>
      <c r="AM234">
        <v>0</v>
      </c>
      <c r="AN234">
        <v>22.5</v>
      </c>
      <c r="AO234">
        <v>0</v>
      </c>
      <c r="AP234">
        <v>80</v>
      </c>
      <c r="AQ234">
        <v>0</v>
      </c>
      <c r="AR234">
        <v>30</v>
      </c>
      <c r="AS234">
        <v>105</v>
      </c>
      <c r="AT234">
        <v>10265</v>
      </c>
      <c r="AU234" t="s">
        <v>35</v>
      </c>
    </row>
    <row r="235" spans="1:47" x14ac:dyDescent="0.2">
      <c r="A235">
        <v>1478</v>
      </c>
      <c r="B235" t="s">
        <v>932</v>
      </c>
      <c r="C235">
        <v>47</v>
      </c>
      <c r="D235" t="s">
        <v>563</v>
      </c>
      <c r="G235" t="str">
        <f t="shared" si="3"/>
        <v>SWL200447UTN6</v>
      </c>
      <c r="H235">
        <v>67.736433000000005</v>
      </c>
      <c r="I235">
        <v>-168.44056699999999</v>
      </c>
      <c r="J235" s="3">
        <v>20040719</v>
      </c>
      <c r="K235">
        <v>2004</v>
      </c>
      <c r="L235">
        <v>2.7633200000000002</v>
      </c>
      <c r="M235">
        <v>6.9374799999999999</v>
      </c>
      <c r="N235">
        <v>5.2426700000000004</v>
      </c>
      <c r="O235">
        <v>1.3999999999999999E-4</v>
      </c>
      <c r="P235">
        <v>3.7240000000000002E-2</v>
      </c>
      <c r="Q235">
        <v>0</v>
      </c>
      <c r="R235">
        <v>1.5258499999999999</v>
      </c>
      <c r="S235">
        <v>0</v>
      </c>
      <c r="T235">
        <v>8.6489999999999997E-2</v>
      </c>
      <c r="U235">
        <v>0.49796000000000001</v>
      </c>
      <c r="V235">
        <v>17.091149999999999</v>
      </c>
      <c r="W235" t="s">
        <v>10</v>
      </c>
      <c r="X235">
        <v>35.460999999999999</v>
      </c>
      <c r="Y235">
        <v>185.64</v>
      </c>
      <c r="Z235">
        <v>59.311</v>
      </c>
      <c r="AA235">
        <v>3.0000000000000001E-3</v>
      </c>
      <c r="AB235">
        <v>2.66</v>
      </c>
      <c r="AC235">
        <v>0</v>
      </c>
      <c r="AD235">
        <v>25.013999999999999</v>
      </c>
      <c r="AE235">
        <v>0</v>
      </c>
      <c r="AF235">
        <v>0.93</v>
      </c>
      <c r="AG235">
        <v>11.249000000000001</v>
      </c>
      <c r="AH235">
        <v>320.26799999999997</v>
      </c>
      <c r="AI235" t="s">
        <v>22</v>
      </c>
      <c r="AJ235">
        <v>485</v>
      </c>
      <c r="AK235">
        <v>595</v>
      </c>
      <c r="AL235">
        <v>4937.5</v>
      </c>
      <c r="AM235">
        <v>2.5</v>
      </c>
      <c r="AN235">
        <v>12.5</v>
      </c>
      <c r="AO235">
        <v>0</v>
      </c>
      <c r="AP235">
        <v>30</v>
      </c>
      <c r="AQ235">
        <v>0</v>
      </c>
      <c r="AR235">
        <v>15</v>
      </c>
      <c r="AS235">
        <v>32.5</v>
      </c>
      <c r="AT235">
        <v>6110</v>
      </c>
      <c r="AU235" t="s">
        <v>35</v>
      </c>
    </row>
    <row r="236" spans="1:47" x14ac:dyDescent="0.2">
      <c r="A236">
        <v>1479</v>
      </c>
      <c r="B236" t="s">
        <v>932</v>
      </c>
      <c r="C236">
        <v>48</v>
      </c>
      <c r="D236" t="s">
        <v>564</v>
      </c>
      <c r="G236" t="str">
        <f t="shared" si="3"/>
        <v>SWL200448UTN7</v>
      </c>
      <c r="H236">
        <v>67.998417000000003</v>
      </c>
      <c r="I236">
        <v>-168.932267</v>
      </c>
      <c r="J236" s="3">
        <v>20040719</v>
      </c>
      <c r="K236">
        <v>2004</v>
      </c>
      <c r="L236">
        <v>0.90402000000000005</v>
      </c>
      <c r="M236">
        <v>17.885400000000001</v>
      </c>
      <c r="N236">
        <v>4.7174800000000001</v>
      </c>
      <c r="O236">
        <v>0</v>
      </c>
      <c r="P236">
        <v>0</v>
      </c>
      <c r="Q236">
        <v>0</v>
      </c>
      <c r="R236">
        <v>9.8760000000000001E-2</v>
      </c>
      <c r="S236">
        <v>0</v>
      </c>
      <c r="T236">
        <v>0</v>
      </c>
      <c r="U236">
        <v>8.455E-2</v>
      </c>
      <c r="V236">
        <v>23.69021</v>
      </c>
      <c r="W236" t="s">
        <v>10</v>
      </c>
      <c r="X236">
        <v>11.670999999999999</v>
      </c>
      <c r="Y236">
        <v>527.404</v>
      </c>
      <c r="Z236">
        <v>51.673999999999999</v>
      </c>
      <c r="AA236">
        <v>0</v>
      </c>
      <c r="AB236">
        <v>0</v>
      </c>
      <c r="AC236">
        <v>0</v>
      </c>
      <c r="AD236">
        <v>1.619</v>
      </c>
      <c r="AE236">
        <v>0</v>
      </c>
      <c r="AF236">
        <v>0</v>
      </c>
      <c r="AG236">
        <v>2.153</v>
      </c>
      <c r="AH236">
        <v>594.52099999999996</v>
      </c>
      <c r="AI236" t="s">
        <v>22</v>
      </c>
      <c r="AJ236">
        <v>107.5</v>
      </c>
      <c r="AK236">
        <v>385</v>
      </c>
      <c r="AL236">
        <v>2612.5</v>
      </c>
      <c r="AM236">
        <v>0</v>
      </c>
      <c r="AN236">
        <v>0</v>
      </c>
      <c r="AO236">
        <v>0</v>
      </c>
      <c r="AP236">
        <v>5</v>
      </c>
      <c r="AQ236">
        <v>0</v>
      </c>
      <c r="AR236">
        <v>0</v>
      </c>
      <c r="AS236">
        <v>7.5</v>
      </c>
      <c r="AT236">
        <v>3117.5</v>
      </c>
      <c r="AU236" t="s">
        <v>35</v>
      </c>
    </row>
    <row r="237" spans="1:47" x14ac:dyDescent="0.2">
      <c r="A237">
        <v>1480</v>
      </c>
      <c r="B237" t="s">
        <v>566</v>
      </c>
      <c r="C237">
        <v>24</v>
      </c>
      <c r="D237" t="s">
        <v>551</v>
      </c>
      <c r="G237" t="str">
        <f t="shared" si="3"/>
        <v>SWL200524SLIP1</v>
      </c>
      <c r="H237">
        <v>62.013483000000001</v>
      </c>
      <c r="I237">
        <v>-175.05443299999999</v>
      </c>
      <c r="J237" s="3">
        <v>20050714</v>
      </c>
      <c r="K237">
        <v>2005</v>
      </c>
      <c r="L237">
        <v>4.4904099999999998</v>
      </c>
      <c r="M237">
        <v>9.63673</v>
      </c>
      <c r="N237">
        <v>5.0209999999999998E-2</v>
      </c>
      <c r="O237">
        <v>9.1400000000000006E-3</v>
      </c>
      <c r="P237">
        <v>0.69062999999999997</v>
      </c>
      <c r="Q237">
        <v>0</v>
      </c>
      <c r="R237">
        <v>0</v>
      </c>
      <c r="S237">
        <v>0</v>
      </c>
      <c r="T237">
        <v>1.10642</v>
      </c>
      <c r="U237">
        <v>1.9970000000000002E-2</v>
      </c>
      <c r="V237">
        <v>16.003509999999999</v>
      </c>
      <c r="W237" t="s">
        <v>10</v>
      </c>
      <c r="X237">
        <v>65.786000000000001</v>
      </c>
      <c r="Y237">
        <v>325.49099999999999</v>
      </c>
      <c r="Z237">
        <v>0.64900000000000002</v>
      </c>
      <c r="AA237">
        <v>0.20300000000000001</v>
      </c>
      <c r="AB237">
        <v>49.331000000000003</v>
      </c>
      <c r="AC237">
        <v>0</v>
      </c>
      <c r="AD237">
        <v>0</v>
      </c>
      <c r="AE237">
        <v>0</v>
      </c>
      <c r="AF237">
        <v>11.897</v>
      </c>
      <c r="AG237">
        <v>0.40500000000000003</v>
      </c>
      <c r="AH237">
        <v>453.762</v>
      </c>
      <c r="AI237" t="s">
        <v>22</v>
      </c>
      <c r="AJ237">
        <v>470</v>
      </c>
      <c r="AK237">
        <v>695</v>
      </c>
      <c r="AL237">
        <v>92.5</v>
      </c>
      <c r="AM237">
        <v>42.5</v>
      </c>
      <c r="AN237">
        <v>20</v>
      </c>
      <c r="AO237">
        <v>0</v>
      </c>
      <c r="AP237">
        <v>0</v>
      </c>
      <c r="AQ237">
        <v>0</v>
      </c>
      <c r="AR237">
        <v>5</v>
      </c>
      <c r="AS237">
        <v>122.5</v>
      </c>
      <c r="AT237">
        <v>1447.5</v>
      </c>
      <c r="AU237" t="s">
        <v>34</v>
      </c>
    </row>
    <row r="238" spans="1:47" x14ac:dyDescent="0.2">
      <c r="A238">
        <v>1481</v>
      </c>
      <c r="B238" t="s">
        <v>566</v>
      </c>
      <c r="C238">
        <v>25</v>
      </c>
      <c r="D238" t="s">
        <v>552</v>
      </c>
      <c r="G238" t="str">
        <f t="shared" si="3"/>
        <v>SWL200525SLIP2</v>
      </c>
      <c r="H238">
        <v>62.050716999999999</v>
      </c>
      <c r="I238">
        <v>-175.20438300000001</v>
      </c>
      <c r="J238" s="3">
        <v>20050714</v>
      </c>
      <c r="K238">
        <v>2005</v>
      </c>
      <c r="L238">
        <v>4.1974999999999998</v>
      </c>
      <c r="M238">
        <v>13.773860000000001</v>
      </c>
      <c r="N238">
        <v>2.8559999999999999E-2</v>
      </c>
      <c r="O238">
        <v>1.9529999999999999E-2</v>
      </c>
      <c r="P238">
        <v>0.18307999999999999</v>
      </c>
      <c r="Q238">
        <v>0</v>
      </c>
      <c r="R238">
        <v>0</v>
      </c>
      <c r="S238">
        <v>0</v>
      </c>
      <c r="T238">
        <v>0.59482999999999997</v>
      </c>
      <c r="U238">
        <v>3.7609999999999998E-2</v>
      </c>
      <c r="V238">
        <v>18.834969999999998</v>
      </c>
      <c r="W238" t="s">
        <v>10</v>
      </c>
      <c r="X238">
        <v>62.576999999999998</v>
      </c>
      <c r="Y238">
        <v>553.55499999999995</v>
      </c>
      <c r="Z238">
        <v>0.39300000000000002</v>
      </c>
      <c r="AA238">
        <v>0.434</v>
      </c>
      <c r="AB238">
        <v>13.077</v>
      </c>
      <c r="AC238">
        <v>0</v>
      </c>
      <c r="AD238">
        <v>0</v>
      </c>
      <c r="AE238">
        <v>0</v>
      </c>
      <c r="AF238">
        <v>6.3959999999999999</v>
      </c>
      <c r="AG238">
        <v>0.82099999999999995</v>
      </c>
      <c r="AH238">
        <v>637.25300000000004</v>
      </c>
      <c r="AI238" t="s">
        <v>22</v>
      </c>
      <c r="AJ238">
        <v>525</v>
      </c>
      <c r="AK238">
        <v>645</v>
      </c>
      <c r="AL238">
        <v>82.5</v>
      </c>
      <c r="AM238">
        <v>32.5</v>
      </c>
      <c r="AN238">
        <v>35</v>
      </c>
      <c r="AO238">
        <v>0</v>
      </c>
      <c r="AP238">
        <v>0</v>
      </c>
      <c r="AQ238">
        <v>0</v>
      </c>
      <c r="AR238">
        <v>7.5</v>
      </c>
      <c r="AS238">
        <v>52.5</v>
      </c>
      <c r="AT238">
        <v>1380</v>
      </c>
      <c r="AU238" t="s">
        <v>34</v>
      </c>
    </row>
    <row r="239" spans="1:47" x14ac:dyDescent="0.2">
      <c r="A239">
        <v>1482</v>
      </c>
      <c r="B239" t="s">
        <v>566</v>
      </c>
      <c r="C239">
        <v>26</v>
      </c>
      <c r="D239" t="s">
        <v>553</v>
      </c>
      <c r="G239" t="str">
        <f t="shared" si="3"/>
        <v>SWL200526SLIP3</v>
      </c>
      <c r="H239">
        <v>62.393368000000002</v>
      </c>
      <c r="I239">
        <v>-174.570472</v>
      </c>
      <c r="J239" s="3">
        <v>20050715</v>
      </c>
      <c r="K239">
        <v>2005</v>
      </c>
      <c r="L239">
        <v>4.7950499999999998</v>
      </c>
      <c r="M239">
        <v>8.0127000000000006</v>
      </c>
      <c r="N239">
        <v>0.16267000000000001</v>
      </c>
      <c r="O239">
        <v>2.2134200000000002</v>
      </c>
      <c r="P239">
        <v>0.20607</v>
      </c>
      <c r="Q239">
        <v>0</v>
      </c>
      <c r="R239">
        <v>2.6800000000000001E-3</v>
      </c>
      <c r="S239">
        <v>0</v>
      </c>
      <c r="T239">
        <v>0.34111999999999998</v>
      </c>
      <c r="U239">
        <v>2.6280000000000001E-2</v>
      </c>
      <c r="V239">
        <v>15.75999</v>
      </c>
      <c r="W239" t="s">
        <v>10</v>
      </c>
      <c r="X239">
        <v>68.301000000000002</v>
      </c>
      <c r="Y239">
        <v>343.911</v>
      </c>
      <c r="Z239">
        <v>2.0409999999999999</v>
      </c>
      <c r="AA239">
        <v>49.186999999999998</v>
      </c>
      <c r="AB239">
        <v>14.718999999999999</v>
      </c>
      <c r="AC239">
        <v>0</v>
      </c>
      <c r="AD239">
        <v>6.7000000000000004E-2</v>
      </c>
      <c r="AE239">
        <v>0</v>
      </c>
      <c r="AF239">
        <v>3.6680000000000001</v>
      </c>
      <c r="AG239">
        <v>0.68400000000000005</v>
      </c>
      <c r="AH239">
        <v>482.57799999999997</v>
      </c>
      <c r="AI239" t="s">
        <v>22</v>
      </c>
      <c r="AJ239">
        <v>805</v>
      </c>
      <c r="AK239">
        <v>975</v>
      </c>
      <c r="AL239">
        <v>127.5</v>
      </c>
      <c r="AM239">
        <v>20</v>
      </c>
      <c r="AN239">
        <v>40</v>
      </c>
      <c r="AO239">
        <v>0</v>
      </c>
      <c r="AP239">
        <v>2.5</v>
      </c>
      <c r="AQ239">
        <v>0</v>
      </c>
      <c r="AR239">
        <v>12.5</v>
      </c>
      <c r="AS239">
        <v>147.5</v>
      </c>
      <c r="AT239">
        <v>2130</v>
      </c>
      <c r="AU239" t="s">
        <v>34</v>
      </c>
    </row>
    <row r="240" spans="1:47" x14ac:dyDescent="0.2">
      <c r="A240">
        <v>1483</v>
      </c>
      <c r="B240" t="s">
        <v>566</v>
      </c>
      <c r="C240">
        <v>29</v>
      </c>
      <c r="D240" t="s">
        <v>554</v>
      </c>
      <c r="G240" t="str">
        <f t="shared" si="3"/>
        <v>SWL200529SLIP5</v>
      </c>
      <c r="H240">
        <v>62.563183000000002</v>
      </c>
      <c r="I240">
        <v>-173.55420000000001</v>
      </c>
      <c r="J240" s="3">
        <v>20050715</v>
      </c>
      <c r="K240">
        <v>2005</v>
      </c>
      <c r="L240">
        <v>3.7056</v>
      </c>
      <c r="M240">
        <v>18.650690000000001</v>
      </c>
      <c r="N240">
        <v>0.36068</v>
      </c>
      <c r="O240">
        <v>6.0299999999999998E-3</v>
      </c>
      <c r="P240">
        <v>0.36645</v>
      </c>
      <c r="Q240">
        <v>0</v>
      </c>
      <c r="R240">
        <v>0</v>
      </c>
      <c r="S240">
        <v>0</v>
      </c>
      <c r="T240">
        <v>6.1010000000000002E-2</v>
      </c>
      <c r="U240">
        <v>0.38024999999999998</v>
      </c>
      <c r="V240">
        <v>23.530709999999999</v>
      </c>
      <c r="W240" t="s">
        <v>10</v>
      </c>
      <c r="X240">
        <v>65.447000000000003</v>
      </c>
      <c r="Y240">
        <v>638.24400000000003</v>
      </c>
      <c r="Z240">
        <v>4.7460000000000004</v>
      </c>
      <c r="AA240">
        <v>0.13400000000000001</v>
      </c>
      <c r="AB240">
        <v>26.175000000000001</v>
      </c>
      <c r="AC240">
        <v>0</v>
      </c>
      <c r="AD240">
        <v>0</v>
      </c>
      <c r="AE240">
        <v>0</v>
      </c>
      <c r="AF240">
        <v>0.65600000000000003</v>
      </c>
      <c r="AG240">
        <v>8.6310000000000002</v>
      </c>
      <c r="AH240">
        <v>744.03300000000002</v>
      </c>
      <c r="AI240" t="s">
        <v>22</v>
      </c>
      <c r="AJ240">
        <v>670</v>
      </c>
      <c r="AK240">
        <v>1692.5</v>
      </c>
      <c r="AL240">
        <v>112.5</v>
      </c>
      <c r="AM240">
        <v>10</v>
      </c>
      <c r="AN240">
        <v>10</v>
      </c>
      <c r="AO240">
        <v>0</v>
      </c>
      <c r="AP240">
        <v>0</v>
      </c>
      <c r="AQ240">
        <v>0</v>
      </c>
      <c r="AR240">
        <v>7.5</v>
      </c>
      <c r="AS240">
        <v>85</v>
      </c>
      <c r="AT240">
        <v>2587.5</v>
      </c>
      <c r="AU240" t="s">
        <v>34</v>
      </c>
    </row>
    <row r="241" spans="1:47" x14ac:dyDescent="0.2">
      <c r="A241">
        <v>1484</v>
      </c>
      <c r="B241" t="s">
        <v>566</v>
      </c>
      <c r="C241">
        <v>30</v>
      </c>
      <c r="D241" t="s">
        <v>555</v>
      </c>
      <c r="G241" t="str">
        <f t="shared" si="3"/>
        <v>SWL200530SLIP4</v>
      </c>
      <c r="H241">
        <v>63.029266999999997</v>
      </c>
      <c r="I241">
        <v>-173.45750000000001</v>
      </c>
      <c r="J241" s="3">
        <v>20050715</v>
      </c>
      <c r="K241">
        <v>2005</v>
      </c>
      <c r="L241">
        <v>4.1767799999999999</v>
      </c>
      <c r="M241">
        <v>11.88922</v>
      </c>
      <c r="N241">
        <v>0.74634</v>
      </c>
      <c r="O241">
        <v>3.7310000000000003E-2</v>
      </c>
      <c r="P241">
        <v>0.13086999999999999</v>
      </c>
      <c r="Q241">
        <v>0</v>
      </c>
      <c r="R241">
        <v>0</v>
      </c>
      <c r="S241">
        <v>0</v>
      </c>
      <c r="T241">
        <v>0.18461</v>
      </c>
      <c r="U241">
        <v>0.18212</v>
      </c>
      <c r="V241">
        <v>17.347249999999999</v>
      </c>
      <c r="W241" t="s">
        <v>10</v>
      </c>
      <c r="X241">
        <v>87.396000000000001</v>
      </c>
      <c r="Y241">
        <v>330.80599999999998</v>
      </c>
      <c r="Z241">
        <v>9.4749999999999996</v>
      </c>
      <c r="AA241">
        <v>0.82899999999999996</v>
      </c>
      <c r="AB241">
        <v>9.3480000000000008</v>
      </c>
      <c r="AC241">
        <v>0</v>
      </c>
      <c r="AD241">
        <v>0</v>
      </c>
      <c r="AE241">
        <v>0</v>
      </c>
      <c r="AF241">
        <v>1.9850000000000001</v>
      </c>
      <c r="AG241">
        <v>3.2250000000000001</v>
      </c>
      <c r="AH241">
        <v>443.06400000000002</v>
      </c>
      <c r="AI241" t="s">
        <v>22</v>
      </c>
      <c r="AJ241">
        <v>710</v>
      </c>
      <c r="AK241">
        <v>1205</v>
      </c>
      <c r="AL241">
        <v>177.5</v>
      </c>
      <c r="AM241">
        <v>7.5</v>
      </c>
      <c r="AN241">
        <v>7.5</v>
      </c>
      <c r="AO241">
        <v>0</v>
      </c>
      <c r="AP241">
        <v>0</v>
      </c>
      <c r="AQ241">
        <v>0</v>
      </c>
      <c r="AR241">
        <v>10</v>
      </c>
      <c r="AS241">
        <v>85</v>
      </c>
      <c r="AT241">
        <v>2202.5</v>
      </c>
      <c r="AU241" t="s">
        <v>34</v>
      </c>
    </row>
    <row r="242" spans="1:47" x14ac:dyDescent="0.2">
      <c r="A242">
        <v>1485</v>
      </c>
      <c r="B242" t="s">
        <v>566</v>
      </c>
      <c r="C242">
        <v>32</v>
      </c>
      <c r="D242" t="s">
        <v>556</v>
      </c>
      <c r="G242" t="str">
        <f t="shared" si="3"/>
        <v>SWL200532UTBS5</v>
      </c>
      <c r="H242">
        <v>64.666826999999998</v>
      </c>
      <c r="I242">
        <v>-169.922167</v>
      </c>
      <c r="J242" s="3">
        <v>20050716</v>
      </c>
      <c r="K242">
        <v>2005</v>
      </c>
      <c r="L242">
        <v>20.192070000000001</v>
      </c>
      <c r="M242">
        <v>10.16783</v>
      </c>
      <c r="N242">
        <v>0.15048</v>
      </c>
      <c r="O242">
        <v>6.3000000000000003E-4</v>
      </c>
      <c r="P242">
        <v>0</v>
      </c>
      <c r="Q242">
        <v>0</v>
      </c>
      <c r="R242">
        <v>0</v>
      </c>
      <c r="S242">
        <v>0.10564</v>
      </c>
      <c r="T242">
        <v>0</v>
      </c>
      <c r="U242">
        <v>8.1999999999999998E-4</v>
      </c>
      <c r="V242">
        <v>30.617470000000001</v>
      </c>
      <c r="W242" t="s">
        <v>9</v>
      </c>
      <c r="X242">
        <v>292.08199999999999</v>
      </c>
      <c r="Y242">
        <v>284.44299999999998</v>
      </c>
      <c r="Z242">
        <v>2.165</v>
      </c>
      <c r="AA242">
        <v>1.4E-2</v>
      </c>
      <c r="AB242">
        <v>0</v>
      </c>
      <c r="AC242">
        <v>0</v>
      </c>
      <c r="AD242">
        <v>0</v>
      </c>
      <c r="AE242">
        <v>7.5460000000000003</v>
      </c>
      <c r="AF242">
        <v>0</v>
      </c>
      <c r="AG242">
        <v>3.9E-2</v>
      </c>
      <c r="AH242">
        <v>586.28899999999999</v>
      </c>
      <c r="AI242" t="s">
        <v>21</v>
      </c>
      <c r="AJ242">
        <v>705</v>
      </c>
      <c r="AK242">
        <v>570</v>
      </c>
      <c r="AL242">
        <v>505</v>
      </c>
      <c r="AM242">
        <v>5</v>
      </c>
      <c r="AN242">
        <v>0</v>
      </c>
      <c r="AO242">
        <v>0</v>
      </c>
      <c r="AP242">
        <v>0</v>
      </c>
      <c r="AQ242">
        <v>5</v>
      </c>
      <c r="AR242">
        <v>0</v>
      </c>
      <c r="AS242">
        <v>2.5</v>
      </c>
      <c r="AT242">
        <v>1792.5</v>
      </c>
      <c r="AU242" t="s">
        <v>33</v>
      </c>
    </row>
    <row r="243" spans="1:47" x14ac:dyDescent="0.2">
      <c r="A243">
        <v>1486</v>
      </c>
      <c r="B243" t="s">
        <v>566</v>
      </c>
      <c r="C243">
        <v>33</v>
      </c>
      <c r="D243" t="s">
        <v>557</v>
      </c>
      <c r="G243" t="str">
        <f t="shared" si="3"/>
        <v>SWL200533UTBS2</v>
      </c>
      <c r="H243">
        <v>64.682500000000005</v>
      </c>
      <c r="I243">
        <v>-169.09950000000001</v>
      </c>
      <c r="J243" s="3">
        <v>20050716</v>
      </c>
      <c r="K243">
        <v>2005</v>
      </c>
      <c r="L243">
        <v>3.71122</v>
      </c>
      <c r="M243">
        <v>2.2710900000000001</v>
      </c>
      <c r="N243">
        <v>7.35426</v>
      </c>
      <c r="O243">
        <v>1.2600000000000001E-3</v>
      </c>
      <c r="P243">
        <v>0</v>
      </c>
      <c r="Q243">
        <v>0</v>
      </c>
      <c r="R243">
        <v>0</v>
      </c>
      <c r="S243">
        <v>6.8669999999999995E-2</v>
      </c>
      <c r="T243">
        <v>0.17066000000000001</v>
      </c>
      <c r="U243">
        <v>6.4999999999999997E-4</v>
      </c>
      <c r="V243">
        <v>13.577809999999999</v>
      </c>
      <c r="W243" t="s">
        <v>11</v>
      </c>
      <c r="X243">
        <v>52.168999999999997</v>
      </c>
      <c r="Y243">
        <v>139.53200000000001</v>
      </c>
      <c r="Z243">
        <v>107.96</v>
      </c>
      <c r="AA243">
        <v>2.8000000000000001E-2</v>
      </c>
      <c r="AB243">
        <v>0</v>
      </c>
      <c r="AC243">
        <v>0</v>
      </c>
      <c r="AD243">
        <v>0</v>
      </c>
      <c r="AE243">
        <v>4.9050000000000002</v>
      </c>
      <c r="AF243">
        <v>1.835</v>
      </c>
      <c r="AG243">
        <v>1.2999999999999999E-2</v>
      </c>
      <c r="AH243">
        <v>306.44200000000001</v>
      </c>
      <c r="AI243" t="s">
        <v>22</v>
      </c>
      <c r="AJ243">
        <v>542.5</v>
      </c>
      <c r="AK243">
        <v>780</v>
      </c>
      <c r="AL243">
        <v>4780</v>
      </c>
      <c r="AM243">
        <v>2.5</v>
      </c>
      <c r="AN243">
        <v>0</v>
      </c>
      <c r="AO243">
        <v>0</v>
      </c>
      <c r="AP243">
        <v>0</v>
      </c>
      <c r="AQ243">
        <v>5</v>
      </c>
      <c r="AR243">
        <v>17.5</v>
      </c>
      <c r="AS243">
        <v>12.5</v>
      </c>
      <c r="AT243">
        <v>6140</v>
      </c>
      <c r="AU243" t="s">
        <v>35</v>
      </c>
    </row>
    <row r="244" spans="1:47" x14ac:dyDescent="0.2">
      <c r="A244">
        <v>1487</v>
      </c>
      <c r="B244" t="s">
        <v>566</v>
      </c>
      <c r="C244">
        <v>34</v>
      </c>
      <c r="D244" t="s">
        <v>558</v>
      </c>
      <c r="G244" t="str">
        <f t="shared" si="3"/>
        <v>SWL200534UTBS4</v>
      </c>
      <c r="H244">
        <v>64.958749999999995</v>
      </c>
      <c r="I244">
        <v>-169.88480200000001</v>
      </c>
      <c r="J244" s="3">
        <v>20050716</v>
      </c>
      <c r="K244">
        <v>2005</v>
      </c>
      <c r="L244">
        <v>1.6490499999999999</v>
      </c>
      <c r="M244">
        <v>3.6488499999999999</v>
      </c>
      <c r="N244">
        <v>1.24977</v>
      </c>
      <c r="O244">
        <v>4.0099999999999997E-3</v>
      </c>
      <c r="P244">
        <v>0</v>
      </c>
      <c r="Q244">
        <v>0</v>
      </c>
      <c r="R244">
        <v>0</v>
      </c>
      <c r="S244">
        <v>0</v>
      </c>
      <c r="T244">
        <v>4.6499999999999996E-3</v>
      </c>
      <c r="U244">
        <v>0.31670999999999999</v>
      </c>
      <c r="V244">
        <v>6.8730399999999996</v>
      </c>
      <c r="W244" t="s">
        <v>10</v>
      </c>
      <c r="X244">
        <v>23.297999999999998</v>
      </c>
      <c r="Y244">
        <v>139.31100000000001</v>
      </c>
      <c r="Z244">
        <v>18.388999999999999</v>
      </c>
      <c r="AA244">
        <v>8.8999999999999996E-2</v>
      </c>
      <c r="AB244">
        <v>0</v>
      </c>
      <c r="AC244">
        <v>0</v>
      </c>
      <c r="AD244">
        <v>0</v>
      </c>
      <c r="AE244">
        <v>0</v>
      </c>
      <c r="AF244">
        <v>0.05</v>
      </c>
      <c r="AG244">
        <v>7.0380000000000003</v>
      </c>
      <c r="AH244">
        <v>188.17500000000001</v>
      </c>
      <c r="AI244" t="s">
        <v>22</v>
      </c>
      <c r="AJ244">
        <v>260</v>
      </c>
      <c r="AK244">
        <v>617.5</v>
      </c>
      <c r="AL244">
        <v>415</v>
      </c>
      <c r="AM244">
        <v>27.5</v>
      </c>
      <c r="AN244">
        <v>0</v>
      </c>
      <c r="AO244">
        <v>0</v>
      </c>
      <c r="AP244">
        <v>0</v>
      </c>
      <c r="AQ244">
        <v>0</v>
      </c>
      <c r="AR244">
        <v>5</v>
      </c>
      <c r="AS244">
        <v>2.5</v>
      </c>
      <c r="AT244">
        <v>1327.5</v>
      </c>
      <c r="AU244" t="s">
        <v>34</v>
      </c>
    </row>
    <row r="245" spans="1:47" x14ac:dyDescent="0.2">
      <c r="A245">
        <v>1488</v>
      </c>
      <c r="B245" t="s">
        <v>566</v>
      </c>
      <c r="C245">
        <v>35</v>
      </c>
      <c r="D245" t="s">
        <v>179</v>
      </c>
      <c r="G245" t="str">
        <f t="shared" si="3"/>
        <v>SWL200535UTBS1</v>
      </c>
      <c r="H245">
        <v>64.991849999999999</v>
      </c>
      <c r="I245">
        <v>-169.1352</v>
      </c>
      <c r="J245" s="3">
        <v>20050716</v>
      </c>
      <c r="K245">
        <v>2005</v>
      </c>
      <c r="L245">
        <v>3.1020599999999998</v>
      </c>
      <c r="M245">
        <v>6.7351700000000001</v>
      </c>
      <c r="N245">
        <v>6.5127800000000002</v>
      </c>
      <c r="O245">
        <v>1.2600000000000001E-3</v>
      </c>
      <c r="P245">
        <v>0</v>
      </c>
      <c r="Q245">
        <v>0</v>
      </c>
      <c r="R245">
        <v>5.5820000000000002E-2</v>
      </c>
      <c r="S245">
        <v>1.2670000000000001E-2</v>
      </c>
      <c r="T245">
        <v>7.1599999999999997E-3</v>
      </c>
      <c r="U245">
        <v>7.7999999999999999E-4</v>
      </c>
      <c r="V245">
        <v>16.427700000000002</v>
      </c>
      <c r="W245" t="s">
        <v>10</v>
      </c>
      <c r="X245">
        <v>44.101999999999997</v>
      </c>
      <c r="Y245">
        <v>297.83600000000001</v>
      </c>
      <c r="Z245">
        <v>95.626999999999995</v>
      </c>
      <c r="AA245">
        <v>2.8000000000000001E-2</v>
      </c>
      <c r="AB245">
        <v>0</v>
      </c>
      <c r="AC245">
        <v>0</v>
      </c>
      <c r="AD245">
        <v>0.91500000000000004</v>
      </c>
      <c r="AE245">
        <v>0.90500000000000003</v>
      </c>
      <c r="AF245">
        <v>7.6999999999999999E-2</v>
      </c>
      <c r="AG245">
        <v>2.8000000000000001E-2</v>
      </c>
      <c r="AH245">
        <v>439.51799999999997</v>
      </c>
      <c r="AI245" t="s">
        <v>22</v>
      </c>
      <c r="AJ245">
        <v>415</v>
      </c>
      <c r="AK245">
        <v>985</v>
      </c>
      <c r="AL245">
        <v>2982.5</v>
      </c>
      <c r="AM245">
        <v>5</v>
      </c>
      <c r="AN245">
        <v>0</v>
      </c>
      <c r="AO245">
        <v>0</v>
      </c>
      <c r="AP245">
        <v>2.5</v>
      </c>
      <c r="AQ245">
        <v>2.5</v>
      </c>
      <c r="AR245">
        <v>12.5</v>
      </c>
      <c r="AS245">
        <v>7.5</v>
      </c>
      <c r="AT245">
        <v>4412.5</v>
      </c>
      <c r="AU245" t="s">
        <v>35</v>
      </c>
    </row>
    <row r="246" spans="1:47" x14ac:dyDescent="0.2">
      <c r="A246">
        <v>1489</v>
      </c>
      <c r="B246" t="s">
        <v>566</v>
      </c>
      <c r="C246">
        <v>63</v>
      </c>
      <c r="D246" t="s">
        <v>559</v>
      </c>
      <c r="G246" t="str">
        <f t="shared" si="3"/>
        <v>SWL200563UTN1</v>
      </c>
      <c r="H246">
        <v>66.708332999999996</v>
      </c>
      <c r="I246">
        <v>-168.39904999999999</v>
      </c>
      <c r="J246" s="3">
        <v>20050718</v>
      </c>
      <c r="K246">
        <v>2005</v>
      </c>
      <c r="L246">
        <v>1.69475</v>
      </c>
      <c r="M246">
        <v>2.5069999999999999E-2</v>
      </c>
      <c r="N246">
        <v>1.285E-2</v>
      </c>
      <c r="O246">
        <v>1.3999999999999999E-4</v>
      </c>
      <c r="P246">
        <v>2.0000000000000001E-4</v>
      </c>
      <c r="Q246">
        <v>13.68866</v>
      </c>
      <c r="R246">
        <v>0.44730999999999999</v>
      </c>
      <c r="S246">
        <v>0.96138999999999997</v>
      </c>
      <c r="T246">
        <v>0</v>
      </c>
      <c r="U246">
        <v>0.59043000000000001</v>
      </c>
      <c r="V246">
        <v>17.4208</v>
      </c>
      <c r="W246" t="s">
        <v>14</v>
      </c>
      <c r="X246">
        <v>24.952000000000002</v>
      </c>
      <c r="Y246">
        <v>0.751</v>
      </c>
      <c r="Z246">
        <v>0.17899999999999999</v>
      </c>
      <c r="AA246">
        <v>3.0000000000000001E-3</v>
      </c>
      <c r="AB246">
        <v>1.4E-2</v>
      </c>
      <c r="AC246">
        <v>1711.0820000000001</v>
      </c>
      <c r="AD246">
        <v>7.3330000000000002</v>
      </c>
      <c r="AE246">
        <v>68.671000000000006</v>
      </c>
      <c r="AF246">
        <v>0</v>
      </c>
      <c r="AG246">
        <v>14.006</v>
      </c>
      <c r="AH246">
        <v>1826.991</v>
      </c>
      <c r="AI246" t="s">
        <v>26</v>
      </c>
      <c r="AJ246">
        <v>405</v>
      </c>
      <c r="AK246">
        <v>392.5</v>
      </c>
      <c r="AL246">
        <v>192.5</v>
      </c>
      <c r="AM246">
        <v>2.5</v>
      </c>
      <c r="AN246">
        <v>12.5</v>
      </c>
      <c r="AO246">
        <v>282.5</v>
      </c>
      <c r="AP246">
        <v>20</v>
      </c>
      <c r="AQ246">
        <v>62.5</v>
      </c>
      <c r="AR246">
        <v>0</v>
      </c>
      <c r="AS246">
        <v>17.5</v>
      </c>
      <c r="AT246">
        <v>1387.5</v>
      </c>
      <c r="AU246" t="s">
        <v>33</v>
      </c>
    </row>
    <row r="247" spans="1:47" x14ac:dyDescent="0.2">
      <c r="A247">
        <v>1490</v>
      </c>
      <c r="B247" t="s">
        <v>566</v>
      </c>
      <c r="C247">
        <v>64</v>
      </c>
      <c r="D247" t="s">
        <v>560</v>
      </c>
      <c r="G247" t="str">
        <f t="shared" si="3"/>
        <v>SWL200564UTN2</v>
      </c>
      <c r="H247">
        <v>67.050567000000001</v>
      </c>
      <c r="I247">
        <v>-168.731583</v>
      </c>
      <c r="J247" s="3">
        <v>20050718</v>
      </c>
      <c r="K247">
        <v>2005</v>
      </c>
      <c r="L247">
        <v>3.3740199999999998</v>
      </c>
      <c r="M247">
        <v>6.4711100000000004</v>
      </c>
      <c r="N247">
        <v>7.0550000000000002E-2</v>
      </c>
      <c r="O247">
        <v>0</v>
      </c>
      <c r="P247">
        <v>8.0000000000000007E-5</v>
      </c>
      <c r="Q247">
        <v>0</v>
      </c>
      <c r="R247">
        <v>0.94696000000000002</v>
      </c>
      <c r="S247">
        <v>0</v>
      </c>
      <c r="T247">
        <v>2.8800000000000002E-3</v>
      </c>
      <c r="U247">
        <v>0.16137000000000001</v>
      </c>
      <c r="V247">
        <v>11.02697</v>
      </c>
      <c r="W247" t="s">
        <v>10</v>
      </c>
      <c r="X247">
        <v>48.204999999999998</v>
      </c>
      <c r="Y247">
        <v>226.917</v>
      </c>
      <c r="Z247">
        <v>0.96599999999999997</v>
      </c>
      <c r="AA247">
        <v>0</v>
      </c>
      <c r="AB247">
        <v>6.0000000000000001E-3</v>
      </c>
      <c r="AC247">
        <v>0</v>
      </c>
      <c r="AD247">
        <v>15.523999999999999</v>
      </c>
      <c r="AE247">
        <v>0</v>
      </c>
      <c r="AF247">
        <v>3.1E-2</v>
      </c>
      <c r="AG247">
        <v>3.5859999999999999</v>
      </c>
      <c r="AH247">
        <v>295.23500000000001</v>
      </c>
      <c r="AI247" t="s">
        <v>22</v>
      </c>
      <c r="AJ247">
        <v>465</v>
      </c>
      <c r="AK247">
        <v>795</v>
      </c>
      <c r="AL247">
        <v>1102.5</v>
      </c>
      <c r="AM247">
        <v>0</v>
      </c>
      <c r="AN247">
        <v>12.5</v>
      </c>
      <c r="AO247">
        <v>0</v>
      </c>
      <c r="AP247">
        <v>17.5</v>
      </c>
      <c r="AQ247">
        <v>0</v>
      </c>
      <c r="AR247">
        <v>0</v>
      </c>
      <c r="AS247">
        <v>2.5</v>
      </c>
      <c r="AT247">
        <v>2395</v>
      </c>
      <c r="AU247" t="s">
        <v>35</v>
      </c>
    </row>
    <row r="248" spans="1:47" x14ac:dyDescent="0.2">
      <c r="A248">
        <v>1491</v>
      </c>
      <c r="B248" t="s">
        <v>566</v>
      </c>
      <c r="C248">
        <v>65</v>
      </c>
      <c r="D248" t="s">
        <v>561</v>
      </c>
      <c r="G248" t="str">
        <f t="shared" si="3"/>
        <v>SWL200565UTN3</v>
      </c>
      <c r="H248">
        <v>67.334433000000004</v>
      </c>
      <c r="I248">
        <v>-168.998233</v>
      </c>
      <c r="J248" s="3">
        <v>20050718</v>
      </c>
      <c r="K248">
        <v>2005</v>
      </c>
      <c r="L248">
        <v>7.3477800000000002</v>
      </c>
      <c r="M248">
        <v>14.427630000000001</v>
      </c>
      <c r="N248">
        <v>11.0961</v>
      </c>
      <c r="O248">
        <v>3.2000000000000003E-4</v>
      </c>
      <c r="P248">
        <v>0</v>
      </c>
      <c r="Q248">
        <v>0</v>
      </c>
      <c r="R248">
        <v>2.2196699999999998</v>
      </c>
      <c r="S248">
        <v>0</v>
      </c>
      <c r="T248">
        <v>0.24607999999999999</v>
      </c>
      <c r="U248">
        <v>0.62239</v>
      </c>
      <c r="V248">
        <v>35.959969999999998</v>
      </c>
      <c r="W248" t="s">
        <v>10</v>
      </c>
      <c r="X248">
        <v>109.654</v>
      </c>
      <c r="Y248">
        <v>407.41399999999999</v>
      </c>
      <c r="Z248">
        <v>135.78800000000001</v>
      </c>
      <c r="AA248">
        <v>7.0000000000000001E-3</v>
      </c>
      <c r="AB248">
        <v>0</v>
      </c>
      <c r="AC248">
        <v>0</v>
      </c>
      <c r="AD248">
        <v>36.387999999999998</v>
      </c>
      <c r="AE248">
        <v>0</v>
      </c>
      <c r="AF248">
        <v>2.6459999999999999</v>
      </c>
      <c r="AG248">
        <v>29.148</v>
      </c>
      <c r="AH248">
        <v>721.04499999999996</v>
      </c>
      <c r="AI248" t="s">
        <v>22</v>
      </c>
      <c r="AJ248">
        <v>1825</v>
      </c>
      <c r="AK248">
        <v>2177.5</v>
      </c>
      <c r="AL248">
        <v>18157.5</v>
      </c>
      <c r="AM248">
        <v>2.5</v>
      </c>
      <c r="AN248">
        <v>0</v>
      </c>
      <c r="AO248">
        <v>0</v>
      </c>
      <c r="AP248">
        <v>60</v>
      </c>
      <c r="AQ248">
        <v>0</v>
      </c>
      <c r="AR248">
        <v>40</v>
      </c>
      <c r="AS248">
        <v>362.5</v>
      </c>
      <c r="AT248">
        <v>22625</v>
      </c>
      <c r="AU248" t="s">
        <v>35</v>
      </c>
    </row>
    <row r="249" spans="1:47" x14ac:dyDescent="0.2">
      <c r="A249">
        <v>1492</v>
      </c>
      <c r="B249" t="s">
        <v>566</v>
      </c>
      <c r="C249">
        <v>66</v>
      </c>
      <c r="D249" t="s">
        <v>562</v>
      </c>
      <c r="G249" t="str">
        <f t="shared" si="3"/>
        <v>SWL200566UTN4</v>
      </c>
      <c r="H249">
        <v>67.500682999999995</v>
      </c>
      <c r="I249">
        <v>-168.911</v>
      </c>
      <c r="J249" s="3">
        <v>20050718</v>
      </c>
      <c r="K249">
        <v>2005</v>
      </c>
      <c r="L249">
        <v>6.4277499999999996</v>
      </c>
      <c r="M249">
        <v>10.552390000000001</v>
      </c>
      <c r="N249">
        <v>10.70904</v>
      </c>
      <c r="O249">
        <v>0</v>
      </c>
      <c r="P249">
        <v>3.0210000000000001E-2</v>
      </c>
      <c r="Q249">
        <v>0</v>
      </c>
      <c r="R249">
        <v>1.8581799999999999</v>
      </c>
      <c r="S249">
        <v>0</v>
      </c>
      <c r="T249">
        <v>7.5800000000000006E-2</v>
      </c>
      <c r="U249">
        <v>5.9889999999999999E-2</v>
      </c>
      <c r="V249">
        <v>29.713259999999998</v>
      </c>
      <c r="W249" t="s">
        <v>11</v>
      </c>
      <c r="X249">
        <v>99.451999999999998</v>
      </c>
      <c r="Y249">
        <v>289.24200000000002</v>
      </c>
      <c r="Z249">
        <v>120.57</v>
      </c>
      <c r="AA249">
        <v>0</v>
      </c>
      <c r="AB249">
        <v>2.1579999999999999</v>
      </c>
      <c r="AC249">
        <v>0</v>
      </c>
      <c r="AD249">
        <v>30.462</v>
      </c>
      <c r="AE249">
        <v>0</v>
      </c>
      <c r="AF249">
        <v>0.81499999999999995</v>
      </c>
      <c r="AG249">
        <v>2.1</v>
      </c>
      <c r="AH249">
        <v>544.79899999999998</v>
      </c>
      <c r="AI249" t="s">
        <v>22</v>
      </c>
      <c r="AJ249">
        <v>2285</v>
      </c>
      <c r="AK249">
        <v>1422.5</v>
      </c>
      <c r="AL249">
        <v>10710</v>
      </c>
      <c r="AM249">
        <v>0</v>
      </c>
      <c r="AN249">
        <v>20</v>
      </c>
      <c r="AO249">
        <v>0</v>
      </c>
      <c r="AP249">
        <v>35</v>
      </c>
      <c r="AQ249">
        <v>0</v>
      </c>
      <c r="AR249">
        <v>10</v>
      </c>
      <c r="AS249">
        <v>35</v>
      </c>
      <c r="AT249">
        <v>14517.5</v>
      </c>
      <c r="AU249" t="s">
        <v>35</v>
      </c>
    </row>
    <row r="250" spans="1:47" x14ac:dyDescent="0.2">
      <c r="A250">
        <v>1493</v>
      </c>
      <c r="B250" t="s">
        <v>566</v>
      </c>
      <c r="C250">
        <v>67</v>
      </c>
      <c r="D250" t="s">
        <v>306</v>
      </c>
      <c r="G250" t="str">
        <f t="shared" si="3"/>
        <v>SWL200567UTN5=SEC1</v>
      </c>
      <c r="H250">
        <v>67.670232999999996</v>
      </c>
      <c r="I250">
        <v>-168.957167</v>
      </c>
      <c r="J250" s="3">
        <v>20050718</v>
      </c>
      <c r="K250">
        <v>2005</v>
      </c>
      <c r="L250">
        <v>4.1487699999999998</v>
      </c>
      <c r="M250">
        <v>65.11748</v>
      </c>
      <c r="N250">
        <v>6.7064899999999996</v>
      </c>
      <c r="O250">
        <v>0</v>
      </c>
      <c r="P250">
        <v>6.3950000000000007E-2</v>
      </c>
      <c r="Q250">
        <v>0</v>
      </c>
      <c r="R250">
        <v>4.7639199999999997</v>
      </c>
      <c r="S250">
        <v>0</v>
      </c>
      <c r="T250">
        <v>7.1889999999999996E-2</v>
      </c>
      <c r="U250">
        <v>1.0726</v>
      </c>
      <c r="V250">
        <v>81.945099999999996</v>
      </c>
      <c r="W250" t="s">
        <v>10</v>
      </c>
      <c r="X250">
        <v>64.991</v>
      </c>
      <c r="Y250">
        <v>1829.6420000000001</v>
      </c>
      <c r="Z250">
        <v>75.775000000000006</v>
      </c>
      <c r="AA250">
        <v>0</v>
      </c>
      <c r="AB250">
        <v>4.5679999999999996</v>
      </c>
      <c r="AC250">
        <v>0</v>
      </c>
      <c r="AD250">
        <v>78.096999999999994</v>
      </c>
      <c r="AE250">
        <v>0</v>
      </c>
      <c r="AF250">
        <v>0.77300000000000002</v>
      </c>
      <c r="AG250">
        <v>27.077999999999999</v>
      </c>
      <c r="AH250">
        <v>2080.924</v>
      </c>
      <c r="AI250" t="s">
        <v>22</v>
      </c>
      <c r="AJ250">
        <v>2512.5</v>
      </c>
      <c r="AK250">
        <v>2437.5</v>
      </c>
      <c r="AL250">
        <v>7352.5</v>
      </c>
      <c r="AM250">
        <v>0</v>
      </c>
      <c r="AN250">
        <v>7.5</v>
      </c>
      <c r="AO250">
        <v>0</v>
      </c>
      <c r="AP250">
        <v>107.5</v>
      </c>
      <c r="AQ250">
        <v>0</v>
      </c>
      <c r="AR250">
        <v>7.5</v>
      </c>
      <c r="AS250">
        <v>85</v>
      </c>
      <c r="AT250">
        <v>12510</v>
      </c>
      <c r="AU250" t="s">
        <v>35</v>
      </c>
    </row>
    <row r="251" spans="1:47" x14ac:dyDescent="0.2">
      <c r="A251">
        <v>1494</v>
      </c>
      <c r="B251" t="s">
        <v>566</v>
      </c>
      <c r="C251">
        <v>68</v>
      </c>
      <c r="D251" t="s">
        <v>563</v>
      </c>
      <c r="G251" t="str">
        <f t="shared" si="3"/>
        <v>SWL200568UTN6</v>
      </c>
      <c r="H251">
        <v>67.736266999999998</v>
      </c>
      <c r="I251">
        <v>-168.43835000000001</v>
      </c>
      <c r="J251" s="3">
        <v>20050718</v>
      </c>
      <c r="K251">
        <v>2005</v>
      </c>
      <c r="L251">
        <v>2.63273</v>
      </c>
      <c r="M251">
        <v>16.541129999999999</v>
      </c>
      <c r="N251">
        <v>8.5593299999999992</v>
      </c>
      <c r="O251">
        <v>3.4290000000000001E-2</v>
      </c>
      <c r="P251">
        <v>1.575E-2</v>
      </c>
      <c r="Q251">
        <v>0</v>
      </c>
      <c r="R251">
        <v>2.3403900000000002</v>
      </c>
      <c r="S251">
        <v>0</v>
      </c>
      <c r="T251">
        <v>0.12416000000000001</v>
      </c>
      <c r="U251">
        <v>1.1196999999999999</v>
      </c>
      <c r="V251">
        <v>31.36748</v>
      </c>
      <c r="W251" t="s">
        <v>10</v>
      </c>
      <c r="X251">
        <v>40.375</v>
      </c>
      <c r="Y251">
        <v>542.54</v>
      </c>
      <c r="Z251">
        <v>97.010999999999996</v>
      </c>
      <c r="AA251">
        <v>0.76200000000000001</v>
      </c>
      <c r="AB251">
        <v>1.125</v>
      </c>
      <c r="AC251">
        <v>0</v>
      </c>
      <c r="AD251">
        <v>38.366999999999997</v>
      </c>
      <c r="AE251">
        <v>0</v>
      </c>
      <c r="AF251">
        <v>1.335</v>
      </c>
      <c r="AG251">
        <v>28.021999999999998</v>
      </c>
      <c r="AH251">
        <v>749.53700000000003</v>
      </c>
      <c r="AI251" t="s">
        <v>22</v>
      </c>
      <c r="AJ251">
        <v>1457.5</v>
      </c>
      <c r="AK251">
        <v>607.5</v>
      </c>
      <c r="AL251">
        <v>7207.5</v>
      </c>
      <c r="AM251">
        <v>12.5</v>
      </c>
      <c r="AN251">
        <v>12.5</v>
      </c>
      <c r="AO251">
        <v>0</v>
      </c>
      <c r="AP251">
        <v>60</v>
      </c>
      <c r="AQ251">
        <v>0</v>
      </c>
      <c r="AR251">
        <v>2.5</v>
      </c>
      <c r="AS251">
        <v>147.5</v>
      </c>
      <c r="AT251">
        <v>9507.5</v>
      </c>
      <c r="AU251" t="s">
        <v>35</v>
      </c>
    </row>
    <row r="252" spans="1:47" x14ac:dyDescent="0.2">
      <c r="A252">
        <v>1495</v>
      </c>
      <c r="B252" t="s">
        <v>566</v>
      </c>
      <c r="C252">
        <v>69</v>
      </c>
      <c r="D252" t="s">
        <v>564</v>
      </c>
      <c r="G252" t="str">
        <f t="shared" si="3"/>
        <v>SWL200569UTN7</v>
      </c>
      <c r="H252">
        <v>67.998867000000004</v>
      </c>
      <c r="I252">
        <v>-168.93471700000001</v>
      </c>
      <c r="J252" s="3">
        <v>20050718</v>
      </c>
      <c r="K252">
        <v>2005</v>
      </c>
      <c r="L252">
        <v>0.43051</v>
      </c>
      <c r="M252">
        <v>13.97162</v>
      </c>
      <c r="N252">
        <v>6.7892200000000003</v>
      </c>
      <c r="O252">
        <v>0</v>
      </c>
      <c r="P252">
        <v>0</v>
      </c>
      <c r="Q252">
        <v>0</v>
      </c>
      <c r="R252">
        <v>0.82782999999999995</v>
      </c>
      <c r="S252">
        <v>0</v>
      </c>
      <c r="T252">
        <v>0</v>
      </c>
      <c r="U252">
        <v>5.2109999999999997E-2</v>
      </c>
      <c r="V252">
        <v>22.071290000000001</v>
      </c>
      <c r="W252" t="s">
        <v>10</v>
      </c>
      <c r="X252">
        <v>6.1680000000000001</v>
      </c>
      <c r="Y252">
        <v>427.56200000000001</v>
      </c>
      <c r="Z252">
        <v>74.322999999999993</v>
      </c>
      <c r="AA252">
        <v>0</v>
      </c>
      <c r="AB252">
        <v>0</v>
      </c>
      <c r="AC252">
        <v>0</v>
      </c>
      <c r="AD252">
        <v>13.571</v>
      </c>
      <c r="AE252">
        <v>0</v>
      </c>
      <c r="AF252">
        <v>0</v>
      </c>
      <c r="AG252">
        <v>1.7370000000000001</v>
      </c>
      <c r="AH252">
        <v>523.36099999999999</v>
      </c>
      <c r="AI252" t="s">
        <v>22</v>
      </c>
      <c r="AJ252">
        <v>170</v>
      </c>
      <c r="AK252">
        <v>255</v>
      </c>
      <c r="AL252">
        <v>3582.5</v>
      </c>
      <c r="AM252">
        <v>0</v>
      </c>
      <c r="AN252">
        <v>0</v>
      </c>
      <c r="AO252">
        <v>0</v>
      </c>
      <c r="AP252">
        <v>12.5</v>
      </c>
      <c r="AQ252">
        <v>0</v>
      </c>
      <c r="AR252">
        <v>0</v>
      </c>
      <c r="AS252">
        <v>2.5</v>
      </c>
      <c r="AT252">
        <v>4022.5</v>
      </c>
      <c r="AU252" t="s">
        <v>35</v>
      </c>
    </row>
    <row r="253" spans="1:47" x14ac:dyDescent="0.2">
      <c r="A253">
        <v>1496</v>
      </c>
      <c r="B253" t="s">
        <v>566</v>
      </c>
      <c r="C253">
        <v>70</v>
      </c>
      <c r="D253" s="4" t="s">
        <v>375</v>
      </c>
      <c r="E253" s="4" t="s">
        <v>375</v>
      </c>
      <c r="F253" s="4" t="s">
        <v>200</v>
      </c>
      <c r="G253" t="str">
        <f t="shared" si="3"/>
        <v>SWL200570BarC5</v>
      </c>
      <c r="H253">
        <v>71.412882999999994</v>
      </c>
      <c r="I253">
        <v>-157.48820000000001</v>
      </c>
      <c r="J253" s="3">
        <v>20050721</v>
      </c>
      <c r="K253">
        <v>2005</v>
      </c>
      <c r="L253">
        <v>7.5828300000000004</v>
      </c>
      <c r="M253">
        <v>6.5784099999999999</v>
      </c>
      <c r="N253">
        <v>1.6769700000000001</v>
      </c>
      <c r="O253">
        <v>4.3384499999999999</v>
      </c>
      <c r="P253">
        <v>1.02868</v>
      </c>
      <c r="Q253">
        <v>0</v>
      </c>
      <c r="R253">
        <v>5.0099999999999997E-3</v>
      </c>
      <c r="S253">
        <v>3.0330599999999999</v>
      </c>
      <c r="T253">
        <v>1.35371</v>
      </c>
      <c r="U253">
        <v>3.0229599999999999</v>
      </c>
      <c r="V253">
        <v>28.620080000000002</v>
      </c>
      <c r="W253" t="s">
        <v>9</v>
      </c>
      <c r="X253">
        <v>114.572</v>
      </c>
      <c r="Y253">
        <v>240.43899999999999</v>
      </c>
      <c r="Z253">
        <v>23.355</v>
      </c>
      <c r="AA253">
        <v>96.41</v>
      </c>
      <c r="AB253">
        <v>73.477000000000004</v>
      </c>
      <c r="AC253">
        <v>0</v>
      </c>
      <c r="AD253">
        <v>0.111</v>
      </c>
      <c r="AE253">
        <v>76.977999999999994</v>
      </c>
      <c r="AF253">
        <v>14.555999999999999</v>
      </c>
      <c r="AG253">
        <v>146.56700000000001</v>
      </c>
      <c r="AH253">
        <v>786.46500000000003</v>
      </c>
      <c r="AI253" t="s">
        <v>22</v>
      </c>
      <c r="AJ253">
        <v>1782.5</v>
      </c>
      <c r="AK253">
        <v>1397.5</v>
      </c>
      <c r="AL253">
        <v>8672.5</v>
      </c>
      <c r="AM253">
        <v>825</v>
      </c>
      <c r="AN253">
        <v>255</v>
      </c>
      <c r="AO253">
        <v>0</v>
      </c>
      <c r="AP253">
        <v>17.5</v>
      </c>
      <c r="AQ253">
        <v>77.5</v>
      </c>
      <c r="AR253">
        <v>55</v>
      </c>
      <c r="AS253">
        <v>70</v>
      </c>
      <c r="AT253">
        <v>13152.5</v>
      </c>
      <c r="AU253" t="s">
        <v>35</v>
      </c>
    </row>
    <row r="254" spans="1:47" x14ac:dyDescent="0.2">
      <c r="A254">
        <v>1497</v>
      </c>
      <c r="B254" t="s">
        <v>566</v>
      </c>
      <c r="C254">
        <v>71</v>
      </c>
      <c r="D254" t="s">
        <v>567</v>
      </c>
      <c r="G254" t="str">
        <f t="shared" si="3"/>
        <v>SWL200571BC2B1</v>
      </c>
      <c r="H254">
        <v>71.417783</v>
      </c>
      <c r="I254">
        <v>-157.43879999999999</v>
      </c>
      <c r="J254" s="3">
        <v>20050721</v>
      </c>
      <c r="K254">
        <v>2005</v>
      </c>
      <c r="L254">
        <v>8.2989899999999999</v>
      </c>
      <c r="M254">
        <v>29.073419999999999</v>
      </c>
      <c r="N254">
        <v>2.0921500000000002</v>
      </c>
      <c r="O254">
        <v>23.709150000000001</v>
      </c>
      <c r="P254">
        <v>1.62039</v>
      </c>
      <c r="Q254">
        <v>0</v>
      </c>
      <c r="R254">
        <v>6.5900000000000004E-3</v>
      </c>
      <c r="S254">
        <v>0.34662999999999999</v>
      </c>
      <c r="T254">
        <v>4.2590000000000003E-2</v>
      </c>
      <c r="U254">
        <v>1.2839799999999999</v>
      </c>
      <c r="V254">
        <v>66.473889999999997</v>
      </c>
      <c r="W254" t="s">
        <v>10</v>
      </c>
      <c r="X254">
        <v>117.55800000000001</v>
      </c>
      <c r="Y254">
        <v>1086.1980000000001</v>
      </c>
      <c r="Z254">
        <v>28.477</v>
      </c>
      <c r="AA254">
        <v>526.87</v>
      </c>
      <c r="AB254">
        <v>115.742</v>
      </c>
      <c r="AC254">
        <v>0</v>
      </c>
      <c r="AD254">
        <v>0.108</v>
      </c>
      <c r="AE254">
        <v>24.759</v>
      </c>
      <c r="AF254">
        <v>0.45800000000000002</v>
      </c>
      <c r="AG254">
        <v>69.953999999999994</v>
      </c>
      <c r="AH254">
        <v>1970.124</v>
      </c>
      <c r="AI254" t="s">
        <v>22</v>
      </c>
      <c r="AJ254">
        <v>2237.5</v>
      </c>
      <c r="AK254">
        <v>3712.5</v>
      </c>
      <c r="AL254">
        <v>7467.5</v>
      </c>
      <c r="AM254">
        <v>792.5</v>
      </c>
      <c r="AN254">
        <v>190</v>
      </c>
      <c r="AO254">
        <v>0</v>
      </c>
      <c r="AP254">
        <v>2.5</v>
      </c>
      <c r="AQ254">
        <v>45</v>
      </c>
      <c r="AR254">
        <v>20</v>
      </c>
      <c r="AS254">
        <v>97.5</v>
      </c>
      <c r="AT254">
        <v>14565</v>
      </c>
      <c r="AU254" t="s">
        <v>35</v>
      </c>
    </row>
    <row r="255" spans="1:47" x14ac:dyDescent="0.2">
      <c r="A255">
        <v>1498</v>
      </c>
      <c r="B255" t="s">
        <v>566</v>
      </c>
      <c r="C255">
        <v>72</v>
      </c>
      <c r="D255" t="s">
        <v>568</v>
      </c>
      <c r="G255" t="str">
        <f t="shared" si="3"/>
        <v>SWL200572BC2B2</v>
      </c>
      <c r="H255">
        <v>71.415467000000007</v>
      </c>
      <c r="I255">
        <v>-157.43693300000001</v>
      </c>
      <c r="J255" s="3">
        <v>20050721</v>
      </c>
      <c r="K255">
        <v>2005</v>
      </c>
      <c r="L255">
        <v>12.389340000000001</v>
      </c>
      <c r="M255">
        <v>0.90076999999999996</v>
      </c>
      <c r="N255">
        <v>1.17404</v>
      </c>
      <c r="O255">
        <v>0.30815999999999999</v>
      </c>
      <c r="P255">
        <v>0.75649</v>
      </c>
      <c r="Q255">
        <v>0</v>
      </c>
      <c r="R255">
        <v>1.2E-4</v>
      </c>
      <c r="S255">
        <v>5.6550000000000003E-2</v>
      </c>
      <c r="T255">
        <v>3.5529999999999999E-2</v>
      </c>
      <c r="U255">
        <v>0.20202999999999999</v>
      </c>
      <c r="V255">
        <v>15.823029999999999</v>
      </c>
      <c r="W255" t="s">
        <v>9</v>
      </c>
      <c r="X255">
        <v>174.08</v>
      </c>
      <c r="Y255">
        <v>28.591000000000001</v>
      </c>
      <c r="Z255">
        <v>15.659000000000001</v>
      </c>
      <c r="AA255">
        <v>6.8479999999999999</v>
      </c>
      <c r="AB255">
        <v>54.034999999999997</v>
      </c>
      <c r="AC255">
        <v>0</v>
      </c>
      <c r="AD255">
        <v>3.0000000000000001E-3</v>
      </c>
      <c r="AE255">
        <v>4.0389999999999997</v>
      </c>
      <c r="AF255">
        <v>0.38200000000000001</v>
      </c>
      <c r="AG255">
        <v>9.5909999999999993</v>
      </c>
      <c r="AH255">
        <v>293.22800000000001</v>
      </c>
      <c r="AI255" t="s">
        <v>21</v>
      </c>
      <c r="AJ255">
        <v>1940</v>
      </c>
      <c r="AK255">
        <v>410</v>
      </c>
      <c r="AL255">
        <v>7960</v>
      </c>
      <c r="AM255">
        <v>540</v>
      </c>
      <c r="AN255">
        <v>110</v>
      </c>
      <c r="AO255">
        <v>0</v>
      </c>
      <c r="AP255">
        <v>10</v>
      </c>
      <c r="AQ255">
        <v>40</v>
      </c>
      <c r="AR255">
        <v>50</v>
      </c>
      <c r="AS255">
        <v>100</v>
      </c>
      <c r="AT255">
        <v>11160</v>
      </c>
      <c r="AU255" t="s">
        <v>35</v>
      </c>
    </row>
    <row r="256" spans="1:47" x14ac:dyDescent="0.2">
      <c r="A256">
        <v>1499</v>
      </c>
      <c r="B256" t="s">
        <v>566</v>
      </c>
      <c r="C256">
        <v>73</v>
      </c>
      <c r="D256" t="s">
        <v>569</v>
      </c>
      <c r="G256" t="str">
        <f t="shared" si="3"/>
        <v>SWL200573BC2C</v>
      </c>
      <c r="H256">
        <v>71.430032999999995</v>
      </c>
      <c r="I256">
        <v>-157.494483</v>
      </c>
      <c r="J256" s="3">
        <v>20050721</v>
      </c>
      <c r="K256">
        <v>2005</v>
      </c>
      <c r="L256">
        <v>4.1507300000000003</v>
      </c>
      <c r="M256">
        <v>56.96698</v>
      </c>
      <c r="N256">
        <v>0.75805</v>
      </c>
      <c r="O256">
        <v>37.701630000000002</v>
      </c>
      <c r="P256">
        <v>1.5470699999999999</v>
      </c>
      <c r="Q256">
        <v>0</v>
      </c>
      <c r="R256">
        <v>0.32386999999999999</v>
      </c>
      <c r="S256">
        <v>1.65984</v>
      </c>
      <c r="T256">
        <v>4.0460000000000003E-2</v>
      </c>
      <c r="U256">
        <v>0.32468999999999998</v>
      </c>
      <c r="V256">
        <v>103.47332</v>
      </c>
      <c r="W256" t="s">
        <v>10</v>
      </c>
      <c r="X256">
        <v>58.987000000000002</v>
      </c>
      <c r="Y256">
        <v>2022.8620000000001</v>
      </c>
      <c r="Z256">
        <v>10.173</v>
      </c>
      <c r="AA256">
        <v>837.81399999999996</v>
      </c>
      <c r="AB256">
        <v>110.505</v>
      </c>
      <c r="AC256">
        <v>0</v>
      </c>
      <c r="AD256">
        <v>6.9059999999999997</v>
      </c>
      <c r="AE256">
        <v>40.484000000000002</v>
      </c>
      <c r="AF256">
        <v>0.435</v>
      </c>
      <c r="AG256">
        <v>9.5850000000000009</v>
      </c>
      <c r="AH256">
        <v>3097.7510000000002</v>
      </c>
      <c r="AI256" t="s">
        <v>22</v>
      </c>
      <c r="AJ256">
        <v>2820</v>
      </c>
      <c r="AK256">
        <v>3350</v>
      </c>
      <c r="AL256">
        <v>4030</v>
      </c>
      <c r="AM256">
        <v>1120</v>
      </c>
      <c r="AN256">
        <v>160</v>
      </c>
      <c r="AO256">
        <v>0</v>
      </c>
      <c r="AP256">
        <v>50</v>
      </c>
      <c r="AQ256">
        <v>10</v>
      </c>
      <c r="AR256">
        <v>20</v>
      </c>
      <c r="AS256">
        <v>120</v>
      </c>
      <c r="AT256">
        <v>11680</v>
      </c>
      <c r="AU256" t="s">
        <v>35</v>
      </c>
    </row>
    <row r="257" spans="1:47" x14ac:dyDescent="0.2">
      <c r="A257">
        <v>1500</v>
      </c>
      <c r="B257" t="s">
        <v>566</v>
      </c>
      <c r="C257">
        <v>74</v>
      </c>
      <c r="D257" t="s">
        <v>191</v>
      </c>
      <c r="G257" t="str">
        <f t="shared" si="3"/>
        <v>SWL200574BC2A</v>
      </c>
      <c r="H257">
        <v>71.395617000000001</v>
      </c>
      <c r="I257">
        <v>-157.56805</v>
      </c>
      <c r="J257" s="3">
        <v>20050721</v>
      </c>
      <c r="K257">
        <v>2005</v>
      </c>
      <c r="L257">
        <v>5.7954699999999999</v>
      </c>
      <c r="M257">
        <v>5.6952199999999999</v>
      </c>
      <c r="N257">
        <v>6.5123199999999999</v>
      </c>
      <c r="O257">
        <v>9.7790000000000002E-2</v>
      </c>
      <c r="P257">
        <v>1.4559200000000001</v>
      </c>
      <c r="Q257">
        <v>0</v>
      </c>
      <c r="R257">
        <v>1.7693000000000001</v>
      </c>
      <c r="S257">
        <v>0</v>
      </c>
      <c r="T257">
        <v>1.42439</v>
      </c>
      <c r="U257">
        <v>7.5973899999999999</v>
      </c>
      <c r="V257">
        <v>30.347799999999999</v>
      </c>
      <c r="W257" t="s">
        <v>18</v>
      </c>
      <c r="X257">
        <v>85.64</v>
      </c>
      <c r="Y257">
        <v>356.39100000000002</v>
      </c>
      <c r="Z257">
        <v>91.126000000000005</v>
      </c>
      <c r="AA257">
        <v>2.173</v>
      </c>
      <c r="AB257">
        <v>103.994</v>
      </c>
      <c r="AC257">
        <v>0</v>
      </c>
      <c r="AD257">
        <v>29.004999999999999</v>
      </c>
      <c r="AE257">
        <v>0</v>
      </c>
      <c r="AF257">
        <v>15.316000000000001</v>
      </c>
      <c r="AG257">
        <v>356.21</v>
      </c>
      <c r="AH257">
        <v>1039.855</v>
      </c>
      <c r="AI257" t="s">
        <v>22</v>
      </c>
      <c r="AJ257">
        <v>1700</v>
      </c>
      <c r="AK257">
        <v>1170</v>
      </c>
      <c r="AL257">
        <v>38790</v>
      </c>
      <c r="AM257">
        <v>160</v>
      </c>
      <c r="AN257">
        <v>260</v>
      </c>
      <c r="AO257">
        <v>0</v>
      </c>
      <c r="AP257">
        <v>20</v>
      </c>
      <c r="AQ257">
        <v>0</v>
      </c>
      <c r="AR257">
        <v>80</v>
      </c>
      <c r="AS257">
        <v>260</v>
      </c>
      <c r="AT257">
        <v>42440</v>
      </c>
      <c r="AU257" t="s">
        <v>35</v>
      </c>
    </row>
    <row r="258" spans="1:47" x14ac:dyDescent="0.2">
      <c r="A258">
        <v>1501</v>
      </c>
      <c r="B258" t="s">
        <v>566</v>
      </c>
      <c r="C258">
        <v>75</v>
      </c>
      <c r="D258" t="s">
        <v>570</v>
      </c>
      <c r="G258" t="str">
        <f t="shared" si="3"/>
        <v>SWL200575BC2D</v>
      </c>
      <c r="H258">
        <v>71.399716999999995</v>
      </c>
      <c r="I258">
        <v>-157.457517</v>
      </c>
      <c r="J258" s="3">
        <v>20050721</v>
      </c>
      <c r="K258">
        <v>2005</v>
      </c>
      <c r="L258">
        <v>6.6283000000000003</v>
      </c>
      <c r="M258">
        <v>0.60521999999999998</v>
      </c>
      <c r="N258">
        <v>2.7331799999999999</v>
      </c>
      <c r="O258">
        <v>0.24318000000000001</v>
      </c>
      <c r="P258">
        <v>1.73881</v>
      </c>
      <c r="Q258">
        <v>0</v>
      </c>
      <c r="R258">
        <v>6.2199999999999998E-3</v>
      </c>
      <c r="S258">
        <v>0.37975999999999999</v>
      </c>
      <c r="T258">
        <v>2.613E-2</v>
      </c>
      <c r="U258">
        <v>1.312E-2</v>
      </c>
      <c r="V258">
        <v>12.37392</v>
      </c>
      <c r="W258" t="s">
        <v>9</v>
      </c>
      <c r="X258">
        <v>90.614000000000004</v>
      </c>
      <c r="Y258">
        <v>39.002000000000002</v>
      </c>
      <c r="Z258">
        <v>37.701000000000001</v>
      </c>
      <c r="AA258">
        <v>5.4039999999999999</v>
      </c>
      <c r="AB258">
        <v>124.20099999999999</v>
      </c>
      <c r="AC258">
        <v>0</v>
      </c>
      <c r="AD258">
        <v>0.10199999999999999</v>
      </c>
      <c r="AE258">
        <v>27.126000000000001</v>
      </c>
      <c r="AF258">
        <v>0.28100000000000003</v>
      </c>
      <c r="AG258">
        <v>0.42299999999999999</v>
      </c>
      <c r="AH258">
        <v>324.85399999999998</v>
      </c>
      <c r="AI258" t="s">
        <v>25</v>
      </c>
      <c r="AJ258">
        <v>2050</v>
      </c>
      <c r="AK258">
        <v>540</v>
      </c>
      <c r="AL258">
        <v>16140</v>
      </c>
      <c r="AM258">
        <v>730</v>
      </c>
      <c r="AN258">
        <v>150</v>
      </c>
      <c r="AO258">
        <v>0</v>
      </c>
      <c r="AP258">
        <v>10</v>
      </c>
      <c r="AQ258">
        <v>80</v>
      </c>
      <c r="AR258">
        <v>30</v>
      </c>
      <c r="AS258">
        <v>50</v>
      </c>
      <c r="AT258">
        <v>19780</v>
      </c>
      <c r="AU258" t="s">
        <v>35</v>
      </c>
    </row>
    <row r="259" spans="1:47" x14ac:dyDescent="0.2">
      <c r="A259">
        <v>293</v>
      </c>
      <c r="B259" t="s">
        <v>227</v>
      </c>
      <c r="C259">
        <v>1</v>
      </c>
      <c r="D259" t="s">
        <v>228</v>
      </c>
      <c r="G259" t="str">
        <f t="shared" ref="G259:G322" si="4">CONCATENATE(B259,C259,D259)</f>
        <v>HLY06011NEC5</v>
      </c>
      <c r="H259">
        <v>61.389308</v>
      </c>
      <c r="I259">
        <v>-171.94666900000001</v>
      </c>
      <c r="J259" s="3">
        <v>20060509</v>
      </c>
      <c r="K259">
        <v>2006</v>
      </c>
      <c r="L259">
        <v>2.3192400000000002</v>
      </c>
      <c r="M259">
        <v>4.9057000000000004</v>
      </c>
      <c r="N259">
        <v>1.2925</v>
      </c>
      <c r="O259">
        <v>0</v>
      </c>
      <c r="P259">
        <v>3.0000000000000001E-5</v>
      </c>
      <c r="Q259">
        <v>0</v>
      </c>
      <c r="R259">
        <v>0</v>
      </c>
      <c r="S259">
        <v>0</v>
      </c>
      <c r="T259">
        <v>0</v>
      </c>
      <c r="U259">
        <v>1.0370000000000001E-2</v>
      </c>
      <c r="V259">
        <v>8.5278399999999994</v>
      </c>
      <c r="W259" t="s">
        <v>10</v>
      </c>
      <c r="X259">
        <v>31.422000000000001</v>
      </c>
      <c r="Y259">
        <v>227.76400000000001</v>
      </c>
      <c r="Z259">
        <v>17.431000000000001</v>
      </c>
      <c r="AA259">
        <v>0</v>
      </c>
      <c r="AB259">
        <v>2E-3</v>
      </c>
      <c r="AC259">
        <v>0</v>
      </c>
      <c r="AD259">
        <v>0</v>
      </c>
      <c r="AE259">
        <v>0</v>
      </c>
      <c r="AF259">
        <v>0</v>
      </c>
      <c r="AG259">
        <v>0.20399999999999999</v>
      </c>
      <c r="AH259">
        <v>276.82299999999998</v>
      </c>
      <c r="AI259" t="s">
        <v>22</v>
      </c>
      <c r="AJ259">
        <v>405</v>
      </c>
      <c r="AK259">
        <v>805</v>
      </c>
      <c r="AL259">
        <v>447.5</v>
      </c>
      <c r="AM259">
        <v>0</v>
      </c>
      <c r="AN259">
        <v>5</v>
      </c>
      <c r="AO259">
        <v>0</v>
      </c>
      <c r="AP259">
        <v>0</v>
      </c>
      <c r="AQ259">
        <v>0</v>
      </c>
      <c r="AR259">
        <v>0</v>
      </c>
      <c r="AS259">
        <v>47.5</v>
      </c>
      <c r="AT259">
        <v>1710</v>
      </c>
      <c r="AU259" t="s">
        <v>34</v>
      </c>
    </row>
    <row r="260" spans="1:47" x14ac:dyDescent="0.2">
      <c r="A260">
        <v>294</v>
      </c>
      <c r="B260" t="s">
        <v>227</v>
      </c>
      <c r="C260">
        <v>10</v>
      </c>
      <c r="D260" t="s">
        <v>229</v>
      </c>
      <c r="G260" t="str">
        <f t="shared" si="4"/>
        <v>HLY060110VNG3</v>
      </c>
      <c r="H260">
        <v>62.572566000000002</v>
      </c>
      <c r="I260">
        <v>-173.83105699999999</v>
      </c>
      <c r="J260" s="3">
        <v>20060512</v>
      </c>
      <c r="K260">
        <v>2006</v>
      </c>
      <c r="L260">
        <v>3.9061400000000002</v>
      </c>
      <c r="M260">
        <v>7.3437599999999996</v>
      </c>
      <c r="N260">
        <v>0.10921</v>
      </c>
      <c r="O260">
        <v>2.4119999999999999E-2</v>
      </c>
      <c r="P260">
        <v>0.42126000000000002</v>
      </c>
      <c r="Q260">
        <v>0</v>
      </c>
      <c r="R260">
        <v>0</v>
      </c>
      <c r="S260">
        <v>0</v>
      </c>
      <c r="T260">
        <v>5.0029999999999998E-2</v>
      </c>
      <c r="U260">
        <v>0.12872</v>
      </c>
      <c r="V260">
        <v>11.98324</v>
      </c>
      <c r="W260" t="s">
        <v>10</v>
      </c>
      <c r="X260">
        <v>72.736999999999995</v>
      </c>
      <c r="Y260">
        <v>200.97499999999999</v>
      </c>
      <c r="Z260">
        <v>1.383</v>
      </c>
      <c r="AA260">
        <v>0.53600000000000003</v>
      </c>
      <c r="AB260">
        <v>30.09</v>
      </c>
      <c r="AC260">
        <v>0</v>
      </c>
      <c r="AD260">
        <v>0</v>
      </c>
      <c r="AE260">
        <v>0</v>
      </c>
      <c r="AF260">
        <v>0.53800000000000003</v>
      </c>
      <c r="AG260">
        <v>2.5539999999999998</v>
      </c>
      <c r="AH260">
        <v>308.81299999999999</v>
      </c>
      <c r="AI260" t="s">
        <v>22</v>
      </c>
      <c r="AJ260">
        <v>812.5</v>
      </c>
      <c r="AK260">
        <v>847.5</v>
      </c>
      <c r="AL260">
        <v>72.5</v>
      </c>
      <c r="AM260">
        <v>27.5</v>
      </c>
      <c r="AN260">
        <v>30</v>
      </c>
      <c r="AO260">
        <v>0</v>
      </c>
      <c r="AP260">
        <v>0</v>
      </c>
      <c r="AQ260">
        <v>0</v>
      </c>
      <c r="AR260">
        <v>5</v>
      </c>
      <c r="AS260">
        <v>182.5</v>
      </c>
      <c r="AT260">
        <v>1977.5</v>
      </c>
      <c r="AU260" t="s">
        <v>34</v>
      </c>
    </row>
    <row r="261" spans="1:47" x14ac:dyDescent="0.2">
      <c r="A261">
        <v>295</v>
      </c>
      <c r="B261" t="s">
        <v>227</v>
      </c>
      <c r="C261">
        <v>103</v>
      </c>
      <c r="D261" t="s">
        <v>230</v>
      </c>
      <c r="G261" t="str">
        <f t="shared" si="4"/>
        <v>HLY0601103DLN1</v>
      </c>
      <c r="H261">
        <v>63.572977000000002</v>
      </c>
      <c r="I261">
        <v>-173.02687299999999</v>
      </c>
      <c r="J261" s="3">
        <v>20060531</v>
      </c>
      <c r="K261">
        <v>2006</v>
      </c>
      <c r="L261">
        <v>1.95462</v>
      </c>
      <c r="M261">
        <v>12.040699999999999</v>
      </c>
      <c r="N261">
        <v>4.41432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0.1037</v>
      </c>
      <c r="U261">
        <v>1.9000000000000001E-4</v>
      </c>
      <c r="V261">
        <v>18.513529999999999</v>
      </c>
      <c r="W261" t="s">
        <v>10</v>
      </c>
      <c r="X261">
        <v>28.321000000000002</v>
      </c>
      <c r="Y261">
        <v>338.85300000000001</v>
      </c>
      <c r="Z261">
        <v>64.356999999999999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1.115</v>
      </c>
      <c r="AG261">
        <v>3.0000000000000001E-3</v>
      </c>
      <c r="AH261">
        <v>432.649</v>
      </c>
      <c r="AI261" t="s">
        <v>22</v>
      </c>
      <c r="AJ261">
        <v>1662.5</v>
      </c>
      <c r="AK261">
        <v>832.5</v>
      </c>
      <c r="AL261">
        <v>3115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30</v>
      </c>
      <c r="AS261">
        <v>2.5</v>
      </c>
      <c r="AT261">
        <v>5642.5</v>
      </c>
      <c r="AU261" t="s">
        <v>35</v>
      </c>
    </row>
    <row r="262" spans="1:47" x14ac:dyDescent="0.2">
      <c r="A262">
        <v>296</v>
      </c>
      <c r="B262" t="s">
        <v>227</v>
      </c>
      <c r="C262">
        <v>11</v>
      </c>
      <c r="D262" t="s">
        <v>231</v>
      </c>
      <c r="G262" t="str">
        <f t="shared" si="4"/>
        <v>HLY060111SWC4</v>
      </c>
      <c r="H262">
        <v>62.261952999999998</v>
      </c>
      <c r="I262">
        <v>-173.71305699999999</v>
      </c>
      <c r="J262" s="3">
        <v>20060512</v>
      </c>
      <c r="K262">
        <v>2006</v>
      </c>
      <c r="L262">
        <v>4.5339900000000002</v>
      </c>
      <c r="M262">
        <v>1.3799600000000001</v>
      </c>
      <c r="N262">
        <v>0.32338</v>
      </c>
      <c r="O262">
        <v>1.3999999999999999E-4</v>
      </c>
      <c r="P262">
        <v>0.33398</v>
      </c>
      <c r="Q262">
        <v>0</v>
      </c>
      <c r="R262">
        <v>0</v>
      </c>
      <c r="S262">
        <v>0</v>
      </c>
      <c r="T262">
        <v>0.69172999999999996</v>
      </c>
      <c r="U262">
        <v>6.164E-2</v>
      </c>
      <c r="V262">
        <v>7.3248199999999999</v>
      </c>
      <c r="W262" t="s">
        <v>9</v>
      </c>
      <c r="X262">
        <v>64.706000000000003</v>
      </c>
      <c r="Y262">
        <v>39.587000000000003</v>
      </c>
      <c r="Z262">
        <v>4.33</v>
      </c>
      <c r="AA262">
        <v>3.0000000000000001E-3</v>
      </c>
      <c r="AB262">
        <v>23.856000000000002</v>
      </c>
      <c r="AC262">
        <v>0</v>
      </c>
      <c r="AD262">
        <v>0</v>
      </c>
      <c r="AE262">
        <v>0</v>
      </c>
      <c r="AF262">
        <v>7.4379999999999997</v>
      </c>
      <c r="AG262">
        <v>1.008</v>
      </c>
      <c r="AH262">
        <v>140.928</v>
      </c>
      <c r="AI262" t="s">
        <v>21</v>
      </c>
      <c r="AJ262">
        <v>622.5</v>
      </c>
      <c r="AK262">
        <v>700</v>
      </c>
      <c r="AL262">
        <v>225</v>
      </c>
      <c r="AM262">
        <v>5</v>
      </c>
      <c r="AN262">
        <v>15</v>
      </c>
      <c r="AO262">
        <v>0</v>
      </c>
      <c r="AP262">
        <v>0</v>
      </c>
      <c r="AQ262">
        <v>0</v>
      </c>
      <c r="AR262">
        <v>10</v>
      </c>
      <c r="AS262">
        <v>50</v>
      </c>
      <c r="AT262">
        <v>1627.5</v>
      </c>
      <c r="AU262" t="s">
        <v>34</v>
      </c>
    </row>
    <row r="263" spans="1:47" x14ac:dyDescent="0.2">
      <c r="A263">
        <v>297</v>
      </c>
      <c r="B263" t="s">
        <v>227</v>
      </c>
      <c r="C263">
        <v>12</v>
      </c>
      <c r="D263" t="s">
        <v>232</v>
      </c>
      <c r="G263" t="str">
        <f t="shared" si="4"/>
        <v>HLY060112SIL4</v>
      </c>
      <c r="H263">
        <v>62.078851999999998</v>
      </c>
      <c r="I263">
        <v>-172.94626400000001</v>
      </c>
      <c r="J263" s="3">
        <v>20060512</v>
      </c>
      <c r="K263">
        <v>2006</v>
      </c>
      <c r="L263">
        <v>3.5375399999999999</v>
      </c>
      <c r="M263">
        <v>1.70082</v>
      </c>
      <c r="N263">
        <v>1.2605200000000001</v>
      </c>
      <c r="O263">
        <v>1.0399999999999999E-3</v>
      </c>
      <c r="P263">
        <v>9.8999999999999999E-4</v>
      </c>
      <c r="Q263">
        <v>0</v>
      </c>
      <c r="R263">
        <v>0</v>
      </c>
      <c r="S263">
        <v>0</v>
      </c>
      <c r="T263">
        <v>0.10974</v>
      </c>
      <c r="U263">
        <v>5.77E-3</v>
      </c>
      <c r="V263">
        <v>6.6164199999999997</v>
      </c>
      <c r="W263" t="s">
        <v>9</v>
      </c>
      <c r="X263">
        <v>48.042999999999999</v>
      </c>
      <c r="Y263">
        <v>49.02</v>
      </c>
      <c r="Z263">
        <v>17.940999999999999</v>
      </c>
      <c r="AA263">
        <v>2.3E-2</v>
      </c>
      <c r="AB263">
        <v>7.0999999999999994E-2</v>
      </c>
      <c r="AC263">
        <v>0</v>
      </c>
      <c r="AD263">
        <v>0</v>
      </c>
      <c r="AE263">
        <v>0</v>
      </c>
      <c r="AF263">
        <v>1.18</v>
      </c>
      <c r="AG263">
        <v>9.2999999999999999E-2</v>
      </c>
      <c r="AH263">
        <v>116.371</v>
      </c>
      <c r="AI263" t="s">
        <v>22</v>
      </c>
      <c r="AJ263">
        <v>535</v>
      </c>
      <c r="AK263">
        <v>675</v>
      </c>
      <c r="AL263">
        <v>2352.5</v>
      </c>
      <c r="AM263">
        <v>5</v>
      </c>
      <c r="AN263">
        <v>10</v>
      </c>
      <c r="AO263">
        <v>0</v>
      </c>
      <c r="AP263">
        <v>2.5</v>
      </c>
      <c r="AQ263">
        <v>0</v>
      </c>
      <c r="AR263">
        <v>42.5</v>
      </c>
      <c r="AS263">
        <v>30</v>
      </c>
      <c r="AT263">
        <v>3652.5</v>
      </c>
      <c r="AU263" t="s">
        <v>35</v>
      </c>
    </row>
    <row r="264" spans="1:47" x14ac:dyDescent="0.2">
      <c r="A264">
        <v>298</v>
      </c>
      <c r="B264" t="s">
        <v>227</v>
      </c>
      <c r="C264">
        <v>13</v>
      </c>
      <c r="D264" t="s">
        <v>233</v>
      </c>
      <c r="G264" t="str">
        <f t="shared" si="4"/>
        <v>HLY060113SEC4</v>
      </c>
      <c r="H264">
        <v>61.937610999999997</v>
      </c>
      <c r="I264">
        <v>-172.22359399999999</v>
      </c>
      <c r="J264" s="3">
        <v>20060512</v>
      </c>
      <c r="K264">
        <v>2006</v>
      </c>
      <c r="L264">
        <v>3.0660400000000001</v>
      </c>
      <c r="M264">
        <v>10.14683</v>
      </c>
      <c r="N264">
        <v>0.18717</v>
      </c>
      <c r="O264">
        <v>0</v>
      </c>
      <c r="P264">
        <v>1.1299999999999999E-3</v>
      </c>
      <c r="Q264">
        <v>0</v>
      </c>
      <c r="R264">
        <v>0</v>
      </c>
      <c r="S264">
        <v>0</v>
      </c>
      <c r="T264">
        <v>1.125E-2</v>
      </c>
      <c r="U264">
        <v>0.13600999999999999</v>
      </c>
      <c r="V264">
        <v>13.54843</v>
      </c>
      <c r="W264" t="s">
        <v>10</v>
      </c>
      <c r="X264">
        <v>44.71</v>
      </c>
      <c r="Y264">
        <v>357.44099999999997</v>
      </c>
      <c r="Z264">
        <v>2.56</v>
      </c>
      <c r="AA264">
        <v>0</v>
      </c>
      <c r="AB264">
        <v>8.1000000000000003E-2</v>
      </c>
      <c r="AC264">
        <v>0</v>
      </c>
      <c r="AD264">
        <v>0</v>
      </c>
      <c r="AE264">
        <v>0</v>
      </c>
      <c r="AF264">
        <v>0.121</v>
      </c>
      <c r="AG264">
        <v>2.6150000000000002</v>
      </c>
      <c r="AH264">
        <v>407.52800000000002</v>
      </c>
      <c r="AI264" t="s">
        <v>22</v>
      </c>
      <c r="AJ264">
        <v>617.5</v>
      </c>
      <c r="AK264">
        <v>897.5</v>
      </c>
      <c r="AL264">
        <v>287.5</v>
      </c>
      <c r="AM264">
        <v>0</v>
      </c>
      <c r="AN264">
        <v>10</v>
      </c>
      <c r="AO264">
        <v>0</v>
      </c>
      <c r="AP264">
        <v>0</v>
      </c>
      <c r="AQ264">
        <v>0</v>
      </c>
      <c r="AR264">
        <v>5</v>
      </c>
      <c r="AS264">
        <v>177.5</v>
      </c>
      <c r="AT264">
        <v>1995</v>
      </c>
      <c r="AU264" t="s">
        <v>34</v>
      </c>
    </row>
    <row r="265" spans="1:47" x14ac:dyDescent="0.2">
      <c r="A265">
        <v>299</v>
      </c>
      <c r="B265" t="s">
        <v>227</v>
      </c>
      <c r="C265">
        <v>14</v>
      </c>
      <c r="D265" t="s">
        <v>234</v>
      </c>
      <c r="G265" t="str">
        <f t="shared" si="4"/>
        <v>HLY060114NEC4</v>
      </c>
      <c r="H265">
        <v>61.782693000000002</v>
      </c>
      <c r="I265">
        <v>-171.297382</v>
      </c>
      <c r="J265" s="3">
        <v>20060513</v>
      </c>
      <c r="K265">
        <v>2006</v>
      </c>
      <c r="L265">
        <v>3.0160200000000001</v>
      </c>
      <c r="M265">
        <v>1.6867799999999999</v>
      </c>
      <c r="N265">
        <v>0.63278000000000001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5.5999999999999995E-4</v>
      </c>
      <c r="U265">
        <v>1.132E-2</v>
      </c>
      <c r="V265">
        <v>5.3474599999999999</v>
      </c>
      <c r="W265" t="s">
        <v>9</v>
      </c>
      <c r="X265">
        <v>47.113</v>
      </c>
      <c r="Y265">
        <v>45.070999999999998</v>
      </c>
      <c r="Z265">
        <v>8.7059999999999995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6.0000000000000001E-3</v>
      </c>
      <c r="AG265">
        <v>0.218</v>
      </c>
      <c r="AH265">
        <v>101.114</v>
      </c>
      <c r="AI265" t="s">
        <v>21</v>
      </c>
      <c r="AJ265">
        <v>300</v>
      </c>
      <c r="AK265">
        <v>620</v>
      </c>
      <c r="AL265">
        <v>232.5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2.5</v>
      </c>
      <c r="AS265">
        <v>37.5</v>
      </c>
      <c r="AT265">
        <v>1192.5</v>
      </c>
      <c r="AU265" t="s">
        <v>34</v>
      </c>
    </row>
    <row r="266" spans="1:47" x14ac:dyDescent="0.2">
      <c r="A266">
        <v>300</v>
      </c>
      <c r="B266" t="s">
        <v>227</v>
      </c>
      <c r="C266">
        <v>15</v>
      </c>
      <c r="D266" t="s">
        <v>235</v>
      </c>
      <c r="G266" t="str">
        <f t="shared" si="4"/>
        <v>HLY060115SIL3</v>
      </c>
      <c r="H266">
        <v>62.439970000000002</v>
      </c>
      <c r="I266">
        <v>-172.31800100000001</v>
      </c>
      <c r="J266" s="3">
        <v>20060513</v>
      </c>
      <c r="K266">
        <v>2006</v>
      </c>
      <c r="L266">
        <v>2.5895999999999999</v>
      </c>
      <c r="M266">
        <v>1.2558199999999999</v>
      </c>
      <c r="N266">
        <v>0.34948000000000001</v>
      </c>
      <c r="O266">
        <v>0</v>
      </c>
      <c r="P266">
        <v>3.0699999999999998E-3</v>
      </c>
      <c r="Q266">
        <v>0</v>
      </c>
      <c r="R266">
        <v>0</v>
      </c>
      <c r="S266">
        <v>3.1119999999999998E-2</v>
      </c>
      <c r="T266">
        <v>1.0699999999999999E-2</v>
      </c>
      <c r="U266">
        <v>2.7910000000000001E-2</v>
      </c>
      <c r="V266">
        <v>4.2676999999999996</v>
      </c>
      <c r="W266" t="s">
        <v>9</v>
      </c>
      <c r="X266">
        <v>36.737000000000002</v>
      </c>
      <c r="Y266">
        <v>33.231000000000002</v>
      </c>
      <c r="Z266">
        <v>5.0469999999999997</v>
      </c>
      <c r="AA266">
        <v>0</v>
      </c>
      <c r="AB266">
        <v>0.219</v>
      </c>
      <c r="AC266">
        <v>0</v>
      </c>
      <c r="AD266">
        <v>0</v>
      </c>
      <c r="AE266">
        <v>2.2229999999999999</v>
      </c>
      <c r="AF266">
        <v>0.115</v>
      </c>
      <c r="AG266">
        <v>0.58799999999999997</v>
      </c>
      <c r="AH266">
        <v>78.16</v>
      </c>
      <c r="AI266" t="s">
        <v>21</v>
      </c>
      <c r="AJ266">
        <v>522.5</v>
      </c>
      <c r="AK266">
        <v>920</v>
      </c>
      <c r="AL266">
        <v>967.5</v>
      </c>
      <c r="AM266">
        <v>0</v>
      </c>
      <c r="AN266">
        <v>2.5</v>
      </c>
      <c r="AO266">
        <v>0</v>
      </c>
      <c r="AP266">
        <v>0</v>
      </c>
      <c r="AQ266">
        <v>2.5</v>
      </c>
      <c r="AR266">
        <v>15</v>
      </c>
      <c r="AS266">
        <v>45</v>
      </c>
      <c r="AT266">
        <v>2475</v>
      </c>
      <c r="AU266" t="s">
        <v>35</v>
      </c>
    </row>
    <row r="267" spans="1:47" x14ac:dyDescent="0.2">
      <c r="A267">
        <v>301</v>
      </c>
      <c r="B267" t="s">
        <v>227</v>
      </c>
      <c r="C267">
        <v>16</v>
      </c>
      <c r="D267" t="s">
        <v>236</v>
      </c>
      <c r="G267" t="str">
        <f t="shared" si="4"/>
        <v>HLY060116POP4</v>
      </c>
      <c r="H267">
        <v>62.403188999999998</v>
      </c>
      <c r="I267">
        <v>-172.69025600000001</v>
      </c>
      <c r="J267" s="3">
        <v>20060513</v>
      </c>
      <c r="K267">
        <v>2006</v>
      </c>
      <c r="L267">
        <v>2.6295600000000001</v>
      </c>
      <c r="M267">
        <v>16.0304</v>
      </c>
      <c r="N267">
        <v>5.2420000000000001E-2</v>
      </c>
      <c r="O267">
        <v>1.7272799999999999</v>
      </c>
      <c r="P267">
        <v>0.36353999999999997</v>
      </c>
      <c r="Q267">
        <v>0</v>
      </c>
      <c r="R267">
        <v>0</v>
      </c>
      <c r="S267">
        <v>0</v>
      </c>
      <c r="T267">
        <v>1.2370000000000001E-2</v>
      </c>
      <c r="U267">
        <v>1.7559999999999999E-2</v>
      </c>
      <c r="V267">
        <v>20.833130000000001</v>
      </c>
      <c r="W267" t="s">
        <v>10</v>
      </c>
      <c r="X267">
        <v>45.487000000000002</v>
      </c>
      <c r="Y267">
        <v>563.96400000000006</v>
      </c>
      <c r="Z267">
        <v>0.73499999999999999</v>
      </c>
      <c r="AA267">
        <v>38.384</v>
      </c>
      <c r="AB267">
        <v>25.966999999999999</v>
      </c>
      <c r="AC267">
        <v>0</v>
      </c>
      <c r="AD267">
        <v>0</v>
      </c>
      <c r="AE267">
        <v>0</v>
      </c>
      <c r="AF267">
        <v>0.13300000000000001</v>
      </c>
      <c r="AG267">
        <v>0.44900000000000001</v>
      </c>
      <c r="AH267">
        <v>675.11900000000003</v>
      </c>
      <c r="AI267" t="s">
        <v>22</v>
      </c>
      <c r="AJ267">
        <v>400</v>
      </c>
      <c r="AK267">
        <v>1780</v>
      </c>
      <c r="AL267">
        <v>120</v>
      </c>
      <c r="AM267">
        <v>20</v>
      </c>
      <c r="AN267">
        <v>15</v>
      </c>
      <c r="AO267">
        <v>0</v>
      </c>
      <c r="AP267">
        <v>0</v>
      </c>
      <c r="AQ267">
        <v>0</v>
      </c>
      <c r="AR267">
        <v>2.5</v>
      </c>
      <c r="AS267">
        <v>90</v>
      </c>
      <c r="AT267">
        <v>2427.5</v>
      </c>
      <c r="AU267" t="s">
        <v>34</v>
      </c>
    </row>
    <row r="268" spans="1:47" x14ac:dyDescent="0.2">
      <c r="A268">
        <v>302</v>
      </c>
      <c r="B268" t="s">
        <v>227</v>
      </c>
      <c r="C268">
        <v>17</v>
      </c>
      <c r="D268" t="s">
        <v>237</v>
      </c>
      <c r="G268" t="str">
        <f t="shared" si="4"/>
        <v>HLY060117SWC4A</v>
      </c>
      <c r="H268">
        <v>62.427886000000001</v>
      </c>
      <c r="I268">
        <v>-173.404448</v>
      </c>
      <c r="J268" s="3">
        <v>20060513</v>
      </c>
      <c r="K268">
        <v>2006</v>
      </c>
      <c r="L268">
        <v>2.5742799999999999</v>
      </c>
      <c r="M268">
        <v>9.3556799999999996</v>
      </c>
      <c r="N268">
        <v>0.10982</v>
      </c>
      <c r="O268">
        <v>2.66E-3</v>
      </c>
      <c r="P268">
        <v>0.17341000000000001</v>
      </c>
      <c r="Q268">
        <v>0</v>
      </c>
      <c r="R268">
        <v>0</v>
      </c>
      <c r="S268">
        <v>0</v>
      </c>
      <c r="T268">
        <v>0.90210000000000001</v>
      </c>
      <c r="U268">
        <v>3.2250000000000001E-2</v>
      </c>
      <c r="V268">
        <v>13.1502</v>
      </c>
      <c r="W268" t="s">
        <v>10</v>
      </c>
      <c r="X268">
        <v>44.887999999999998</v>
      </c>
      <c r="Y268">
        <v>262.238</v>
      </c>
      <c r="Z268">
        <v>1.5609999999999999</v>
      </c>
      <c r="AA268">
        <v>5.8999999999999997E-2</v>
      </c>
      <c r="AB268">
        <v>12.387</v>
      </c>
      <c r="AC268">
        <v>0</v>
      </c>
      <c r="AD268">
        <v>0</v>
      </c>
      <c r="AE268">
        <v>0</v>
      </c>
      <c r="AF268">
        <v>9.6999999999999993</v>
      </c>
      <c r="AG268">
        <v>0.754</v>
      </c>
      <c r="AH268">
        <v>331.58699999999999</v>
      </c>
      <c r="AI268" t="s">
        <v>22</v>
      </c>
      <c r="AJ268">
        <v>800</v>
      </c>
      <c r="AK268">
        <v>1410</v>
      </c>
      <c r="AL268">
        <v>117.5</v>
      </c>
      <c r="AM268">
        <v>10</v>
      </c>
      <c r="AN268">
        <v>37.5</v>
      </c>
      <c r="AO268">
        <v>0</v>
      </c>
      <c r="AP268">
        <v>0</v>
      </c>
      <c r="AQ268">
        <v>0</v>
      </c>
      <c r="AR268">
        <v>25</v>
      </c>
      <c r="AS268">
        <v>162.5</v>
      </c>
      <c r="AT268">
        <v>2562.5</v>
      </c>
      <c r="AU268" t="s">
        <v>34</v>
      </c>
    </row>
    <row r="269" spans="1:47" x14ac:dyDescent="0.2">
      <c r="A269">
        <v>303</v>
      </c>
      <c r="B269" t="s">
        <v>227</v>
      </c>
      <c r="C269">
        <v>18</v>
      </c>
      <c r="D269" t="s">
        <v>238</v>
      </c>
      <c r="G269" t="str">
        <f t="shared" si="4"/>
        <v>HLY060118SWC3</v>
      </c>
      <c r="H269">
        <v>62.581364999999998</v>
      </c>
      <c r="I269">
        <v>-173.08561900000001</v>
      </c>
      <c r="J269" s="3">
        <v>20060514</v>
      </c>
      <c r="K269">
        <v>2006</v>
      </c>
      <c r="L269">
        <v>1.9023600000000001</v>
      </c>
      <c r="M269">
        <v>6.31501</v>
      </c>
      <c r="N269">
        <v>0.13680999999999999</v>
      </c>
      <c r="O269">
        <v>9.8999999999999999E-4</v>
      </c>
      <c r="P269">
        <v>0.24503</v>
      </c>
      <c r="Q269">
        <v>0</v>
      </c>
      <c r="R269">
        <v>0</v>
      </c>
      <c r="S269">
        <v>0</v>
      </c>
      <c r="T269">
        <v>7.979E-2</v>
      </c>
      <c r="U269">
        <v>2.2360000000000001E-2</v>
      </c>
      <c r="V269">
        <v>8.7023499999999991</v>
      </c>
      <c r="W269" t="s">
        <v>10</v>
      </c>
      <c r="X269">
        <v>29.488</v>
      </c>
      <c r="Y269">
        <v>169.268</v>
      </c>
      <c r="Z269">
        <v>1.7090000000000001</v>
      </c>
      <c r="AA269">
        <v>2.1999999999999999E-2</v>
      </c>
      <c r="AB269">
        <v>17.501999999999999</v>
      </c>
      <c r="AC269">
        <v>0</v>
      </c>
      <c r="AD269">
        <v>0</v>
      </c>
      <c r="AE269">
        <v>0</v>
      </c>
      <c r="AF269">
        <v>0.85799999999999998</v>
      </c>
      <c r="AG269">
        <v>0.85</v>
      </c>
      <c r="AH269">
        <v>219.697</v>
      </c>
      <c r="AI269" t="s">
        <v>22</v>
      </c>
      <c r="AJ269">
        <v>482.5</v>
      </c>
      <c r="AK269">
        <v>857.5</v>
      </c>
      <c r="AL269">
        <v>102.5</v>
      </c>
      <c r="AM269">
        <v>2.5</v>
      </c>
      <c r="AN269">
        <v>22.5</v>
      </c>
      <c r="AO269">
        <v>0</v>
      </c>
      <c r="AP269">
        <v>0</v>
      </c>
      <c r="AQ269">
        <v>0</v>
      </c>
      <c r="AR269">
        <v>7.5</v>
      </c>
      <c r="AS269">
        <v>140</v>
      </c>
      <c r="AT269">
        <v>1615</v>
      </c>
      <c r="AU269" t="s">
        <v>34</v>
      </c>
    </row>
    <row r="270" spans="1:47" x14ac:dyDescent="0.2">
      <c r="A270">
        <v>304</v>
      </c>
      <c r="B270" t="s">
        <v>227</v>
      </c>
      <c r="C270">
        <v>19</v>
      </c>
      <c r="D270" t="s">
        <v>239</v>
      </c>
      <c r="G270" t="str">
        <f t="shared" si="4"/>
        <v>HLY060119VNG3.5</v>
      </c>
      <c r="H270">
        <v>62.573906999999998</v>
      </c>
      <c r="I270">
        <v>-173.55937700000001</v>
      </c>
      <c r="J270" s="3">
        <v>20060514</v>
      </c>
      <c r="K270">
        <v>2006</v>
      </c>
      <c r="L270">
        <v>3.1752799999999999</v>
      </c>
      <c r="M270">
        <v>17.990819999999999</v>
      </c>
      <c r="N270">
        <v>3.9510000000000003E-2</v>
      </c>
      <c r="O270">
        <v>9.9500000000000005E-3</v>
      </c>
      <c r="P270">
        <v>0.35511999999999999</v>
      </c>
      <c r="Q270">
        <v>0</v>
      </c>
      <c r="R270">
        <v>0</v>
      </c>
      <c r="S270">
        <v>0</v>
      </c>
      <c r="T270">
        <v>0.32606000000000002</v>
      </c>
      <c r="U270">
        <v>4.3580000000000001E-2</v>
      </c>
      <c r="V270">
        <v>21.94032</v>
      </c>
      <c r="W270" t="s">
        <v>10</v>
      </c>
      <c r="X270">
        <v>53.162999999999997</v>
      </c>
      <c r="Y270">
        <v>569.02200000000005</v>
      </c>
      <c r="Z270">
        <v>0.44800000000000001</v>
      </c>
      <c r="AA270">
        <v>0.221</v>
      </c>
      <c r="AB270">
        <v>25.366</v>
      </c>
      <c r="AC270">
        <v>0</v>
      </c>
      <c r="AD270">
        <v>0</v>
      </c>
      <c r="AE270">
        <v>0</v>
      </c>
      <c r="AF270">
        <v>3.5059999999999998</v>
      </c>
      <c r="AG270">
        <v>1.036</v>
      </c>
      <c r="AH270">
        <v>652.76199999999994</v>
      </c>
      <c r="AI270" t="s">
        <v>22</v>
      </c>
      <c r="AJ270">
        <v>465</v>
      </c>
      <c r="AK270">
        <v>1620</v>
      </c>
      <c r="AL270">
        <v>60</v>
      </c>
      <c r="AM270">
        <v>15</v>
      </c>
      <c r="AN270">
        <v>17.5</v>
      </c>
      <c r="AO270">
        <v>0</v>
      </c>
      <c r="AP270">
        <v>0</v>
      </c>
      <c r="AQ270">
        <v>0</v>
      </c>
      <c r="AR270">
        <v>7.5</v>
      </c>
      <c r="AS270">
        <v>42.5</v>
      </c>
      <c r="AT270">
        <v>2227.5</v>
      </c>
      <c r="AU270" t="s">
        <v>34</v>
      </c>
    </row>
    <row r="271" spans="1:47" x14ac:dyDescent="0.2">
      <c r="A271">
        <v>305</v>
      </c>
      <c r="B271" t="s">
        <v>227</v>
      </c>
      <c r="C271">
        <v>2</v>
      </c>
      <c r="D271" t="s">
        <v>240</v>
      </c>
      <c r="G271" t="str">
        <f t="shared" si="4"/>
        <v>HLY06012SEC5</v>
      </c>
      <c r="H271">
        <v>61.564318</v>
      </c>
      <c r="I271">
        <v>-172.898966</v>
      </c>
      <c r="J271" s="3">
        <v>20060509</v>
      </c>
      <c r="K271">
        <v>2006</v>
      </c>
      <c r="L271">
        <v>1.0619700000000001</v>
      </c>
      <c r="M271">
        <v>3.39846</v>
      </c>
      <c r="N271">
        <v>7.0989999999999998E-2</v>
      </c>
      <c r="O271">
        <v>0</v>
      </c>
      <c r="P271">
        <v>2.2699999999999999E-3</v>
      </c>
      <c r="Q271">
        <v>0</v>
      </c>
      <c r="R271">
        <v>0</v>
      </c>
      <c r="S271">
        <v>0</v>
      </c>
      <c r="T271">
        <v>2.7000000000000001E-3</v>
      </c>
      <c r="U271">
        <v>4.5539999999999997E-2</v>
      </c>
      <c r="V271">
        <v>4.5819299999999998</v>
      </c>
      <c r="W271" t="s">
        <v>10</v>
      </c>
      <c r="X271">
        <v>14.997</v>
      </c>
      <c r="Y271">
        <v>94.325999999999993</v>
      </c>
      <c r="Z271">
        <v>0.95099999999999996</v>
      </c>
      <c r="AA271">
        <v>0</v>
      </c>
      <c r="AB271">
        <v>0.16200000000000001</v>
      </c>
      <c r="AC271">
        <v>0</v>
      </c>
      <c r="AD271">
        <v>0</v>
      </c>
      <c r="AE271">
        <v>0</v>
      </c>
      <c r="AF271">
        <v>2.9000000000000001E-2</v>
      </c>
      <c r="AG271">
        <v>0.995</v>
      </c>
      <c r="AH271">
        <v>111.46</v>
      </c>
      <c r="AI271" t="s">
        <v>22</v>
      </c>
      <c r="AJ271">
        <v>165</v>
      </c>
      <c r="AK271">
        <v>195</v>
      </c>
      <c r="AL271">
        <v>72.5</v>
      </c>
      <c r="AM271">
        <v>0</v>
      </c>
      <c r="AN271">
        <v>72.5</v>
      </c>
      <c r="AO271">
        <v>0</v>
      </c>
      <c r="AP271">
        <v>0</v>
      </c>
      <c r="AQ271">
        <v>0</v>
      </c>
      <c r="AR271">
        <v>2.5</v>
      </c>
      <c r="AS271">
        <v>32.5</v>
      </c>
      <c r="AT271">
        <v>540</v>
      </c>
      <c r="AU271" t="s">
        <v>34</v>
      </c>
    </row>
    <row r="272" spans="1:47" x14ac:dyDescent="0.2">
      <c r="A272">
        <v>306</v>
      </c>
      <c r="B272" t="s">
        <v>227</v>
      </c>
      <c r="C272">
        <v>20</v>
      </c>
      <c r="D272" t="s">
        <v>241</v>
      </c>
      <c r="G272" t="str">
        <f t="shared" si="4"/>
        <v>HLY060120CD1</v>
      </c>
      <c r="H272">
        <v>62.677965</v>
      </c>
      <c r="I272">
        <v>-173.389803</v>
      </c>
      <c r="J272" s="3">
        <v>20060514</v>
      </c>
      <c r="K272">
        <v>2006</v>
      </c>
      <c r="L272">
        <v>2.3136399999999999</v>
      </c>
      <c r="M272">
        <v>16.95637</v>
      </c>
      <c r="N272">
        <v>0.12386999999999999</v>
      </c>
      <c r="O272">
        <v>2.1650900000000002</v>
      </c>
      <c r="P272">
        <v>0.41258</v>
      </c>
      <c r="Q272">
        <v>0</v>
      </c>
      <c r="R272">
        <v>0</v>
      </c>
      <c r="S272">
        <v>0</v>
      </c>
      <c r="T272">
        <v>0.20683000000000001</v>
      </c>
      <c r="U272">
        <v>0.18407999999999999</v>
      </c>
      <c r="V272">
        <v>22.362459999999999</v>
      </c>
      <c r="W272" t="s">
        <v>10</v>
      </c>
      <c r="X272">
        <v>34.667999999999999</v>
      </c>
      <c r="Y272">
        <v>520.86</v>
      </c>
      <c r="Z272">
        <v>1.4350000000000001</v>
      </c>
      <c r="AA272">
        <v>48.113</v>
      </c>
      <c r="AB272">
        <v>29.47</v>
      </c>
      <c r="AC272">
        <v>0</v>
      </c>
      <c r="AD272">
        <v>0</v>
      </c>
      <c r="AE272">
        <v>0</v>
      </c>
      <c r="AF272">
        <v>2.2240000000000002</v>
      </c>
      <c r="AG272">
        <v>4.141</v>
      </c>
      <c r="AH272">
        <v>640.91099999999994</v>
      </c>
      <c r="AI272" t="s">
        <v>22</v>
      </c>
      <c r="AJ272">
        <v>370</v>
      </c>
      <c r="AK272">
        <v>1000</v>
      </c>
      <c r="AL272">
        <v>145</v>
      </c>
      <c r="AM272">
        <v>25</v>
      </c>
      <c r="AN272">
        <v>20</v>
      </c>
      <c r="AO272">
        <v>0</v>
      </c>
      <c r="AP272">
        <v>0</v>
      </c>
      <c r="AQ272">
        <v>0</v>
      </c>
      <c r="AR272">
        <v>27.5</v>
      </c>
      <c r="AS272">
        <v>62.5</v>
      </c>
      <c r="AT272">
        <v>1650</v>
      </c>
      <c r="AU272" t="s">
        <v>34</v>
      </c>
    </row>
    <row r="273" spans="1:47" x14ac:dyDescent="0.2">
      <c r="A273">
        <v>307</v>
      </c>
      <c r="B273" t="s">
        <v>227</v>
      </c>
      <c r="C273">
        <v>21</v>
      </c>
      <c r="D273" t="s">
        <v>242</v>
      </c>
      <c r="G273" t="str">
        <f t="shared" si="4"/>
        <v>HLY060121VNG4</v>
      </c>
      <c r="H273">
        <v>62.754778000000002</v>
      </c>
      <c r="I273">
        <v>-173.42583300000001</v>
      </c>
      <c r="J273" s="3">
        <v>20060514</v>
      </c>
      <c r="K273">
        <v>2006</v>
      </c>
      <c r="L273">
        <v>3.1333199999999999</v>
      </c>
      <c r="M273">
        <v>17.563490000000002</v>
      </c>
      <c r="N273">
        <v>0.17369999999999999</v>
      </c>
      <c r="O273">
        <v>5.0000000000000001E-4</v>
      </c>
      <c r="P273">
        <v>0.38414999999999999</v>
      </c>
      <c r="Q273">
        <v>0</v>
      </c>
      <c r="R273">
        <v>0</v>
      </c>
      <c r="S273">
        <v>0</v>
      </c>
      <c r="T273">
        <v>2.4369999999999999E-2</v>
      </c>
      <c r="U273">
        <v>6.0679999999999998E-2</v>
      </c>
      <c r="V273">
        <v>21.340209999999999</v>
      </c>
      <c r="W273" t="s">
        <v>10</v>
      </c>
      <c r="X273">
        <v>44.89</v>
      </c>
      <c r="Y273">
        <v>601</v>
      </c>
      <c r="Z273">
        <v>2.0579999999999998</v>
      </c>
      <c r="AA273">
        <v>1.0999999999999999E-2</v>
      </c>
      <c r="AB273">
        <v>27.439</v>
      </c>
      <c r="AC273">
        <v>0</v>
      </c>
      <c r="AD273">
        <v>0</v>
      </c>
      <c r="AE273">
        <v>0</v>
      </c>
      <c r="AF273">
        <v>0.26200000000000001</v>
      </c>
      <c r="AG273">
        <v>1.3560000000000001</v>
      </c>
      <c r="AH273">
        <v>677.01599999999996</v>
      </c>
      <c r="AI273" t="s">
        <v>22</v>
      </c>
      <c r="AJ273">
        <v>370</v>
      </c>
      <c r="AK273">
        <v>885</v>
      </c>
      <c r="AL273">
        <v>140</v>
      </c>
      <c r="AM273">
        <v>2.5</v>
      </c>
      <c r="AN273">
        <v>20</v>
      </c>
      <c r="AO273">
        <v>0</v>
      </c>
      <c r="AP273">
        <v>0</v>
      </c>
      <c r="AQ273">
        <v>0</v>
      </c>
      <c r="AR273">
        <v>7.5</v>
      </c>
      <c r="AS273">
        <v>47.5</v>
      </c>
      <c r="AT273">
        <v>1472.5</v>
      </c>
      <c r="AU273" t="s">
        <v>34</v>
      </c>
    </row>
    <row r="274" spans="1:47" x14ac:dyDescent="0.2">
      <c r="A274">
        <v>308</v>
      </c>
      <c r="B274" t="s">
        <v>227</v>
      </c>
      <c r="C274">
        <v>22</v>
      </c>
      <c r="D274" t="s">
        <v>243</v>
      </c>
      <c r="G274" t="str">
        <f t="shared" si="4"/>
        <v>HLY060122NWC3</v>
      </c>
      <c r="H274">
        <v>62.782730000000001</v>
      </c>
      <c r="I274">
        <v>-173.873332</v>
      </c>
      <c r="J274" s="3">
        <v>20060515</v>
      </c>
      <c r="K274">
        <v>2006</v>
      </c>
      <c r="L274">
        <v>6.4856499999999997</v>
      </c>
      <c r="M274">
        <v>14.618359999999999</v>
      </c>
      <c r="N274">
        <v>0.14818999999999999</v>
      </c>
      <c r="O274">
        <v>5.6299999999999996E-3</v>
      </c>
      <c r="P274">
        <v>0.28071000000000002</v>
      </c>
      <c r="Q274">
        <v>0</v>
      </c>
      <c r="R274">
        <v>0</v>
      </c>
      <c r="S274">
        <v>0</v>
      </c>
      <c r="T274">
        <v>1.0491299999999999</v>
      </c>
      <c r="U274">
        <v>0.76656999999999997</v>
      </c>
      <c r="V274">
        <v>23.354240000000001</v>
      </c>
      <c r="W274" t="s">
        <v>10</v>
      </c>
      <c r="X274">
        <v>115.129</v>
      </c>
      <c r="Y274">
        <v>421.97</v>
      </c>
      <c r="Z274">
        <v>1.69</v>
      </c>
      <c r="AA274">
        <v>0.125</v>
      </c>
      <c r="AB274">
        <v>20.050999999999998</v>
      </c>
      <c r="AC274">
        <v>0</v>
      </c>
      <c r="AD274">
        <v>0</v>
      </c>
      <c r="AE274">
        <v>0</v>
      </c>
      <c r="AF274">
        <v>11.281000000000001</v>
      </c>
      <c r="AG274">
        <v>17.402000000000001</v>
      </c>
      <c r="AH274">
        <v>587.64800000000002</v>
      </c>
      <c r="AI274" t="s">
        <v>22</v>
      </c>
      <c r="AJ274">
        <v>1062.5</v>
      </c>
      <c r="AK274">
        <v>925</v>
      </c>
      <c r="AL274">
        <v>182.5</v>
      </c>
      <c r="AM274">
        <v>30</v>
      </c>
      <c r="AN274">
        <v>15</v>
      </c>
      <c r="AO274">
        <v>0</v>
      </c>
      <c r="AP274">
        <v>0</v>
      </c>
      <c r="AQ274">
        <v>0</v>
      </c>
      <c r="AR274">
        <v>85</v>
      </c>
      <c r="AS274">
        <v>97.5</v>
      </c>
      <c r="AT274">
        <v>2397.5</v>
      </c>
      <c r="AU274" t="s">
        <v>33</v>
      </c>
    </row>
    <row r="275" spans="1:47" x14ac:dyDescent="0.2">
      <c r="A275">
        <v>309</v>
      </c>
      <c r="B275" t="s">
        <v>227</v>
      </c>
      <c r="C275">
        <v>23</v>
      </c>
      <c r="D275" t="s">
        <v>244</v>
      </c>
      <c r="G275" t="str">
        <f t="shared" si="4"/>
        <v>HLY060123DLN3</v>
      </c>
      <c r="H275">
        <v>62.901722999999997</v>
      </c>
      <c r="I275">
        <v>-174.57715899999999</v>
      </c>
      <c r="J275" s="3">
        <v>20060515</v>
      </c>
      <c r="K275">
        <v>2006</v>
      </c>
      <c r="L275">
        <v>2.4779100000000001</v>
      </c>
      <c r="M275">
        <v>9.1548700000000007</v>
      </c>
      <c r="N275">
        <v>8.3099999999999993E-2</v>
      </c>
      <c r="O275">
        <v>0</v>
      </c>
      <c r="P275">
        <v>0.41985</v>
      </c>
      <c r="Q275">
        <v>0</v>
      </c>
      <c r="R275">
        <v>0</v>
      </c>
      <c r="S275">
        <v>0</v>
      </c>
      <c r="T275">
        <v>1.10354</v>
      </c>
      <c r="U275">
        <v>0.25335000000000002</v>
      </c>
      <c r="V275">
        <v>13.492620000000001</v>
      </c>
      <c r="W275" t="s">
        <v>10</v>
      </c>
      <c r="X275">
        <v>48.508000000000003</v>
      </c>
      <c r="Y275">
        <v>252.86500000000001</v>
      </c>
      <c r="Z275">
        <v>1.0009999999999999</v>
      </c>
      <c r="AA275">
        <v>0</v>
      </c>
      <c r="AB275">
        <v>29.989000000000001</v>
      </c>
      <c r="AC275">
        <v>0</v>
      </c>
      <c r="AD275">
        <v>0</v>
      </c>
      <c r="AE275">
        <v>0</v>
      </c>
      <c r="AF275">
        <v>11.866</v>
      </c>
      <c r="AG275">
        <v>5.2889999999999997</v>
      </c>
      <c r="AH275">
        <v>349.51799999999997</v>
      </c>
      <c r="AI275" t="s">
        <v>22</v>
      </c>
      <c r="AJ275">
        <v>595</v>
      </c>
      <c r="AK275">
        <v>665</v>
      </c>
      <c r="AL275">
        <v>52.5</v>
      </c>
      <c r="AM275">
        <v>0</v>
      </c>
      <c r="AN275">
        <v>50</v>
      </c>
      <c r="AO275">
        <v>0</v>
      </c>
      <c r="AP275">
        <v>0</v>
      </c>
      <c r="AQ275">
        <v>0</v>
      </c>
      <c r="AR275">
        <v>10</v>
      </c>
      <c r="AS275">
        <v>62.5</v>
      </c>
      <c r="AT275">
        <v>1435</v>
      </c>
      <c r="AU275" t="s">
        <v>34</v>
      </c>
    </row>
    <row r="276" spans="1:47" x14ac:dyDescent="0.2">
      <c r="A276">
        <v>310</v>
      </c>
      <c r="B276" t="s">
        <v>227</v>
      </c>
      <c r="C276">
        <v>24</v>
      </c>
      <c r="D276" t="s">
        <v>245</v>
      </c>
      <c r="G276" t="str">
        <f t="shared" si="4"/>
        <v>HLY060124DLN4</v>
      </c>
      <c r="H276">
        <v>62.512796000000002</v>
      </c>
      <c r="I276">
        <v>-175.30302800000001</v>
      </c>
      <c r="J276" s="3">
        <v>20060515</v>
      </c>
      <c r="K276">
        <v>2006</v>
      </c>
      <c r="L276">
        <v>2.2159399999999998</v>
      </c>
      <c r="M276">
        <v>9.0930099999999996</v>
      </c>
      <c r="N276">
        <v>0.19705</v>
      </c>
      <c r="O276">
        <v>5.4000000000000001E-4</v>
      </c>
      <c r="P276">
        <v>0.47644999999999998</v>
      </c>
      <c r="Q276">
        <v>0</v>
      </c>
      <c r="R276">
        <v>0</v>
      </c>
      <c r="S276">
        <v>1.0035000000000001</v>
      </c>
      <c r="T276">
        <v>1.042E-2</v>
      </c>
      <c r="U276">
        <v>0.74109999999999998</v>
      </c>
      <c r="V276">
        <v>13.738009999999999</v>
      </c>
      <c r="W276" t="s">
        <v>10</v>
      </c>
      <c r="X276">
        <v>29.948</v>
      </c>
      <c r="Y276">
        <v>262.97800000000001</v>
      </c>
      <c r="Z276">
        <v>2.512</v>
      </c>
      <c r="AA276">
        <v>1.2E-2</v>
      </c>
      <c r="AB276">
        <v>34.031999999999996</v>
      </c>
      <c r="AC276">
        <v>0</v>
      </c>
      <c r="AD276">
        <v>0</v>
      </c>
      <c r="AE276">
        <v>71.679000000000002</v>
      </c>
      <c r="AF276">
        <v>0.112</v>
      </c>
      <c r="AG276">
        <v>16.53</v>
      </c>
      <c r="AH276">
        <v>417.803</v>
      </c>
      <c r="AI276" t="s">
        <v>22</v>
      </c>
      <c r="AJ276">
        <v>550</v>
      </c>
      <c r="AK276">
        <v>667.5</v>
      </c>
      <c r="AL276">
        <v>205</v>
      </c>
      <c r="AM276">
        <v>5</v>
      </c>
      <c r="AN276">
        <v>50</v>
      </c>
      <c r="AO276">
        <v>0</v>
      </c>
      <c r="AP276">
        <v>0</v>
      </c>
      <c r="AQ276">
        <v>35</v>
      </c>
      <c r="AR276">
        <v>5</v>
      </c>
      <c r="AS276">
        <v>120</v>
      </c>
      <c r="AT276">
        <v>1637.5</v>
      </c>
      <c r="AU276" t="s">
        <v>34</v>
      </c>
    </row>
    <row r="277" spans="1:47" x14ac:dyDescent="0.2">
      <c r="A277">
        <v>311</v>
      </c>
      <c r="B277" t="s">
        <v>227</v>
      </c>
      <c r="C277">
        <v>25</v>
      </c>
      <c r="D277" t="s">
        <v>246</v>
      </c>
      <c r="G277" t="str">
        <f t="shared" si="4"/>
        <v>HLY060125NWC2.5</v>
      </c>
      <c r="H277">
        <v>63.035666999999997</v>
      </c>
      <c r="I277">
        <v>-173.480062</v>
      </c>
      <c r="J277" s="3">
        <v>20060515</v>
      </c>
      <c r="K277">
        <v>2006</v>
      </c>
      <c r="L277">
        <v>2.9109699999999998</v>
      </c>
      <c r="M277">
        <v>12.63007</v>
      </c>
      <c r="N277">
        <v>0.14077000000000001</v>
      </c>
      <c r="O277">
        <v>0</v>
      </c>
      <c r="P277">
        <v>0.23005999999999999</v>
      </c>
      <c r="Q277">
        <v>0</v>
      </c>
      <c r="R277">
        <v>0</v>
      </c>
      <c r="S277">
        <v>3.47E-3</v>
      </c>
      <c r="T277">
        <v>2.0227499999999998</v>
      </c>
      <c r="U277">
        <v>0.52464999999999995</v>
      </c>
      <c r="V277">
        <v>18.46274</v>
      </c>
      <c r="W277" t="s">
        <v>10</v>
      </c>
      <c r="X277">
        <v>52.37</v>
      </c>
      <c r="Y277">
        <v>383.54300000000001</v>
      </c>
      <c r="Z277">
        <v>1.605</v>
      </c>
      <c r="AA277">
        <v>0</v>
      </c>
      <c r="AB277">
        <v>16.433</v>
      </c>
      <c r="AC277">
        <v>0</v>
      </c>
      <c r="AD277">
        <v>0</v>
      </c>
      <c r="AE277">
        <v>0.248</v>
      </c>
      <c r="AF277">
        <v>21.75</v>
      </c>
      <c r="AG277">
        <v>9.5389999999999997</v>
      </c>
      <c r="AH277">
        <v>485.488</v>
      </c>
      <c r="AI277" t="s">
        <v>22</v>
      </c>
      <c r="AJ277">
        <v>590</v>
      </c>
      <c r="AK277">
        <v>1305</v>
      </c>
      <c r="AL277">
        <v>82.5</v>
      </c>
      <c r="AM277">
        <v>0</v>
      </c>
      <c r="AN277">
        <v>12.5</v>
      </c>
      <c r="AO277">
        <v>0</v>
      </c>
      <c r="AP277">
        <v>0</v>
      </c>
      <c r="AQ277">
        <v>2.5</v>
      </c>
      <c r="AR277">
        <v>17.5</v>
      </c>
      <c r="AS277">
        <v>122.5</v>
      </c>
      <c r="AT277">
        <v>2132.5</v>
      </c>
      <c r="AU277" t="s">
        <v>34</v>
      </c>
    </row>
    <row r="278" spans="1:47" x14ac:dyDescent="0.2">
      <c r="A278">
        <v>312</v>
      </c>
      <c r="B278" t="s">
        <v>227</v>
      </c>
      <c r="C278">
        <v>26</v>
      </c>
      <c r="D278" t="s">
        <v>247</v>
      </c>
      <c r="G278" t="str">
        <f t="shared" si="4"/>
        <v>HLY060126NWC2</v>
      </c>
      <c r="H278">
        <v>63.103346999999999</v>
      </c>
      <c r="I278">
        <v>-173.164264</v>
      </c>
      <c r="J278" s="3">
        <v>20060516</v>
      </c>
      <c r="K278">
        <v>2006</v>
      </c>
      <c r="L278">
        <v>1.95668</v>
      </c>
      <c r="M278">
        <v>10.936640000000001</v>
      </c>
      <c r="N278">
        <v>0.38273000000000001</v>
      </c>
      <c r="O278">
        <v>2.7956300000000001</v>
      </c>
      <c r="P278">
        <v>0.50851999999999997</v>
      </c>
      <c r="Q278">
        <v>0</v>
      </c>
      <c r="R278">
        <v>0</v>
      </c>
      <c r="S278">
        <v>0</v>
      </c>
      <c r="T278">
        <v>3.7357200000000002</v>
      </c>
      <c r="U278">
        <v>0.36397000000000002</v>
      </c>
      <c r="V278">
        <v>20.67989</v>
      </c>
      <c r="W278" t="s">
        <v>10</v>
      </c>
      <c r="X278">
        <v>35.488</v>
      </c>
      <c r="Y278">
        <v>316.04899999999998</v>
      </c>
      <c r="Z278">
        <v>4.4690000000000003</v>
      </c>
      <c r="AA278">
        <v>62.125</v>
      </c>
      <c r="AB278">
        <v>36.323</v>
      </c>
      <c r="AC278">
        <v>0</v>
      </c>
      <c r="AD278">
        <v>0</v>
      </c>
      <c r="AE278">
        <v>0</v>
      </c>
      <c r="AF278">
        <v>40.168999999999997</v>
      </c>
      <c r="AG278">
        <v>6.9349999999999996</v>
      </c>
      <c r="AH278">
        <v>501.55799999999999</v>
      </c>
      <c r="AI278" t="s">
        <v>22</v>
      </c>
      <c r="AJ278">
        <v>435</v>
      </c>
      <c r="AK278">
        <v>2027.5</v>
      </c>
      <c r="AL278">
        <v>170</v>
      </c>
      <c r="AM278">
        <v>5</v>
      </c>
      <c r="AN278">
        <v>12.5</v>
      </c>
      <c r="AO278">
        <v>0</v>
      </c>
      <c r="AP278">
        <v>0</v>
      </c>
      <c r="AQ278">
        <v>0</v>
      </c>
      <c r="AR278">
        <v>52.5</v>
      </c>
      <c r="AS278">
        <v>160</v>
      </c>
      <c r="AT278">
        <v>2862.5</v>
      </c>
      <c r="AU278" t="s">
        <v>34</v>
      </c>
    </row>
    <row r="279" spans="1:47" x14ac:dyDescent="0.2">
      <c r="A279">
        <v>313</v>
      </c>
      <c r="B279" t="s">
        <v>227</v>
      </c>
      <c r="C279">
        <v>27</v>
      </c>
      <c r="D279" t="s">
        <v>248</v>
      </c>
      <c r="G279" t="str">
        <f t="shared" si="4"/>
        <v>HLY060127DLN2</v>
      </c>
      <c r="H279">
        <v>63.281767000000002</v>
      </c>
      <c r="I279">
        <v>-173.74365399999999</v>
      </c>
      <c r="J279" s="3">
        <v>20060516</v>
      </c>
      <c r="K279">
        <v>2006</v>
      </c>
      <c r="L279">
        <v>1.66703</v>
      </c>
      <c r="M279">
        <v>6.13131</v>
      </c>
      <c r="N279">
        <v>1.11802</v>
      </c>
      <c r="O279">
        <v>3.6000000000000002E-4</v>
      </c>
      <c r="P279">
        <v>0.31595000000000001</v>
      </c>
      <c r="Q279">
        <v>0</v>
      </c>
      <c r="R279">
        <v>0</v>
      </c>
      <c r="S279">
        <v>3.9399999999999998E-2</v>
      </c>
      <c r="T279">
        <v>0.64793000000000001</v>
      </c>
      <c r="U279">
        <v>0.26819999999999999</v>
      </c>
      <c r="V279">
        <v>10.1882</v>
      </c>
      <c r="W279" t="s">
        <v>10</v>
      </c>
      <c r="X279">
        <v>22.565000000000001</v>
      </c>
      <c r="Y279">
        <v>165.09899999999999</v>
      </c>
      <c r="Z279">
        <v>14.378</v>
      </c>
      <c r="AA279">
        <v>8.0000000000000002E-3</v>
      </c>
      <c r="AB279">
        <v>22.568000000000001</v>
      </c>
      <c r="AC279">
        <v>0</v>
      </c>
      <c r="AD279">
        <v>0</v>
      </c>
      <c r="AE279">
        <v>0.96099999999999997</v>
      </c>
      <c r="AF279">
        <v>6.9669999999999996</v>
      </c>
      <c r="AG279">
        <v>6.1440000000000001</v>
      </c>
      <c r="AH279">
        <v>238.69</v>
      </c>
      <c r="AI279" t="s">
        <v>22</v>
      </c>
      <c r="AJ279">
        <v>692.5</v>
      </c>
      <c r="AK279">
        <v>270</v>
      </c>
      <c r="AL279">
        <v>395</v>
      </c>
      <c r="AM279">
        <v>7.5</v>
      </c>
      <c r="AN279">
        <v>27.5</v>
      </c>
      <c r="AO279">
        <v>0</v>
      </c>
      <c r="AP279">
        <v>0</v>
      </c>
      <c r="AQ279">
        <v>2.5</v>
      </c>
      <c r="AR279">
        <v>27.5</v>
      </c>
      <c r="AS279">
        <v>35</v>
      </c>
      <c r="AT279">
        <v>1457.5</v>
      </c>
      <c r="AU279" t="s">
        <v>33</v>
      </c>
    </row>
    <row r="280" spans="1:47" x14ac:dyDescent="0.2">
      <c r="A280">
        <v>314</v>
      </c>
      <c r="B280" t="s">
        <v>227</v>
      </c>
      <c r="C280">
        <v>28</v>
      </c>
      <c r="D280" t="s">
        <v>249</v>
      </c>
      <c r="G280" t="str">
        <f t="shared" si="4"/>
        <v>HLY060128VNG5</v>
      </c>
      <c r="H280">
        <v>62.971473000000003</v>
      </c>
      <c r="I280">
        <v>-172.988711</v>
      </c>
      <c r="J280" s="3">
        <v>20060516</v>
      </c>
      <c r="K280">
        <v>2006</v>
      </c>
      <c r="L280">
        <v>1.43251</v>
      </c>
      <c r="M280">
        <v>23.887920000000001</v>
      </c>
      <c r="N280">
        <v>0.48050999999999999</v>
      </c>
      <c r="O280">
        <v>0</v>
      </c>
      <c r="P280">
        <v>0.69623000000000002</v>
      </c>
      <c r="Q280">
        <v>0</v>
      </c>
      <c r="R280">
        <v>0</v>
      </c>
      <c r="S280">
        <v>0</v>
      </c>
      <c r="T280">
        <v>3.8219999999999997E-2</v>
      </c>
      <c r="U280">
        <v>3.2410000000000001E-2</v>
      </c>
      <c r="V280">
        <v>26.567799999999998</v>
      </c>
      <c r="W280" t="s">
        <v>10</v>
      </c>
      <c r="X280">
        <v>20.821000000000002</v>
      </c>
      <c r="Y280">
        <v>788.49400000000003</v>
      </c>
      <c r="Z280">
        <v>5.45</v>
      </c>
      <c r="AA280">
        <v>0</v>
      </c>
      <c r="AB280">
        <v>49.731000000000002</v>
      </c>
      <c r="AC280">
        <v>0</v>
      </c>
      <c r="AD280">
        <v>0</v>
      </c>
      <c r="AE280">
        <v>0</v>
      </c>
      <c r="AF280">
        <v>0.41099999999999998</v>
      </c>
      <c r="AG280">
        <v>0.81200000000000006</v>
      </c>
      <c r="AH280">
        <v>865.71900000000005</v>
      </c>
      <c r="AI280" t="s">
        <v>22</v>
      </c>
      <c r="AJ280">
        <v>245</v>
      </c>
      <c r="AK280">
        <v>1302.5</v>
      </c>
      <c r="AL280">
        <v>197.5</v>
      </c>
      <c r="AM280">
        <v>0</v>
      </c>
      <c r="AN280">
        <v>62.5</v>
      </c>
      <c r="AO280">
        <v>0</v>
      </c>
      <c r="AP280">
        <v>0</v>
      </c>
      <c r="AQ280">
        <v>0</v>
      </c>
      <c r="AR280">
        <v>10</v>
      </c>
      <c r="AS280">
        <v>112.5</v>
      </c>
      <c r="AT280">
        <v>1930</v>
      </c>
      <c r="AU280" t="s">
        <v>34</v>
      </c>
    </row>
    <row r="281" spans="1:47" x14ac:dyDescent="0.2">
      <c r="A281">
        <v>315</v>
      </c>
      <c r="B281" t="s">
        <v>227</v>
      </c>
      <c r="C281">
        <v>29</v>
      </c>
      <c r="D281" t="s">
        <v>250</v>
      </c>
      <c r="G281" t="str">
        <f t="shared" si="4"/>
        <v>HLY060129SWC3A</v>
      </c>
      <c r="H281">
        <v>62.751801</v>
      </c>
      <c r="I281">
        <v>-172.68301400000001</v>
      </c>
      <c r="J281" s="3">
        <v>20060517</v>
      </c>
      <c r="K281">
        <v>2006</v>
      </c>
      <c r="L281">
        <v>1.3765000000000001</v>
      </c>
      <c r="M281">
        <v>7.9257999999999997</v>
      </c>
      <c r="N281">
        <v>0.37084</v>
      </c>
      <c r="O281">
        <v>0</v>
      </c>
      <c r="P281">
        <v>0.24543000000000001</v>
      </c>
      <c r="Q281">
        <v>0</v>
      </c>
      <c r="R281">
        <v>0</v>
      </c>
      <c r="S281">
        <v>0</v>
      </c>
      <c r="T281">
        <v>0.83635000000000004</v>
      </c>
      <c r="U281">
        <v>4.283E-2</v>
      </c>
      <c r="V281">
        <v>10.797750000000001</v>
      </c>
      <c r="W281" t="s">
        <v>10</v>
      </c>
      <c r="X281">
        <v>25.654</v>
      </c>
      <c r="Y281">
        <v>239.93600000000001</v>
      </c>
      <c r="Z281">
        <v>4.931</v>
      </c>
      <c r="AA281">
        <v>0</v>
      </c>
      <c r="AB281">
        <v>17.530999999999999</v>
      </c>
      <c r="AC281">
        <v>0</v>
      </c>
      <c r="AD281">
        <v>0</v>
      </c>
      <c r="AE281">
        <v>0</v>
      </c>
      <c r="AF281">
        <v>8.9930000000000003</v>
      </c>
      <c r="AG281">
        <v>1.143</v>
      </c>
      <c r="AH281">
        <v>298.18799999999999</v>
      </c>
      <c r="AI281" t="s">
        <v>22</v>
      </c>
      <c r="AJ281">
        <v>400</v>
      </c>
      <c r="AK281">
        <v>1812.5</v>
      </c>
      <c r="AL281">
        <v>115</v>
      </c>
      <c r="AM281">
        <v>0</v>
      </c>
      <c r="AN281">
        <v>35</v>
      </c>
      <c r="AO281">
        <v>0</v>
      </c>
      <c r="AP281">
        <v>0</v>
      </c>
      <c r="AQ281">
        <v>0</v>
      </c>
      <c r="AR281">
        <v>30</v>
      </c>
      <c r="AS281">
        <v>185</v>
      </c>
      <c r="AT281">
        <v>2577.5</v>
      </c>
      <c r="AU281" t="s">
        <v>34</v>
      </c>
    </row>
    <row r="282" spans="1:47" x14ac:dyDescent="0.2">
      <c r="A282">
        <v>316</v>
      </c>
      <c r="B282" t="s">
        <v>227</v>
      </c>
      <c r="C282">
        <v>3</v>
      </c>
      <c r="D282" t="s">
        <v>251</v>
      </c>
      <c r="G282" t="str">
        <f t="shared" si="4"/>
        <v>HLY06013SIL5</v>
      </c>
      <c r="H282">
        <v>61.720106000000001</v>
      </c>
      <c r="I282">
        <v>-173.60423</v>
      </c>
      <c r="J282" s="3">
        <v>20060509</v>
      </c>
      <c r="K282">
        <v>2006</v>
      </c>
      <c r="L282">
        <v>2.1354000000000002</v>
      </c>
      <c r="M282">
        <v>7.7269699999999997</v>
      </c>
      <c r="N282">
        <v>0.21240000000000001</v>
      </c>
      <c r="O282">
        <v>9.0000000000000006E-5</v>
      </c>
      <c r="P282">
        <v>2.1099999999999999E-3</v>
      </c>
      <c r="Q282">
        <v>0</v>
      </c>
      <c r="R282">
        <v>0</v>
      </c>
      <c r="S282">
        <v>0</v>
      </c>
      <c r="T282">
        <v>1.6459999999999999E-2</v>
      </c>
      <c r="U282">
        <v>4.036E-2</v>
      </c>
      <c r="V282">
        <v>10.133789999999999</v>
      </c>
      <c r="W282" t="s">
        <v>10</v>
      </c>
      <c r="X282">
        <v>33.156999999999996</v>
      </c>
      <c r="Y282">
        <v>237.62899999999999</v>
      </c>
      <c r="Z282">
        <v>2.6539999999999999</v>
      </c>
      <c r="AA282">
        <v>2E-3</v>
      </c>
      <c r="AB282">
        <v>0.151</v>
      </c>
      <c r="AC282">
        <v>0</v>
      </c>
      <c r="AD282">
        <v>0</v>
      </c>
      <c r="AE282">
        <v>0</v>
      </c>
      <c r="AF282">
        <v>0.17699999999999999</v>
      </c>
      <c r="AG282">
        <v>0.82199999999999995</v>
      </c>
      <c r="AH282">
        <v>274.59199999999998</v>
      </c>
      <c r="AI282" t="s">
        <v>22</v>
      </c>
      <c r="AJ282">
        <v>717.5</v>
      </c>
      <c r="AK282">
        <v>610</v>
      </c>
      <c r="AL282">
        <v>272.5</v>
      </c>
      <c r="AM282">
        <v>2.5</v>
      </c>
      <c r="AN282">
        <v>57.5</v>
      </c>
      <c r="AO282">
        <v>0</v>
      </c>
      <c r="AP282">
        <v>0</v>
      </c>
      <c r="AQ282">
        <v>0</v>
      </c>
      <c r="AR282">
        <v>5</v>
      </c>
      <c r="AS282">
        <v>62.5</v>
      </c>
      <c r="AT282">
        <v>1727.5</v>
      </c>
      <c r="AU282" t="s">
        <v>33</v>
      </c>
    </row>
    <row r="283" spans="1:47" x14ac:dyDescent="0.2">
      <c r="A283">
        <v>317</v>
      </c>
      <c r="B283" t="s">
        <v>227</v>
      </c>
      <c r="C283">
        <v>30</v>
      </c>
      <c r="D283" t="s">
        <v>252</v>
      </c>
      <c r="G283" t="str">
        <f t="shared" si="4"/>
        <v>HLY060130POP3A</v>
      </c>
      <c r="H283">
        <v>62.570601000000003</v>
      </c>
      <c r="I283">
        <v>-172.297777</v>
      </c>
      <c r="J283" s="3">
        <v>20060517</v>
      </c>
      <c r="K283">
        <v>2006</v>
      </c>
      <c r="L283">
        <v>0.77998999999999996</v>
      </c>
      <c r="M283">
        <v>0.64698999999999995</v>
      </c>
      <c r="N283">
        <v>0.11423999999999999</v>
      </c>
      <c r="O283">
        <v>0</v>
      </c>
      <c r="P283">
        <v>0</v>
      </c>
      <c r="Q283">
        <v>0</v>
      </c>
      <c r="R283">
        <v>0</v>
      </c>
      <c r="S283">
        <v>0.13769999999999999</v>
      </c>
      <c r="T283">
        <v>0.46778999999999998</v>
      </c>
      <c r="U283">
        <v>3.2680000000000001E-2</v>
      </c>
      <c r="V283">
        <v>2.1793900000000002</v>
      </c>
      <c r="W283" t="s">
        <v>9</v>
      </c>
      <c r="X283">
        <v>11.116</v>
      </c>
      <c r="Y283">
        <v>17.378</v>
      </c>
      <c r="Z283">
        <v>1.597</v>
      </c>
      <c r="AA283">
        <v>0</v>
      </c>
      <c r="AB283">
        <v>0</v>
      </c>
      <c r="AC283">
        <v>0</v>
      </c>
      <c r="AD283">
        <v>0</v>
      </c>
      <c r="AE283">
        <v>9.8360000000000003</v>
      </c>
      <c r="AF283">
        <v>5.03</v>
      </c>
      <c r="AG283">
        <v>0.54600000000000004</v>
      </c>
      <c r="AH283">
        <v>45.503</v>
      </c>
      <c r="AI283" t="s">
        <v>22</v>
      </c>
      <c r="AJ283">
        <v>337.5</v>
      </c>
      <c r="AK283">
        <v>2420</v>
      </c>
      <c r="AL283">
        <v>940</v>
      </c>
      <c r="AM283">
        <v>0</v>
      </c>
      <c r="AN283">
        <v>0</v>
      </c>
      <c r="AO283">
        <v>0</v>
      </c>
      <c r="AP283">
        <v>0</v>
      </c>
      <c r="AQ283">
        <v>5</v>
      </c>
      <c r="AR283">
        <v>35</v>
      </c>
      <c r="AS283">
        <v>150</v>
      </c>
      <c r="AT283">
        <v>3887.5</v>
      </c>
      <c r="AU283" t="s">
        <v>34</v>
      </c>
    </row>
    <row r="284" spans="1:47" x14ac:dyDescent="0.2">
      <c r="A284">
        <v>318</v>
      </c>
      <c r="B284" t="s">
        <v>227</v>
      </c>
      <c r="C284">
        <v>31</v>
      </c>
      <c r="D284" t="s">
        <v>253</v>
      </c>
      <c r="G284" t="str">
        <f t="shared" si="4"/>
        <v>HLY060131SEC2.5</v>
      </c>
      <c r="H284">
        <v>62.495814000000003</v>
      </c>
      <c r="I284">
        <v>-171.84119799999999</v>
      </c>
      <c r="J284" s="3">
        <v>20060517</v>
      </c>
      <c r="K284">
        <v>2006</v>
      </c>
      <c r="L284">
        <v>0.77949999999999997</v>
      </c>
      <c r="M284">
        <v>11.486800000000001</v>
      </c>
      <c r="N284">
        <v>0.17866000000000001</v>
      </c>
      <c r="O284">
        <v>0</v>
      </c>
      <c r="P284">
        <v>0</v>
      </c>
      <c r="Q284">
        <v>0</v>
      </c>
      <c r="R284">
        <v>0</v>
      </c>
      <c r="S284">
        <v>0.29498999999999997</v>
      </c>
      <c r="T284">
        <v>0.32279999999999998</v>
      </c>
      <c r="U284">
        <v>9.5899999999999996E-3</v>
      </c>
      <c r="V284">
        <v>13.072340000000001</v>
      </c>
      <c r="W284" t="s">
        <v>10</v>
      </c>
      <c r="X284">
        <v>10.624000000000001</v>
      </c>
      <c r="Y284">
        <v>464.233</v>
      </c>
      <c r="Z284">
        <v>2.5259999999999998</v>
      </c>
      <c r="AA284">
        <v>0</v>
      </c>
      <c r="AB284">
        <v>0</v>
      </c>
      <c r="AC284">
        <v>0</v>
      </c>
      <c r="AD284">
        <v>0</v>
      </c>
      <c r="AE284">
        <v>21.071000000000002</v>
      </c>
      <c r="AF284">
        <v>3.4710000000000001</v>
      </c>
      <c r="AG284">
        <v>0.156</v>
      </c>
      <c r="AH284">
        <v>502.08100000000002</v>
      </c>
      <c r="AI284" t="s">
        <v>22</v>
      </c>
      <c r="AJ284">
        <v>430</v>
      </c>
      <c r="AK284">
        <v>2015</v>
      </c>
      <c r="AL284">
        <v>890</v>
      </c>
      <c r="AM284">
        <v>0</v>
      </c>
      <c r="AN284">
        <v>0</v>
      </c>
      <c r="AO284">
        <v>0</v>
      </c>
      <c r="AP284">
        <v>0</v>
      </c>
      <c r="AQ284">
        <v>30</v>
      </c>
      <c r="AR284">
        <v>12.5</v>
      </c>
      <c r="AS284">
        <v>47.5</v>
      </c>
      <c r="AT284">
        <v>3425</v>
      </c>
      <c r="AU284" t="s">
        <v>34</v>
      </c>
    </row>
    <row r="285" spans="1:47" x14ac:dyDescent="0.2">
      <c r="A285">
        <v>319</v>
      </c>
      <c r="B285" t="s">
        <v>227</v>
      </c>
      <c r="C285">
        <v>32</v>
      </c>
      <c r="D285" t="s">
        <v>254</v>
      </c>
      <c r="G285" t="str">
        <f t="shared" si="4"/>
        <v>HLY060132SEC3</v>
      </c>
      <c r="H285">
        <v>62.286489000000003</v>
      </c>
      <c r="I285">
        <v>-171.56949900000001</v>
      </c>
      <c r="J285" s="3">
        <v>20060517</v>
      </c>
      <c r="K285">
        <v>2006</v>
      </c>
      <c r="L285">
        <v>2.5841500000000002</v>
      </c>
      <c r="M285">
        <v>18.78436</v>
      </c>
      <c r="N285">
        <v>0.21359</v>
      </c>
      <c r="O285">
        <v>0</v>
      </c>
      <c r="P285">
        <v>1.3999999999999999E-4</v>
      </c>
      <c r="Q285">
        <v>0</v>
      </c>
      <c r="R285">
        <v>0</v>
      </c>
      <c r="S285">
        <v>0.88675000000000004</v>
      </c>
      <c r="T285">
        <v>0</v>
      </c>
      <c r="U285">
        <v>2.2300000000000002E-3</v>
      </c>
      <c r="V285">
        <v>22.471219999999999</v>
      </c>
      <c r="W285" t="s">
        <v>10</v>
      </c>
      <c r="X285">
        <v>32.805999999999997</v>
      </c>
      <c r="Y285">
        <v>646.14400000000001</v>
      </c>
      <c r="Z285">
        <v>3.109</v>
      </c>
      <c r="AA285">
        <v>0</v>
      </c>
      <c r="AB285">
        <v>0.01</v>
      </c>
      <c r="AC285">
        <v>0</v>
      </c>
      <c r="AD285">
        <v>0</v>
      </c>
      <c r="AE285">
        <v>63.338999999999999</v>
      </c>
      <c r="AF285">
        <v>0</v>
      </c>
      <c r="AG285">
        <v>3.5999999999999997E-2</v>
      </c>
      <c r="AH285">
        <v>745.44399999999996</v>
      </c>
      <c r="AI285" t="s">
        <v>22</v>
      </c>
      <c r="AJ285">
        <v>520</v>
      </c>
      <c r="AK285">
        <v>1605</v>
      </c>
      <c r="AL285">
        <v>842.5</v>
      </c>
      <c r="AM285">
        <v>0</v>
      </c>
      <c r="AN285">
        <v>5</v>
      </c>
      <c r="AO285">
        <v>0</v>
      </c>
      <c r="AP285">
        <v>0</v>
      </c>
      <c r="AQ285">
        <v>542.5</v>
      </c>
      <c r="AR285">
        <v>0</v>
      </c>
      <c r="AS285">
        <v>10</v>
      </c>
      <c r="AT285">
        <v>3525</v>
      </c>
      <c r="AU285" t="s">
        <v>34</v>
      </c>
    </row>
    <row r="286" spans="1:47" x14ac:dyDescent="0.2">
      <c r="A286">
        <v>320</v>
      </c>
      <c r="B286" t="s">
        <v>227</v>
      </c>
      <c r="C286">
        <v>33</v>
      </c>
      <c r="D286" t="s">
        <v>255</v>
      </c>
      <c r="G286" t="str">
        <f t="shared" si="4"/>
        <v>HLY060133NEC3</v>
      </c>
      <c r="H286">
        <v>62.062786000000003</v>
      </c>
      <c r="I286">
        <v>-170.623794</v>
      </c>
      <c r="J286" s="3">
        <v>20060518</v>
      </c>
      <c r="K286">
        <v>2006</v>
      </c>
      <c r="L286">
        <v>2.4996100000000001</v>
      </c>
      <c r="M286">
        <v>1.80522</v>
      </c>
      <c r="N286">
        <v>0.36462</v>
      </c>
      <c r="O286">
        <v>0</v>
      </c>
      <c r="P286">
        <v>1.7000000000000001E-4</v>
      </c>
      <c r="Q286">
        <v>0</v>
      </c>
      <c r="R286">
        <v>0</v>
      </c>
      <c r="S286">
        <v>0</v>
      </c>
      <c r="T286">
        <v>0</v>
      </c>
      <c r="U286">
        <v>1.0200000000000001E-3</v>
      </c>
      <c r="V286">
        <v>4.6706399999999997</v>
      </c>
      <c r="W286" t="s">
        <v>9</v>
      </c>
      <c r="X286">
        <v>37.479999999999997</v>
      </c>
      <c r="Y286">
        <v>47.802</v>
      </c>
      <c r="Z286">
        <v>5.0819999999999999</v>
      </c>
      <c r="AA286">
        <v>0</v>
      </c>
      <c r="AB286">
        <v>1.2E-2</v>
      </c>
      <c r="AC286">
        <v>0</v>
      </c>
      <c r="AD286">
        <v>0</v>
      </c>
      <c r="AE286">
        <v>0</v>
      </c>
      <c r="AF286">
        <v>0</v>
      </c>
      <c r="AG286">
        <v>2.1000000000000001E-2</v>
      </c>
      <c r="AH286">
        <v>90.397000000000006</v>
      </c>
      <c r="AI286" t="s">
        <v>22</v>
      </c>
      <c r="AJ286">
        <v>392.5</v>
      </c>
      <c r="AK286">
        <v>1020</v>
      </c>
      <c r="AL286">
        <v>672.5</v>
      </c>
      <c r="AM286">
        <v>0</v>
      </c>
      <c r="AN286">
        <v>5</v>
      </c>
      <c r="AO286">
        <v>0</v>
      </c>
      <c r="AP286">
        <v>0</v>
      </c>
      <c r="AQ286">
        <v>0</v>
      </c>
      <c r="AR286">
        <v>0</v>
      </c>
      <c r="AS286">
        <v>12.5</v>
      </c>
      <c r="AT286">
        <v>2102.5</v>
      </c>
      <c r="AU286" t="s">
        <v>34</v>
      </c>
    </row>
    <row r="287" spans="1:47" x14ac:dyDescent="0.2">
      <c r="A287">
        <v>321</v>
      </c>
      <c r="B287" t="s">
        <v>227</v>
      </c>
      <c r="C287">
        <v>34</v>
      </c>
      <c r="D287" t="s">
        <v>256</v>
      </c>
      <c r="G287" t="str">
        <f t="shared" si="4"/>
        <v>HLY060134NEC2</v>
      </c>
      <c r="H287">
        <v>62.439636</v>
      </c>
      <c r="I287">
        <v>-170.05936399999999</v>
      </c>
      <c r="J287" s="3">
        <v>20060518</v>
      </c>
      <c r="K287">
        <v>2006</v>
      </c>
      <c r="L287">
        <v>0.49091000000000001</v>
      </c>
      <c r="M287">
        <v>1.2048300000000001</v>
      </c>
      <c r="N287">
        <v>0.54844000000000004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0.21678</v>
      </c>
      <c r="U287">
        <v>5.0090000000000003E-2</v>
      </c>
      <c r="V287">
        <v>2.51105</v>
      </c>
      <c r="W287" t="s">
        <v>10</v>
      </c>
      <c r="X287">
        <v>6.8760000000000003</v>
      </c>
      <c r="Y287">
        <v>61.39</v>
      </c>
      <c r="Z287">
        <v>7.5670000000000002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2.331</v>
      </c>
      <c r="AG287">
        <v>0.81100000000000005</v>
      </c>
      <c r="AH287">
        <v>78.974999999999994</v>
      </c>
      <c r="AI287" t="s">
        <v>22</v>
      </c>
      <c r="AJ287">
        <v>367.5</v>
      </c>
      <c r="AK287">
        <v>845</v>
      </c>
      <c r="AL287">
        <v>5510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15</v>
      </c>
      <c r="AS287">
        <v>40</v>
      </c>
      <c r="AT287">
        <v>6777.5</v>
      </c>
      <c r="AU287" t="s">
        <v>35</v>
      </c>
    </row>
    <row r="288" spans="1:47" x14ac:dyDescent="0.2">
      <c r="A288">
        <v>322</v>
      </c>
      <c r="B288" t="s">
        <v>227</v>
      </c>
      <c r="C288">
        <v>35</v>
      </c>
      <c r="D288" t="s">
        <v>257</v>
      </c>
      <c r="G288" t="str">
        <f t="shared" si="4"/>
        <v>HLY060135NEC2.5</v>
      </c>
      <c r="H288">
        <v>62.471781</v>
      </c>
      <c r="I288">
        <v>-170.917587</v>
      </c>
      <c r="J288" s="3">
        <v>20060518</v>
      </c>
      <c r="K288">
        <v>2006</v>
      </c>
      <c r="L288">
        <v>1.1339300000000001</v>
      </c>
      <c r="M288">
        <v>2.1038299999999999</v>
      </c>
      <c r="N288">
        <v>0.42710999999999999</v>
      </c>
      <c r="O288">
        <v>0</v>
      </c>
      <c r="P288">
        <v>1.7000000000000001E-4</v>
      </c>
      <c r="Q288">
        <v>0</v>
      </c>
      <c r="R288">
        <v>0</v>
      </c>
      <c r="S288">
        <v>1.23017</v>
      </c>
      <c r="T288">
        <v>0.11280999999999999</v>
      </c>
      <c r="U288">
        <v>0.98148999999999997</v>
      </c>
      <c r="V288">
        <v>5.9895100000000001</v>
      </c>
      <c r="W288" t="s">
        <v>10</v>
      </c>
      <c r="X288">
        <v>14.976000000000001</v>
      </c>
      <c r="Y288">
        <v>68.971000000000004</v>
      </c>
      <c r="Z288">
        <v>6.1639999999999997</v>
      </c>
      <c r="AA288">
        <v>0</v>
      </c>
      <c r="AB288">
        <v>1.2E-2</v>
      </c>
      <c r="AC288">
        <v>0</v>
      </c>
      <c r="AD288">
        <v>0</v>
      </c>
      <c r="AE288">
        <v>87.869</v>
      </c>
      <c r="AF288">
        <v>1.2130000000000001</v>
      </c>
      <c r="AG288">
        <v>20.945</v>
      </c>
      <c r="AH288">
        <v>200.15</v>
      </c>
      <c r="AI288" t="s">
        <v>28</v>
      </c>
      <c r="AJ288">
        <v>285</v>
      </c>
      <c r="AK288">
        <v>1455</v>
      </c>
      <c r="AL288">
        <v>5430</v>
      </c>
      <c r="AM288">
        <v>0</v>
      </c>
      <c r="AN288">
        <v>2.5</v>
      </c>
      <c r="AO288">
        <v>0</v>
      </c>
      <c r="AP288">
        <v>0</v>
      </c>
      <c r="AQ288">
        <v>97.5</v>
      </c>
      <c r="AR288">
        <v>20</v>
      </c>
      <c r="AS288">
        <v>62.5</v>
      </c>
      <c r="AT288">
        <v>7352.5</v>
      </c>
      <c r="AU288" t="s">
        <v>35</v>
      </c>
    </row>
    <row r="289" spans="1:47" x14ac:dyDescent="0.2">
      <c r="A289">
        <v>323</v>
      </c>
      <c r="B289" t="s">
        <v>227</v>
      </c>
      <c r="C289">
        <v>36</v>
      </c>
      <c r="D289" t="s">
        <v>258</v>
      </c>
      <c r="G289" t="str">
        <f t="shared" si="4"/>
        <v>HLY060136SEC2</v>
      </c>
      <c r="H289">
        <v>62.611742999999997</v>
      </c>
      <c r="I289">
        <v>-170.91911099999999</v>
      </c>
      <c r="J289" s="3">
        <v>20060518</v>
      </c>
      <c r="K289">
        <v>2006</v>
      </c>
      <c r="L289">
        <v>0.70496000000000003</v>
      </c>
      <c r="M289">
        <v>5.3024100000000001</v>
      </c>
      <c r="N289">
        <v>6.5740000000000007E-2</v>
      </c>
      <c r="O289">
        <v>0</v>
      </c>
      <c r="P289">
        <v>8.9899999999999997E-3</v>
      </c>
      <c r="Q289">
        <v>0</v>
      </c>
      <c r="R289">
        <v>0</v>
      </c>
      <c r="S289">
        <v>1.7387699999999999</v>
      </c>
      <c r="T289">
        <v>1.58E-3</v>
      </c>
      <c r="U289">
        <v>0.32296999999999998</v>
      </c>
      <c r="V289">
        <v>8.1454199999999997</v>
      </c>
      <c r="W289" t="s">
        <v>10</v>
      </c>
      <c r="X289">
        <v>9.3109999999999999</v>
      </c>
      <c r="Y289">
        <v>173.328</v>
      </c>
      <c r="Z289">
        <v>0.91900000000000004</v>
      </c>
      <c r="AA289">
        <v>0</v>
      </c>
      <c r="AB289">
        <v>0.64200000000000002</v>
      </c>
      <c r="AC289">
        <v>0</v>
      </c>
      <c r="AD289">
        <v>0</v>
      </c>
      <c r="AE289">
        <v>105.633</v>
      </c>
      <c r="AF289">
        <v>1.7000000000000001E-2</v>
      </c>
      <c r="AG289">
        <v>6.766</v>
      </c>
      <c r="AH289">
        <v>296.61599999999999</v>
      </c>
      <c r="AI289" t="s">
        <v>22</v>
      </c>
      <c r="AJ289">
        <v>442.5</v>
      </c>
      <c r="AK289">
        <v>1365</v>
      </c>
      <c r="AL289">
        <v>1032.5</v>
      </c>
      <c r="AM289">
        <v>0</v>
      </c>
      <c r="AN289">
        <v>2.5</v>
      </c>
      <c r="AO289">
        <v>0</v>
      </c>
      <c r="AP289">
        <v>0</v>
      </c>
      <c r="AQ289">
        <v>112.5</v>
      </c>
      <c r="AR289">
        <v>2.5</v>
      </c>
      <c r="AS289">
        <v>45</v>
      </c>
      <c r="AT289">
        <v>3002.5</v>
      </c>
      <c r="AU289" t="s">
        <v>34</v>
      </c>
    </row>
    <row r="290" spans="1:47" x14ac:dyDescent="0.2">
      <c r="A290">
        <v>324</v>
      </c>
      <c r="B290" t="s">
        <v>227</v>
      </c>
      <c r="C290">
        <v>37</v>
      </c>
      <c r="D290" t="s">
        <v>259</v>
      </c>
      <c r="G290" t="str">
        <f t="shared" si="4"/>
        <v>HLY060137SIL2</v>
      </c>
      <c r="H290">
        <v>62.751809999999999</v>
      </c>
      <c r="I290">
        <v>-171.67157900000001</v>
      </c>
      <c r="J290" s="3">
        <v>20060519</v>
      </c>
      <c r="K290">
        <v>2006</v>
      </c>
      <c r="L290">
        <v>0.41693999999999998</v>
      </c>
      <c r="M290">
        <v>7.9103599999999998</v>
      </c>
      <c r="N290">
        <v>0.17230000000000001</v>
      </c>
      <c r="O290">
        <v>0</v>
      </c>
      <c r="P290">
        <v>8.0000000000000007E-5</v>
      </c>
      <c r="Q290">
        <v>0</v>
      </c>
      <c r="R290">
        <v>0</v>
      </c>
      <c r="S290">
        <v>0.71599000000000002</v>
      </c>
      <c r="T290">
        <v>5.3E-3</v>
      </c>
      <c r="U290">
        <v>2.3259999999999999E-2</v>
      </c>
      <c r="V290">
        <v>9.2442299999999999</v>
      </c>
      <c r="W290" t="s">
        <v>10</v>
      </c>
      <c r="X290">
        <v>6.46</v>
      </c>
      <c r="Y290">
        <v>203.35400000000001</v>
      </c>
      <c r="Z290">
        <v>2.2240000000000002</v>
      </c>
      <c r="AA290">
        <v>0</v>
      </c>
      <c r="AB290">
        <v>6.0000000000000001E-3</v>
      </c>
      <c r="AC290">
        <v>0</v>
      </c>
      <c r="AD290">
        <v>0</v>
      </c>
      <c r="AE290">
        <v>51.142000000000003</v>
      </c>
      <c r="AF290">
        <v>5.7000000000000002E-2</v>
      </c>
      <c r="AG290">
        <v>0.38300000000000001</v>
      </c>
      <c r="AH290">
        <v>263.62599999999998</v>
      </c>
      <c r="AI290" t="s">
        <v>22</v>
      </c>
      <c r="AJ290">
        <v>1912.5</v>
      </c>
      <c r="AK290">
        <v>3945</v>
      </c>
      <c r="AL290">
        <v>1285</v>
      </c>
      <c r="AM290">
        <v>0</v>
      </c>
      <c r="AN290">
        <v>7.5</v>
      </c>
      <c r="AO290">
        <v>0</v>
      </c>
      <c r="AP290">
        <v>0</v>
      </c>
      <c r="AQ290">
        <v>197.5</v>
      </c>
      <c r="AR290">
        <v>7.5</v>
      </c>
      <c r="AS290">
        <v>110</v>
      </c>
      <c r="AT290">
        <v>7465</v>
      </c>
      <c r="AU290" t="s">
        <v>34</v>
      </c>
    </row>
    <row r="291" spans="1:47" x14ac:dyDescent="0.2">
      <c r="A291">
        <v>325</v>
      </c>
      <c r="B291" t="s">
        <v>227</v>
      </c>
      <c r="C291">
        <v>38</v>
      </c>
      <c r="D291" t="s">
        <v>260</v>
      </c>
      <c r="G291" t="str">
        <f t="shared" si="4"/>
        <v>HLY060138SWC2</v>
      </c>
      <c r="H291">
        <v>62.927999</v>
      </c>
      <c r="I291">
        <v>-172.30541199999999</v>
      </c>
      <c r="J291" s="3">
        <v>20060519</v>
      </c>
      <c r="K291">
        <v>2006</v>
      </c>
      <c r="L291">
        <v>3.6863700000000001</v>
      </c>
      <c r="M291">
        <v>7.7667599999999997</v>
      </c>
      <c r="N291">
        <v>2.0047600000000001</v>
      </c>
      <c r="O291">
        <v>0.13091</v>
      </c>
      <c r="P291">
        <v>0.26152999999999998</v>
      </c>
      <c r="Q291">
        <v>0</v>
      </c>
      <c r="R291">
        <v>0</v>
      </c>
      <c r="S291">
        <v>1.19774</v>
      </c>
      <c r="T291">
        <v>1.37324</v>
      </c>
      <c r="U291">
        <v>0.17191000000000001</v>
      </c>
      <c r="V291">
        <v>16.593219999999999</v>
      </c>
      <c r="W291" t="s">
        <v>10</v>
      </c>
      <c r="X291">
        <v>69.358000000000004</v>
      </c>
      <c r="Y291">
        <v>222.227</v>
      </c>
      <c r="Z291">
        <v>22.855</v>
      </c>
      <c r="AA291">
        <v>2.9089999999999998</v>
      </c>
      <c r="AB291">
        <v>18.681000000000001</v>
      </c>
      <c r="AC291">
        <v>0</v>
      </c>
      <c r="AD291">
        <v>0</v>
      </c>
      <c r="AE291">
        <v>85.552999999999997</v>
      </c>
      <c r="AF291">
        <v>14.766</v>
      </c>
      <c r="AG291">
        <v>7.1180000000000003</v>
      </c>
      <c r="AH291">
        <v>443.46699999999998</v>
      </c>
      <c r="AI291" t="s">
        <v>22</v>
      </c>
      <c r="AJ291">
        <v>970</v>
      </c>
      <c r="AK291">
        <v>1270</v>
      </c>
      <c r="AL291">
        <v>1470</v>
      </c>
      <c r="AM291">
        <v>35</v>
      </c>
      <c r="AN291">
        <v>7.5</v>
      </c>
      <c r="AO291">
        <v>0</v>
      </c>
      <c r="AP291">
        <v>0</v>
      </c>
      <c r="AQ291">
        <v>40</v>
      </c>
      <c r="AR291">
        <v>692.5</v>
      </c>
      <c r="AS291">
        <v>360</v>
      </c>
      <c r="AT291">
        <v>4845</v>
      </c>
      <c r="AU291" t="s">
        <v>35</v>
      </c>
    </row>
    <row r="292" spans="1:47" x14ac:dyDescent="0.2">
      <c r="A292">
        <v>326</v>
      </c>
      <c r="B292" t="s">
        <v>227</v>
      </c>
      <c r="C292">
        <v>4</v>
      </c>
      <c r="D292" t="s">
        <v>261</v>
      </c>
      <c r="G292" t="str">
        <f t="shared" si="4"/>
        <v>HLY06014SWC5</v>
      </c>
      <c r="H292">
        <v>61.887312999999999</v>
      </c>
      <c r="I292">
        <v>-174.375102</v>
      </c>
      <c r="J292" s="3">
        <v>20060510</v>
      </c>
      <c r="K292">
        <v>2006</v>
      </c>
      <c r="L292">
        <v>3.8490099999999998</v>
      </c>
      <c r="M292">
        <v>6.1724500000000004</v>
      </c>
      <c r="N292">
        <v>0.14097999999999999</v>
      </c>
      <c r="O292">
        <v>3.6900000000000001E-3</v>
      </c>
      <c r="P292">
        <v>0.46931</v>
      </c>
      <c r="Q292">
        <v>0</v>
      </c>
      <c r="R292">
        <v>0</v>
      </c>
      <c r="S292">
        <v>0</v>
      </c>
      <c r="T292">
        <v>4.8399999999999997E-3</v>
      </c>
      <c r="U292">
        <v>1.983E-2</v>
      </c>
      <c r="V292">
        <v>10.66011</v>
      </c>
      <c r="W292" t="s">
        <v>10</v>
      </c>
      <c r="X292">
        <v>55.066000000000003</v>
      </c>
      <c r="Y292">
        <v>180.00299999999999</v>
      </c>
      <c r="Z292">
        <v>1.7649999999999999</v>
      </c>
      <c r="AA292">
        <v>8.2000000000000003E-2</v>
      </c>
      <c r="AB292">
        <v>33.521999999999998</v>
      </c>
      <c r="AC292">
        <v>0</v>
      </c>
      <c r="AD292">
        <v>0</v>
      </c>
      <c r="AE292">
        <v>0</v>
      </c>
      <c r="AF292">
        <v>5.1999999999999998E-2</v>
      </c>
      <c r="AG292">
        <v>0.36699999999999999</v>
      </c>
      <c r="AH292">
        <v>270.85700000000003</v>
      </c>
      <c r="AI292" t="s">
        <v>22</v>
      </c>
      <c r="AJ292">
        <v>532.5</v>
      </c>
      <c r="AK292">
        <v>1147.5</v>
      </c>
      <c r="AL292">
        <v>135</v>
      </c>
      <c r="AM292">
        <v>15</v>
      </c>
      <c r="AN292">
        <v>57.5</v>
      </c>
      <c r="AO292">
        <v>0</v>
      </c>
      <c r="AP292">
        <v>0</v>
      </c>
      <c r="AQ292">
        <v>0</v>
      </c>
      <c r="AR292">
        <v>5</v>
      </c>
      <c r="AS292">
        <v>120</v>
      </c>
      <c r="AT292">
        <v>2012.5</v>
      </c>
      <c r="AU292" t="s">
        <v>34</v>
      </c>
    </row>
    <row r="293" spans="1:47" x14ac:dyDescent="0.2">
      <c r="A293">
        <v>327</v>
      </c>
      <c r="B293" t="s">
        <v>227</v>
      </c>
      <c r="C293">
        <v>43</v>
      </c>
      <c r="D293" t="s">
        <v>262</v>
      </c>
      <c r="G293" t="str">
        <f t="shared" si="4"/>
        <v>HLY060143DLN0</v>
      </c>
      <c r="H293">
        <v>64.284979000000007</v>
      </c>
      <c r="I293">
        <v>-171.61102399999999</v>
      </c>
      <c r="J293" s="3">
        <v>20060520</v>
      </c>
      <c r="K293">
        <v>2006</v>
      </c>
      <c r="L293">
        <v>1.39001</v>
      </c>
      <c r="M293">
        <v>0.80581000000000003</v>
      </c>
      <c r="N293">
        <v>0.19151000000000001</v>
      </c>
      <c r="O293">
        <v>4.7699999999999999E-3</v>
      </c>
      <c r="P293">
        <v>3.8370000000000001E-2</v>
      </c>
      <c r="Q293">
        <v>4.6452799999999996</v>
      </c>
      <c r="R293">
        <v>0.23472999999999999</v>
      </c>
      <c r="S293">
        <v>0.80479000000000001</v>
      </c>
      <c r="T293">
        <v>5.654E-2</v>
      </c>
      <c r="U293">
        <v>8.8900000000000003E-3</v>
      </c>
      <c r="V293">
        <v>8.1806999999999999</v>
      </c>
      <c r="W293" t="s">
        <v>14</v>
      </c>
      <c r="X293">
        <v>21.004999999999999</v>
      </c>
      <c r="Y293">
        <v>49.039000000000001</v>
      </c>
      <c r="Z293">
        <v>2.593</v>
      </c>
      <c r="AA293">
        <v>0.106</v>
      </c>
      <c r="AB293">
        <v>2.7410000000000001</v>
      </c>
      <c r="AC293">
        <v>422.298</v>
      </c>
      <c r="AD293">
        <v>3.8479999999999999</v>
      </c>
      <c r="AE293">
        <v>19.629000000000001</v>
      </c>
      <c r="AF293">
        <v>0.60799999999999998</v>
      </c>
      <c r="AG293">
        <v>0.624</v>
      </c>
      <c r="AH293">
        <v>522.49099999999999</v>
      </c>
      <c r="AI293" t="s">
        <v>26</v>
      </c>
      <c r="AJ293">
        <v>540</v>
      </c>
      <c r="AK293">
        <v>52.5</v>
      </c>
      <c r="AL293">
        <v>420</v>
      </c>
      <c r="AM293">
        <v>20</v>
      </c>
      <c r="AN293">
        <v>102.5</v>
      </c>
      <c r="AO293">
        <v>160</v>
      </c>
      <c r="AP293">
        <v>107.5</v>
      </c>
      <c r="AQ293">
        <v>10</v>
      </c>
      <c r="AR293">
        <v>15</v>
      </c>
      <c r="AS293">
        <v>10</v>
      </c>
      <c r="AT293">
        <v>1437.5</v>
      </c>
      <c r="AU293" t="s">
        <v>33</v>
      </c>
    </row>
    <row r="294" spans="1:47" x14ac:dyDescent="0.2">
      <c r="A294">
        <v>328</v>
      </c>
      <c r="B294" t="s">
        <v>227</v>
      </c>
      <c r="C294">
        <v>44</v>
      </c>
      <c r="D294" t="s">
        <v>263</v>
      </c>
      <c r="G294" t="str">
        <f t="shared" si="4"/>
        <v>HLY060144KIV1</v>
      </c>
      <c r="H294">
        <v>64.234037000000001</v>
      </c>
      <c r="I294">
        <v>-170.86430100000001</v>
      </c>
      <c r="J294" s="3">
        <v>20060520</v>
      </c>
      <c r="K294">
        <v>2006</v>
      </c>
      <c r="L294">
        <v>0.29743000000000003</v>
      </c>
      <c r="M294">
        <v>0.23956</v>
      </c>
      <c r="N294">
        <v>0.1096</v>
      </c>
      <c r="O294">
        <v>0</v>
      </c>
      <c r="P294">
        <v>4.0000000000000003E-5</v>
      </c>
      <c r="Q294">
        <v>2.6629200000000002</v>
      </c>
      <c r="R294">
        <v>0</v>
      </c>
      <c r="S294">
        <v>0</v>
      </c>
      <c r="T294">
        <v>4.5659999999999999E-2</v>
      </c>
      <c r="U294">
        <v>3.116E-2</v>
      </c>
      <c r="V294">
        <v>3.3863699999999999</v>
      </c>
      <c r="W294" t="s">
        <v>14</v>
      </c>
      <c r="X294">
        <v>4.556</v>
      </c>
      <c r="Y294">
        <v>8.5519999999999996</v>
      </c>
      <c r="Z294">
        <v>1.494</v>
      </c>
      <c r="AA294">
        <v>0</v>
      </c>
      <c r="AB294">
        <v>3.0000000000000001E-3</v>
      </c>
      <c r="AC294">
        <v>332.86099999999999</v>
      </c>
      <c r="AD294">
        <v>0</v>
      </c>
      <c r="AE294">
        <v>0</v>
      </c>
      <c r="AF294">
        <v>0.49099999999999999</v>
      </c>
      <c r="AG294">
        <v>1.0109999999999999</v>
      </c>
      <c r="AH294">
        <v>348.96800000000002</v>
      </c>
      <c r="AI294" t="s">
        <v>26</v>
      </c>
      <c r="AJ294">
        <v>65</v>
      </c>
      <c r="AK294">
        <v>157.5</v>
      </c>
      <c r="AL294">
        <v>125</v>
      </c>
      <c r="AM294">
        <v>0</v>
      </c>
      <c r="AN294">
        <v>15</v>
      </c>
      <c r="AO294">
        <v>22.5</v>
      </c>
      <c r="AP294">
        <v>0</v>
      </c>
      <c r="AQ294">
        <v>0</v>
      </c>
      <c r="AR294">
        <v>5</v>
      </c>
      <c r="AS294">
        <v>15</v>
      </c>
      <c r="AT294">
        <v>405</v>
      </c>
      <c r="AU294" t="s">
        <v>34</v>
      </c>
    </row>
    <row r="295" spans="1:47" x14ac:dyDescent="0.2">
      <c r="A295">
        <v>329</v>
      </c>
      <c r="B295" t="s">
        <v>227</v>
      </c>
      <c r="C295">
        <v>46</v>
      </c>
      <c r="D295" t="s">
        <v>264</v>
      </c>
      <c r="G295" t="str">
        <f t="shared" si="4"/>
        <v>HLY060146KIV3</v>
      </c>
      <c r="H295">
        <v>64.134428</v>
      </c>
      <c r="I295">
        <v>-169.35373799999999</v>
      </c>
      <c r="J295" s="3">
        <v>20060520</v>
      </c>
      <c r="K295">
        <v>2006</v>
      </c>
      <c r="L295">
        <v>2.1196700000000002</v>
      </c>
      <c r="M295">
        <v>0.12601999999999999</v>
      </c>
      <c r="N295">
        <v>6.404E-2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2.2880000000000001E-2</v>
      </c>
      <c r="U295">
        <v>9.0000000000000006E-5</v>
      </c>
      <c r="V295">
        <v>2.3327</v>
      </c>
      <c r="W295" t="s">
        <v>9</v>
      </c>
      <c r="X295">
        <v>30.5</v>
      </c>
      <c r="Y295">
        <v>3.5350000000000001</v>
      </c>
      <c r="Z295">
        <v>0.85699999999999998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0.246</v>
      </c>
      <c r="AG295">
        <v>8.9999999999999993E-3</v>
      </c>
      <c r="AH295">
        <v>35.146999999999998</v>
      </c>
      <c r="AI295" t="s">
        <v>21</v>
      </c>
      <c r="AJ295">
        <v>295</v>
      </c>
      <c r="AK295">
        <v>67.5</v>
      </c>
      <c r="AL295">
        <v>275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5</v>
      </c>
      <c r="AS295">
        <v>2.5</v>
      </c>
      <c r="AT295">
        <v>645</v>
      </c>
      <c r="AU295" t="s">
        <v>33</v>
      </c>
    </row>
    <row r="296" spans="1:47" x14ac:dyDescent="0.2">
      <c r="A296">
        <v>330</v>
      </c>
      <c r="B296" t="s">
        <v>227</v>
      </c>
      <c r="C296">
        <v>47</v>
      </c>
      <c r="D296" t="s">
        <v>265</v>
      </c>
      <c r="G296" t="str">
        <f t="shared" si="4"/>
        <v>HLY060147KIV4</v>
      </c>
      <c r="H296">
        <v>64.063603999999998</v>
      </c>
      <c r="I296">
        <v>-168.61463599999999</v>
      </c>
      <c r="J296" s="3">
        <v>20060521</v>
      </c>
      <c r="K296">
        <v>2006</v>
      </c>
      <c r="L296">
        <v>1.3711800000000001</v>
      </c>
      <c r="M296">
        <v>2.1084800000000001</v>
      </c>
      <c r="N296">
        <v>1.1267100000000001</v>
      </c>
      <c r="O296">
        <v>0</v>
      </c>
      <c r="P296">
        <v>0</v>
      </c>
      <c r="Q296">
        <v>1.83E-3</v>
      </c>
      <c r="R296">
        <v>0</v>
      </c>
      <c r="S296">
        <v>0</v>
      </c>
      <c r="T296">
        <v>9.3000000000000005E-4</v>
      </c>
      <c r="U296">
        <v>0.17791999999999999</v>
      </c>
      <c r="V296">
        <v>4.7870499999999998</v>
      </c>
      <c r="W296" t="s">
        <v>10</v>
      </c>
      <c r="X296">
        <v>19.119</v>
      </c>
      <c r="Y296">
        <v>133.822</v>
      </c>
      <c r="Z296">
        <v>16.306999999999999</v>
      </c>
      <c r="AA296">
        <v>0</v>
      </c>
      <c r="AB296">
        <v>0</v>
      </c>
      <c r="AC296">
        <v>0.22700000000000001</v>
      </c>
      <c r="AD296">
        <v>0</v>
      </c>
      <c r="AE296">
        <v>0</v>
      </c>
      <c r="AF296">
        <v>0.01</v>
      </c>
      <c r="AG296">
        <v>3.262</v>
      </c>
      <c r="AH296">
        <v>172.74700000000001</v>
      </c>
      <c r="AI296" t="s">
        <v>22</v>
      </c>
      <c r="AJ296">
        <v>685</v>
      </c>
      <c r="AK296">
        <v>615</v>
      </c>
      <c r="AL296">
        <v>692.5</v>
      </c>
      <c r="AM296">
        <v>0</v>
      </c>
      <c r="AN296">
        <v>0</v>
      </c>
      <c r="AO296">
        <v>10</v>
      </c>
      <c r="AP296">
        <v>0</v>
      </c>
      <c r="AQ296">
        <v>0</v>
      </c>
      <c r="AR296">
        <v>5</v>
      </c>
      <c r="AS296">
        <v>35</v>
      </c>
      <c r="AT296">
        <v>2042.5</v>
      </c>
      <c r="AU296" t="s">
        <v>35</v>
      </c>
    </row>
    <row r="297" spans="1:47" x14ac:dyDescent="0.2">
      <c r="A297">
        <v>331</v>
      </c>
      <c r="B297" t="s">
        <v>227</v>
      </c>
      <c r="C297">
        <v>48</v>
      </c>
      <c r="D297" t="s">
        <v>266</v>
      </c>
      <c r="G297" t="str">
        <f t="shared" si="4"/>
        <v>HLY060148KIV5</v>
      </c>
      <c r="H297">
        <v>64.010023000000004</v>
      </c>
      <c r="I297">
        <v>-167.86005800000001</v>
      </c>
      <c r="J297" s="3">
        <v>20060521</v>
      </c>
      <c r="K297">
        <v>2006</v>
      </c>
      <c r="L297">
        <v>1.3274300000000001</v>
      </c>
      <c r="M297">
        <v>3.6526900000000002</v>
      </c>
      <c r="N297">
        <v>7.2179999999999994E-2</v>
      </c>
      <c r="O297">
        <v>0</v>
      </c>
      <c r="P297">
        <v>4.0000000000000003E-5</v>
      </c>
      <c r="Q297">
        <v>4.7039999999999998E-2</v>
      </c>
      <c r="R297">
        <v>0</v>
      </c>
      <c r="S297">
        <v>0.10524</v>
      </c>
      <c r="T297">
        <v>0</v>
      </c>
      <c r="U297">
        <v>0</v>
      </c>
      <c r="V297">
        <v>5.2046200000000002</v>
      </c>
      <c r="W297" t="s">
        <v>10</v>
      </c>
      <c r="X297">
        <v>19.565000000000001</v>
      </c>
      <c r="Y297">
        <v>131.40100000000001</v>
      </c>
      <c r="Z297">
        <v>1.0289999999999999</v>
      </c>
      <c r="AA297">
        <v>0</v>
      </c>
      <c r="AB297">
        <v>3.0000000000000001E-3</v>
      </c>
      <c r="AC297">
        <v>5.88</v>
      </c>
      <c r="AD297">
        <v>0</v>
      </c>
      <c r="AE297">
        <v>7.5170000000000003</v>
      </c>
      <c r="AF297">
        <v>0</v>
      </c>
      <c r="AG297">
        <v>0</v>
      </c>
      <c r="AH297">
        <v>165.39500000000001</v>
      </c>
      <c r="AI297" t="s">
        <v>22</v>
      </c>
      <c r="AJ297">
        <v>230</v>
      </c>
      <c r="AK297">
        <v>480</v>
      </c>
      <c r="AL297">
        <v>712.5</v>
      </c>
      <c r="AM297">
        <v>0</v>
      </c>
      <c r="AN297">
        <v>2.5</v>
      </c>
      <c r="AO297">
        <v>2.5</v>
      </c>
      <c r="AP297">
        <v>0</v>
      </c>
      <c r="AQ297">
        <v>2.5</v>
      </c>
      <c r="AR297">
        <v>0</v>
      </c>
      <c r="AS297">
        <v>0</v>
      </c>
      <c r="AT297">
        <v>1430</v>
      </c>
      <c r="AU297" t="s">
        <v>35</v>
      </c>
    </row>
    <row r="298" spans="1:47" x14ac:dyDescent="0.2">
      <c r="A298">
        <v>332</v>
      </c>
      <c r="B298" t="s">
        <v>227</v>
      </c>
      <c r="C298">
        <v>49</v>
      </c>
      <c r="D298" t="s">
        <v>267</v>
      </c>
      <c r="G298" t="str">
        <f t="shared" si="4"/>
        <v>HLY060149NOM5</v>
      </c>
      <c r="H298">
        <v>64.368189999999998</v>
      </c>
      <c r="I298">
        <v>-168.04209800000001</v>
      </c>
      <c r="J298" s="3">
        <v>20060521</v>
      </c>
      <c r="K298">
        <v>2006</v>
      </c>
      <c r="L298">
        <v>5.4562900000000001</v>
      </c>
      <c r="M298">
        <v>2.4751400000000001</v>
      </c>
      <c r="N298">
        <v>3.7122600000000001</v>
      </c>
      <c r="O298">
        <v>9.5E-4</v>
      </c>
      <c r="P298">
        <v>2.7299999999999998E-3</v>
      </c>
      <c r="Q298">
        <v>3.0000000000000001E-5</v>
      </c>
      <c r="R298">
        <v>0</v>
      </c>
      <c r="S298">
        <v>0.23388</v>
      </c>
      <c r="T298">
        <v>4.9849999999999998E-2</v>
      </c>
      <c r="U298">
        <v>0.2369</v>
      </c>
      <c r="V298">
        <v>12.16803</v>
      </c>
      <c r="W298" t="s">
        <v>9</v>
      </c>
      <c r="X298">
        <v>76.808000000000007</v>
      </c>
      <c r="Y298">
        <v>129.941</v>
      </c>
      <c r="Z298">
        <v>54.542000000000002</v>
      </c>
      <c r="AA298">
        <v>2.1000000000000001E-2</v>
      </c>
      <c r="AB298">
        <v>0.19500000000000001</v>
      </c>
      <c r="AC298">
        <v>3.0000000000000001E-3</v>
      </c>
      <c r="AD298">
        <v>0</v>
      </c>
      <c r="AE298">
        <v>16.706</v>
      </c>
      <c r="AF298">
        <v>0.53600000000000003</v>
      </c>
      <c r="AG298">
        <v>7.5510000000000002</v>
      </c>
      <c r="AH298">
        <v>286.303</v>
      </c>
      <c r="AI298" t="s">
        <v>22</v>
      </c>
      <c r="AJ298">
        <v>407.5</v>
      </c>
      <c r="AK298">
        <v>1442.5</v>
      </c>
      <c r="AL298">
        <v>7257.5</v>
      </c>
      <c r="AM298">
        <v>5</v>
      </c>
      <c r="AN298">
        <v>5</v>
      </c>
      <c r="AO298">
        <v>7.5</v>
      </c>
      <c r="AP298">
        <v>0</v>
      </c>
      <c r="AQ298">
        <v>10</v>
      </c>
      <c r="AR298">
        <v>30</v>
      </c>
      <c r="AS298">
        <v>60</v>
      </c>
      <c r="AT298">
        <v>9225</v>
      </c>
      <c r="AU298" t="s">
        <v>35</v>
      </c>
    </row>
    <row r="299" spans="1:47" x14ac:dyDescent="0.2">
      <c r="A299">
        <v>333</v>
      </c>
      <c r="B299" t="s">
        <v>227</v>
      </c>
      <c r="C299">
        <v>5</v>
      </c>
      <c r="D299" s="4" t="s">
        <v>551</v>
      </c>
      <c r="E299" s="4" t="s">
        <v>551</v>
      </c>
      <c r="F299" s="4" t="s">
        <v>268</v>
      </c>
      <c r="G299" t="str">
        <f t="shared" si="4"/>
        <v>HLY06015SLIP1</v>
      </c>
      <c r="H299">
        <v>62.007063000000002</v>
      </c>
      <c r="I299">
        <v>-175.068973</v>
      </c>
      <c r="J299" s="3">
        <v>20060510</v>
      </c>
      <c r="K299">
        <v>2006</v>
      </c>
      <c r="L299">
        <v>6.3719000000000001</v>
      </c>
      <c r="M299">
        <v>7.4842700000000004</v>
      </c>
      <c r="N299">
        <v>7.6020000000000004E-2</v>
      </c>
      <c r="O299">
        <v>2.2859999999999998E-2</v>
      </c>
      <c r="P299">
        <v>0.50144</v>
      </c>
      <c r="Q299">
        <v>0</v>
      </c>
      <c r="R299">
        <v>0</v>
      </c>
      <c r="S299">
        <v>0</v>
      </c>
      <c r="T299">
        <v>1.60425</v>
      </c>
      <c r="U299">
        <v>9.2300000000000004E-3</v>
      </c>
      <c r="V299">
        <v>16.069970000000001</v>
      </c>
      <c r="W299" t="s">
        <v>10</v>
      </c>
      <c r="X299">
        <v>91.209000000000003</v>
      </c>
      <c r="Y299">
        <v>219.571</v>
      </c>
      <c r="Z299">
        <v>1.0189999999999999</v>
      </c>
      <c r="AA299">
        <v>0.50800000000000001</v>
      </c>
      <c r="AB299">
        <v>35.817</v>
      </c>
      <c r="AC299">
        <v>0</v>
      </c>
      <c r="AD299">
        <v>0</v>
      </c>
      <c r="AE299">
        <v>0</v>
      </c>
      <c r="AF299">
        <v>17.25</v>
      </c>
      <c r="AG299">
        <v>0.14899999999999999</v>
      </c>
      <c r="AH299">
        <v>365.52300000000002</v>
      </c>
      <c r="AI299" t="s">
        <v>22</v>
      </c>
      <c r="AJ299">
        <v>487.5</v>
      </c>
      <c r="AK299">
        <v>1155</v>
      </c>
      <c r="AL299">
        <v>77.5</v>
      </c>
      <c r="AM299">
        <v>22.5</v>
      </c>
      <c r="AN299">
        <v>75</v>
      </c>
      <c r="AO299">
        <v>0</v>
      </c>
      <c r="AP299">
        <v>0</v>
      </c>
      <c r="AQ299">
        <v>0</v>
      </c>
      <c r="AR299">
        <v>12.5</v>
      </c>
      <c r="AS299">
        <v>110</v>
      </c>
      <c r="AT299">
        <v>1940</v>
      </c>
      <c r="AU299" t="s">
        <v>34</v>
      </c>
    </row>
    <row r="300" spans="1:47" x14ac:dyDescent="0.2">
      <c r="A300">
        <v>334</v>
      </c>
      <c r="B300" t="s">
        <v>227</v>
      </c>
      <c r="C300">
        <v>50</v>
      </c>
      <c r="D300" t="s">
        <v>269</v>
      </c>
      <c r="G300" t="str">
        <f t="shared" si="4"/>
        <v>HLY060150NOM4</v>
      </c>
      <c r="H300">
        <v>64.350966999999997</v>
      </c>
      <c r="I300">
        <v>-168.628624</v>
      </c>
      <c r="J300" s="3">
        <v>20060521</v>
      </c>
      <c r="K300">
        <v>2006</v>
      </c>
      <c r="L300">
        <v>1.41587</v>
      </c>
      <c r="M300">
        <v>2.7714099999999999</v>
      </c>
      <c r="N300">
        <v>3.0463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1.9000000000000001E-4</v>
      </c>
      <c r="U300">
        <v>1.2999999999999999E-3</v>
      </c>
      <c r="V300">
        <v>7.2350700000000003</v>
      </c>
      <c r="W300" t="s">
        <v>11</v>
      </c>
      <c r="X300">
        <v>20.853999999999999</v>
      </c>
      <c r="Y300">
        <v>69.367999999999995</v>
      </c>
      <c r="Z300">
        <v>44.606000000000002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2E-3</v>
      </c>
      <c r="AG300">
        <v>3.6999999999999998E-2</v>
      </c>
      <c r="AH300">
        <v>134.86699999999999</v>
      </c>
      <c r="AI300" t="s">
        <v>22</v>
      </c>
      <c r="AJ300">
        <v>697.5</v>
      </c>
      <c r="AK300">
        <v>2292.5</v>
      </c>
      <c r="AL300">
        <v>2245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2.5</v>
      </c>
      <c r="AS300">
        <v>5</v>
      </c>
      <c r="AT300">
        <v>5242.5</v>
      </c>
      <c r="AU300" t="s">
        <v>34</v>
      </c>
    </row>
    <row r="301" spans="1:47" x14ac:dyDescent="0.2">
      <c r="A301">
        <v>335</v>
      </c>
      <c r="B301" t="s">
        <v>227</v>
      </c>
      <c r="C301">
        <v>51</v>
      </c>
      <c r="D301" t="s">
        <v>270</v>
      </c>
      <c r="G301" t="str">
        <f t="shared" si="4"/>
        <v>HLY060151NOM3</v>
      </c>
      <c r="H301">
        <v>64.394311999999999</v>
      </c>
      <c r="I301">
        <v>-169.27928700000001</v>
      </c>
      <c r="J301" s="3">
        <v>20060521</v>
      </c>
      <c r="K301">
        <v>2006</v>
      </c>
      <c r="L301">
        <v>2.5453800000000002</v>
      </c>
      <c r="M301">
        <v>1.3308</v>
      </c>
      <c r="N301">
        <v>0.11212</v>
      </c>
      <c r="O301">
        <v>0</v>
      </c>
      <c r="P301">
        <v>0</v>
      </c>
      <c r="Q301">
        <v>0</v>
      </c>
      <c r="R301">
        <v>0</v>
      </c>
      <c r="S301">
        <v>0.14792</v>
      </c>
      <c r="T301">
        <v>0</v>
      </c>
      <c r="U301">
        <v>0</v>
      </c>
      <c r="V301">
        <v>4.1362199999999998</v>
      </c>
      <c r="W301" t="s">
        <v>9</v>
      </c>
      <c r="X301">
        <v>35.978000000000002</v>
      </c>
      <c r="Y301">
        <v>76.224999999999994</v>
      </c>
      <c r="Z301">
        <v>1.629</v>
      </c>
      <c r="AA301">
        <v>0</v>
      </c>
      <c r="AB301">
        <v>0</v>
      </c>
      <c r="AC301">
        <v>0</v>
      </c>
      <c r="AD301">
        <v>0</v>
      </c>
      <c r="AE301">
        <v>10.566000000000001</v>
      </c>
      <c r="AF301">
        <v>0</v>
      </c>
      <c r="AG301">
        <v>0</v>
      </c>
      <c r="AH301">
        <v>124.398</v>
      </c>
      <c r="AI301" t="s">
        <v>22</v>
      </c>
      <c r="AJ301">
        <v>252.5</v>
      </c>
      <c r="AK301">
        <v>155</v>
      </c>
      <c r="AL301">
        <v>507.5</v>
      </c>
      <c r="AM301">
        <v>0</v>
      </c>
      <c r="AN301">
        <v>0</v>
      </c>
      <c r="AO301">
        <v>0</v>
      </c>
      <c r="AP301">
        <v>0</v>
      </c>
      <c r="AQ301">
        <v>12.5</v>
      </c>
      <c r="AR301">
        <v>0</v>
      </c>
      <c r="AS301">
        <v>0</v>
      </c>
      <c r="AT301">
        <v>927.5</v>
      </c>
      <c r="AU301" t="s">
        <v>35</v>
      </c>
    </row>
    <row r="302" spans="1:47" x14ac:dyDescent="0.2">
      <c r="A302">
        <v>336</v>
      </c>
      <c r="B302" t="s">
        <v>227</v>
      </c>
      <c r="C302">
        <v>52</v>
      </c>
      <c r="D302" t="s">
        <v>271</v>
      </c>
      <c r="G302" t="str">
        <f t="shared" si="4"/>
        <v>HLY060152NOM2</v>
      </c>
      <c r="H302">
        <v>64.420651000000007</v>
      </c>
      <c r="I302">
        <v>-170.05712299999999</v>
      </c>
      <c r="J302" s="3">
        <v>20060522</v>
      </c>
      <c r="K302">
        <v>2006</v>
      </c>
      <c r="L302">
        <v>1.23706</v>
      </c>
      <c r="M302">
        <v>1.4268799999999999</v>
      </c>
      <c r="N302">
        <v>5.7790000000000001E-2</v>
      </c>
      <c r="O302">
        <v>1.8500000000000001E-3</v>
      </c>
      <c r="P302">
        <v>1.0200000000000001E-3</v>
      </c>
      <c r="Q302">
        <v>0</v>
      </c>
      <c r="R302">
        <v>0.17097999999999999</v>
      </c>
      <c r="S302">
        <v>3.17238</v>
      </c>
      <c r="T302">
        <v>0.10109</v>
      </c>
      <c r="U302">
        <v>5.9000000000000003E-4</v>
      </c>
      <c r="V302">
        <v>6.1696400000000002</v>
      </c>
      <c r="W302" t="s">
        <v>16</v>
      </c>
      <c r="X302">
        <v>17.827999999999999</v>
      </c>
      <c r="Y302">
        <v>40.393000000000001</v>
      </c>
      <c r="Z302">
        <v>0.8</v>
      </c>
      <c r="AA302">
        <v>4.1000000000000002E-2</v>
      </c>
      <c r="AB302">
        <v>7.2999999999999995E-2</v>
      </c>
      <c r="AC302">
        <v>0</v>
      </c>
      <c r="AD302">
        <v>2.8029999999999999</v>
      </c>
      <c r="AE302">
        <v>77.375</v>
      </c>
      <c r="AF302">
        <v>1.087</v>
      </c>
      <c r="AG302">
        <v>1.0999999999999999E-2</v>
      </c>
      <c r="AH302">
        <v>140.411</v>
      </c>
      <c r="AI302" t="s">
        <v>28</v>
      </c>
      <c r="AJ302">
        <v>722.5</v>
      </c>
      <c r="AK302">
        <v>1170</v>
      </c>
      <c r="AL302">
        <v>502.5</v>
      </c>
      <c r="AM302">
        <v>17.5</v>
      </c>
      <c r="AN302">
        <v>2.5</v>
      </c>
      <c r="AO302">
        <v>0</v>
      </c>
      <c r="AP302">
        <v>5</v>
      </c>
      <c r="AQ302">
        <v>2.5</v>
      </c>
      <c r="AR302">
        <v>5</v>
      </c>
      <c r="AS302">
        <v>15</v>
      </c>
      <c r="AT302">
        <v>2442.5</v>
      </c>
      <c r="AU302" t="s">
        <v>34</v>
      </c>
    </row>
    <row r="303" spans="1:47" x14ac:dyDescent="0.2">
      <c r="A303">
        <v>337</v>
      </c>
      <c r="B303" t="s">
        <v>227</v>
      </c>
      <c r="C303">
        <v>53</v>
      </c>
      <c r="D303" t="s">
        <v>272</v>
      </c>
      <c r="G303" t="str">
        <f t="shared" si="4"/>
        <v>HLY060153NOM1</v>
      </c>
      <c r="H303">
        <v>64.474293000000003</v>
      </c>
      <c r="I303">
        <v>-170.831457</v>
      </c>
      <c r="J303" s="3">
        <v>20060522</v>
      </c>
      <c r="K303">
        <v>2006</v>
      </c>
      <c r="L303">
        <v>0.99629999999999996</v>
      </c>
      <c r="M303">
        <v>2.4299999999999999E-3</v>
      </c>
      <c r="N303">
        <v>8.6010000000000003E-2</v>
      </c>
      <c r="O303">
        <v>0</v>
      </c>
      <c r="P303">
        <v>1.7885599999999999</v>
      </c>
      <c r="Q303">
        <v>10.514089999999999</v>
      </c>
      <c r="R303">
        <v>0</v>
      </c>
      <c r="S303">
        <v>1.022E-2</v>
      </c>
      <c r="T303">
        <v>1.9000000000000001E-4</v>
      </c>
      <c r="U303">
        <v>1.4970000000000001E-2</v>
      </c>
      <c r="V303">
        <v>13.41277</v>
      </c>
      <c r="W303" t="s">
        <v>14</v>
      </c>
      <c r="X303">
        <v>14.364000000000001</v>
      </c>
      <c r="Y303">
        <v>8.3000000000000004E-2</v>
      </c>
      <c r="Z303">
        <v>1.1579999999999999</v>
      </c>
      <c r="AA303">
        <v>0</v>
      </c>
      <c r="AB303">
        <v>127.754</v>
      </c>
      <c r="AC303">
        <v>1314.1220000000001</v>
      </c>
      <c r="AD303">
        <v>0</v>
      </c>
      <c r="AE303">
        <v>0.73</v>
      </c>
      <c r="AF303">
        <v>2E-3</v>
      </c>
      <c r="AG303">
        <v>0.59799999999999998</v>
      </c>
      <c r="AH303">
        <v>1458.8109999999999</v>
      </c>
      <c r="AI303" t="s">
        <v>26</v>
      </c>
      <c r="AJ303">
        <v>165</v>
      </c>
      <c r="AK303">
        <v>35</v>
      </c>
      <c r="AL303">
        <v>217.5</v>
      </c>
      <c r="AM303">
        <v>0</v>
      </c>
      <c r="AN303">
        <v>5</v>
      </c>
      <c r="AO303">
        <v>765</v>
      </c>
      <c r="AP303">
        <v>0</v>
      </c>
      <c r="AQ303">
        <v>10</v>
      </c>
      <c r="AR303">
        <v>2.5</v>
      </c>
      <c r="AS303">
        <v>30</v>
      </c>
      <c r="AT303">
        <v>1230</v>
      </c>
      <c r="AU303" t="s">
        <v>38</v>
      </c>
    </row>
    <row r="304" spans="1:47" x14ac:dyDescent="0.2">
      <c r="A304">
        <v>338</v>
      </c>
      <c r="B304" t="s">
        <v>227</v>
      </c>
      <c r="C304">
        <v>54</v>
      </c>
      <c r="D304" t="s">
        <v>273</v>
      </c>
      <c r="G304" t="str">
        <f t="shared" si="4"/>
        <v>HLY060154RUS1</v>
      </c>
      <c r="H304">
        <v>64.684905000000001</v>
      </c>
      <c r="I304">
        <v>-170.565774</v>
      </c>
      <c r="J304" s="3">
        <v>20060522</v>
      </c>
      <c r="K304">
        <v>2006</v>
      </c>
      <c r="L304">
        <v>3.6495000000000002</v>
      </c>
      <c r="M304">
        <v>10.455500000000001</v>
      </c>
      <c r="N304">
        <v>0.36075000000000002</v>
      </c>
      <c r="O304">
        <v>0</v>
      </c>
      <c r="P304">
        <v>3.0000000000000001E-5</v>
      </c>
      <c r="Q304">
        <v>1.9000000000000001E-4</v>
      </c>
      <c r="R304">
        <v>0</v>
      </c>
      <c r="S304">
        <v>0</v>
      </c>
      <c r="T304">
        <v>0</v>
      </c>
      <c r="U304">
        <v>3.1E-4</v>
      </c>
      <c r="V304">
        <v>14.466279999999999</v>
      </c>
      <c r="W304" t="s">
        <v>10</v>
      </c>
      <c r="X304">
        <v>52.598999999999997</v>
      </c>
      <c r="Y304">
        <v>409.33100000000002</v>
      </c>
      <c r="Z304">
        <v>4.9000000000000004</v>
      </c>
      <c r="AA304">
        <v>0</v>
      </c>
      <c r="AB304">
        <v>2E-3</v>
      </c>
      <c r="AC304">
        <v>1.7000000000000001E-2</v>
      </c>
      <c r="AD304">
        <v>0</v>
      </c>
      <c r="AE304">
        <v>0</v>
      </c>
      <c r="AF304">
        <v>0</v>
      </c>
      <c r="AG304">
        <v>5.0000000000000001E-3</v>
      </c>
      <c r="AH304">
        <v>466.85399999999998</v>
      </c>
      <c r="AI304" t="s">
        <v>22</v>
      </c>
      <c r="AJ304">
        <v>292.5</v>
      </c>
      <c r="AK304">
        <v>2945</v>
      </c>
      <c r="AL304">
        <v>280</v>
      </c>
      <c r="AM304">
        <v>0</v>
      </c>
      <c r="AN304">
        <v>2.5</v>
      </c>
      <c r="AO304">
        <v>10</v>
      </c>
      <c r="AP304">
        <v>0</v>
      </c>
      <c r="AQ304">
        <v>0</v>
      </c>
      <c r="AR304">
        <v>0</v>
      </c>
      <c r="AS304">
        <v>5</v>
      </c>
      <c r="AT304">
        <v>3535</v>
      </c>
      <c r="AU304" t="s">
        <v>34</v>
      </c>
    </row>
    <row r="305" spans="1:47" x14ac:dyDescent="0.2">
      <c r="A305">
        <v>339</v>
      </c>
      <c r="B305" t="s">
        <v>227</v>
      </c>
      <c r="C305">
        <v>55</v>
      </c>
      <c r="D305" t="s">
        <v>274</v>
      </c>
      <c r="G305" t="str">
        <f t="shared" si="4"/>
        <v>HLY060155RUS2</v>
      </c>
      <c r="H305">
        <v>64.657642999999993</v>
      </c>
      <c r="I305">
        <v>-169.93425500000001</v>
      </c>
      <c r="J305" s="3">
        <v>20060522</v>
      </c>
      <c r="K305">
        <v>2006</v>
      </c>
      <c r="L305">
        <v>39.302349999999997</v>
      </c>
      <c r="M305">
        <v>8.4261999999999997</v>
      </c>
      <c r="N305">
        <v>0.22574</v>
      </c>
      <c r="O305">
        <v>4.8999999999999998E-3</v>
      </c>
      <c r="P305">
        <v>0</v>
      </c>
      <c r="Q305">
        <v>0</v>
      </c>
      <c r="R305">
        <v>0</v>
      </c>
      <c r="S305">
        <v>0</v>
      </c>
      <c r="T305">
        <v>3.81E-3</v>
      </c>
      <c r="U305">
        <v>0</v>
      </c>
      <c r="V305">
        <v>47.963000000000001</v>
      </c>
      <c r="W305" t="s">
        <v>9</v>
      </c>
      <c r="X305">
        <v>567.91200000000003</v>
      </c>
      <c r="Y305">
        <v>335.91699999999997</v>
      </c>
      <c r="Z305">
        <v>3.1150000000000002</v>
      </c>
      <c r="AA305">
        <v>0.109</v>
      </c>
      <c r="AB305">
        <v>0</v>
      </c>
      <c r="AC305">
        <v>0</v>
      </c>
      <c r="AD305">
        <v>0</v>
      </c>
      <c r="AE305">
        <v>0</v>
      </c>
      <c r="AF305">
        <v>4.1000000000000002E-2</v>
      </c>
      <c r="AG305">
        <v>0</v>
      </c>
      <c r="AH305">
        <v>907.09400000000005</v>
      </c>
      <c r="AI305" t="s">
        <v>21</v>
      </c>
      <c r="AJ305">
        <v>750</v>
      </c>
      <c r="AK305">
        <v>512.5</v>
      </c>
      <c r="AL305">
        <v>607.5</v>
      </c>
      <c r="AM305">
        <v>35</v>
      </c>
      <c r="AN305">
        <v>0</v>
      </c>
      <c r="AO305">
        <v>0</v>
      </c>
      <c r="AP305">
        <v>0</v>
      </c>
      <c r="AQ305">
        <v>0</v>
      </c>
      <c r="AR305">
        <v>7.5</v>
      </c>
      <c r="AS305">
        <v>0</v>
      </c>
      <c r="AT305">
        <v>1912.5</v>
      </c>
      <c r="AU305" t="s">
        <v>33</v>
      </c>
    </row>
    <row r="306" spans="1:47" x14ac:dyDescent="0.2">
      <c r="A306">
        <v>340</v>
      </c>
      <c r="B306" t="s">
        <v>227</v>
      </c>
      <c r="C306">
        <v>56</v>
      </c>
      <c r="D306" s="4" t="s">
        <v>557</v>
      </c>
      <c r="E306" s="4" t="s">
        <v>557</v>
      </c>
      <c r="F306" s="4" t="s">
        <v>275</v>
      </c>
      <c r="G306" t="str">
        <f t="shared" si="4"/>
        <v>HLY060156UTBS2</v>
      </c>
      <c r="H306">
        <v>64.675015000000002</v>
      </c>
      <c r="I306">
        <v>-169.085868</v>
      </c>
      <c r="J306" s="3">
        <v>20060522</v>
      </c>
      <c r="K306">
        <v>2006</v>
      </c>
      <c r="L306">
        <v>2.6840099999999998</v>
      </c>
      <c r="M306">
        <v>1.43953</v>
      </c>
      <c r="N306">
        <v>14.56536</v>
      </c>
      <c r="O306">
        <v>1.6199999999999999E-3</v>
      </c>
      <c r="P306">
        <v>0</v>
      </c>
      <c r="Q306">
        <v>0</v>
      </c>
      <c r="R306">
        <v>0</v>
      </c>
      <c r="S306">
        <v>6.7030000000000006E-2</v>
      </c>
      <c r="T306">
        <v>1.0789999999999999E-2</v>
      </c>
      <c r="U306">
        <v>2.5499999999999998E-2</v>
      </c>
      <c r="V306">
        <v>18.793839999999999</v>
      </c>
      <c r="W306" t="s">
        <v>11</v>
      </c>
      <c r="X306">
        <v>38.793999999999997</v>
      </c>
      <c r="Y306">
        <v>69.930999999999997</v>
      </c>
      <c r="Z306">
        <v>213.887</v>
      </c>
      <c r="AA306">
        <v>3.5999999999999997E-2</v>
      </c>
      <c r="AB306">
        <v>0</v>
      </c>
      <c r="AC306">
        <v>0</v>
      </c>
      <c r="AD306">
        <v>0</v>
      </c>
      <c r="AE306">
        <v>4.7880000000000003</v>
      </c>
      <c r="AF306">
        <v>0.11600000000000001</v>
      </c>
      <c r="AG306">
        <v>0.5</v>
      </c>
      <c r="AH306">
        <v>328.05200000000002</v>
      </c>
      <c r="AI306" t="s">
        <v>23</v>
      </c>
      <c r="AJ306">
        <v>482.5</v>
      </c>
      <c r="AK306">
        <v>602.5</v>
      </c>
      <c r="AL306">
        <v>4242.5</v>
      </c>
      <c r="AM306">
        <v>10</v>
      </c>
      <c r="AN306">
        <v>0</v>
      </c>
      <c r="AO306">
        <v>0</v>
      </c>
      <c r="AP306">
        <v>0</v>
      </c>
      <c r="AQ306">
        <v>7.5</v>
      </c>
      <c r="AR306">
        <v>15</v>
      </c>
      <c r="AS306">
        <v>12.5</v>
      </c>
      <c r="AT306">
        <v>5372.5</v>
      </c>
      <c r="AU306" t="s">
        <v>35</v>
      </c>
    </row>
    <row r="307" spans="1:47" x14ac:dyDescent="0.2">
      <c r="A307">
        <v>341</v>
      </c>
      <c r="B307" t="s">
        <v>227</v>
      </c>
      <c r="C307">
        <v>57</v>
      </c>
      <c r="D307" s="4" t="s">
        <v>179</v>
      </c>
      <c r="E307" s="4" t="s">
        <v>179</v>
      </c>
      <c r="F307" s="4" t="s">
        <v>276</v>
      </c>
      <c r="G307" t="str">
        <f t="shared" si="4"/>
        <v>HLY060157UTBS1</v>
      </c>
      <c r="H307">
        <v>64.645240999999999</v>
      </c>
      <c r="I307">
        <v>-168.12668199999999</v>
      </c>
      <c r="J307" s="3">
        <v>20060523</v>
      </c>
      <c r="K307">
        <v>2006</v>
      </c>
      <c r="L307">
        <v>3.8066599999999999</v>
      </c>
      <c r="M307">
        <v>2.3536999999999999</v>
      </c>
      <c r="N307">
        <v>3.3323</v>
      </c>
      <c r="O307">
        <v>4.8599999999999997E-3</v>
      </c>
      <c r="P307">
        <v>2.7599999999999999E-3</v>
      </c>
      <c r="Q307">
        <v>0</v>
      </c>
      <c r="R307">
        <v>0</v>
      </c>
      <c r="S307">
        <v>3.0417100000000001</v>
      </c>
      <c r="T307">
        <v>0.57632000000000005</v>
      </c>
      <c r="U307">
        <v>0.44607999999999998</v>
      </c>
      <c r="V307">
        <v>13.56439</v>
      </c>
      <c r="W307" t="s">
        <v>9</v>
      </c>
      <c r="X307">
        <v>55.4</v>
      </c>
      <c r="Y307">
        <v>85.516999999999996</v>
      </c>
      <c r="Z307">
        <v>48.136000000000003</v>
      </c>
      <c r="AA307">
        <v>0.108</v>
      </c>
      <c r="AB307">
        <v>0.19700000000000001</v>
      </c>
      <c r="AC307">
        <v>0</v>
      </c>
      <c r="AD307">
        <v>0</v>
      </c>
      <c r="AE307">
        <v>217.26499999999999</v>
      </c>
      <c r="AF307">
        <v>6.1970000000000001</v>
      </c>
      <c r="AG307">
        <v>20.646000000000001</v>
      </c>
      <c r="AH307">
        <v>433.46600000000001</v>
      </c>
      <c r="AI307" t="s">
        <v>28</v>
      </c>
      <c r="AJ307">
        <v>675</v>
      </c>
      <c r="AK307">
        <v>1210</v>
      </c>
      <c r="AL307">
        <v>4450</v>
      </c>
      <c r="AM307">
        <v>17.5</v>
      </c>
      <c r="AN307">
        <v>25</v>
      </c>
      <c r="AO307">
        <v>0</v>
      </c>
      <c r="AP307">
        <v>0</v>
      </c>
      <c r="AQ307">
        <v>20</v>
      </c>
      <c r="AR307">
        <v>60</v>
      </c>
      <c r="AS307">
        <v>15</v>
      </c>
      <c r="AT307">
        <v>6472.5</v>
      </c>
      <c r="AU307" t="s">
        <v>35</v>
      </c>
    </row>
    <row r="308" spans="1:47" x14ac:dyDescent="0.2">
      <c r="A308">
        <v>342</v>
      </c>
      <c r="B308" t="s">
        <v>227</v>
      </c>
      <c r="C308">
        <v>58</v>
      </c>
      <c r="D308" t="s">
        <v>277</v>
      </c>
      <c r="G308" t="str">
        <f t="shared" si="4"/>
        <v>HLY060158RUS4A</v>
      </c>
      <c r="H308">
        <v>64.802988999999997</v>
      </c>
      <c r="I308">
        <v>-169.007248</v>
      </c>
      <c r="J308" s="3">
        <v>20060523</v>
      </c>
      <c r="K308">
        <v>2006</v>
      </c>
      <c r="L308">
        <v>2.1553800000000001</v>
      </c>
      <c r="M308">
        <v>4.6450800000000001</v>
      </c>
      <c r="N308">
        <v>16.236789999999999</v>
      </c>
      <c r="O308">
        <v>2.7499999999999998E-3</v>
      </c>
      <c r="P308">
        <v>0</v>
      </c>
      <c r="Q308">
        <v>0</v>
      </c>
      <c r="R308">
        <v>0</v>
      </c>
      <c r="S308">
        <v>9.9970000000000003E-2</v>
      </c>
      <c r="T308">
        <v>6.7330000000000001E-2</v>
      </c>
      <c r="U308">
        <v>0</v>
      </c>
      <c r="V308">
        <v>23.2073</v>
      </c>
      <c r="W308" t="s">
        <v>11</v>
      </c>
      <c r="X308">
        <v>30.73</v>
      </c>
      <c r="Y308">
        <v>251.84899999999999</v>
      </c>
      <c r="Z308">
        <v>238.453</v>
      </c>
      <c r="AA308">
        <v>6.0999999999999999E-2</v>
      </c>
      <c r="AB308">
        <v>0</v>
      </c>
      <c r="AC308">
        <v>0</v>
      </c>
      <c r="AD308">
        <v>0</v>
      </c>
      <c r="AE308">
        <v>7.141</v>
      </c>
      <c r="AF308">
        <v>0.72399999999999998</v>
      </c>
      <c r="AG308">
        <v>0</v>
      </c>
      <c r="AH308">
        <v>528.95799999999997</v>
      </c>
      <c r="AI308" t="s">
        <v>22</v>
      </c>
      <c r="AJ308">
        <v>455</v>
      </c>
      <c r="AK308">
        <v>572.5</v>
      </c>
      <c r="AL308">
        <v>4820</v>
      </c>
      <c r="AM308">
        <v>5</v>
      </c>
      <c r="AN308">
        <v>0</v>
      </c>
      <c r="AO308">
        <v>0</v>
      </c>
      <c r="AP308">
        <v>0</v>
      </c>
      <c r="AQ308">
        <v>2.5</v>
      </c>
      <c r="AR308">
        <v>62.5</v>
      </c>
      <c r="AS308">
        <v>0</v>
      </c>
      <c r="AT308">
        <v>5917.5</v>
      </c>
      <c r="AU308" t="s">
        <v>35</v>
      </c>
    </row>
    <row r="309" spans="1:47" x14ac:dyDescent="0.2">
      <c r="A309">
        <v>343</v>
      </c>
      <c r="B309" t="s">
        <v>227</v>
      </c>
      <c r="C309">
        <v>59</v>
      </c>
      <c r="D309" t="s">
        <v>278</v>
      </c>
      <c r="G309" t="str">
        <f t="shared" si="4"/>
        <v>HLY060159KNG1</v>
      </c>
      <c r="H309">
        <v>64.953074000000001</v>
      </c>
      <c r="I309">
        <v>-169.85538099999999</v>
      </c>
      <c r="J309" s="3">
        <v>20060523</v>
      </c>
      <c r="K309">
        <v>2006</v>
      </c>
      <c r="L309">
        <v>2.49797</v>
      </c>
      <c r="M309">
        <v>4.6801599999999999</v>
      </c>
      <c r="N309">
        <v>4.9881200000000003</v>
      </c>
      <c r="O309">
        <v>1.9400000000000001E-3</v>
      </c>
      <c r="P309">
        <v>0</v>
      </c>
      <c r="Q309">
        <v>1.9000000000000001E-4</v>
      </c>
      <c r="R309">
        <v>0.14408000000000001</v>
      </c>
      <c r="S309">
        <v>1.358E-2</v>
      </c>
      <c r="T309">
        <v>6.4999999999999997E-4</v>
      </c>
      <c r="U309">
        <v>4.5900000000000003E-3</v>
      </c>
      <c r="V309">
        <v>12.33128</v>
      </c>
      <c r="W309" t="s">
        <v>11</v>
      </c>
      <c r="X309">
        <v>34.518999999999998</v>
      </c>
      <c r="Y309">
        <v>162.42400000000001</v>
      </c>
      <c r="Z309">
        <v>73.302000000000007</v>
      </c>
      <c r="AA309">
        <v>4.2999999999999997E-2</v>
      </c>
      <c r="AB309">
        <v>0</v>
      </c>
      <c r="AC309">
        <v>1.7000000000000001E-2</v>
      </c>
      <c r="AD309">
        <v>2.3620000000000001</v>
      </c>
      <c r="AE309">
        <v>0.97</v>
      </c>
      <c r="AF309">
        <v>7.0000000000000001E-3</v>
      </c>
      <c r="AG309">
        <v>0.09</v>
      </c>
      <c r="AH309">
        <v>273.73399999999998</v>
      </c>
      <c r="AI309" t="s">
        <v>22</v>
      </c>
      <c r="AJ309">
        <v>277.5</v>
      </c>
      <c r="AK309">
        <v>717.5</v>
      </c>
      <c r="AL309">
        <v>1022.5</v>
      </c>
      <c r="AM309">
        <v>15</v>
      </c>
      <c r="AN309">
        <v>0</v>
      </c>
      <c r="AO309">
        <v>5</v>
      </c>
      <c r="AP309">
        <v>5</v>
      </c>
      <c r="AQ309">
        <v>2.5</v>
      </c>
      <c r="AR309">
        <v>7.5</v>
      </c>
      <c r="AS309">
        <v>5</v>
      </c>
      <c r="AT309">
        <v>2057.5</v>
      </c>
      <c r="AU309" t="s">
        <v>35</v>
      </c>
    </row>
    <row r="310" spans="1:47" x14ac:dyDescent="0.2">
      <c r="A310">
        <v>344</v>
      </c>
      <c r="B310" t="s">
        <v>227</v>
      </c>
      <c r="C310">
        <v>6</v>
      </c>
      <c r="D310" t="s">
        <v>279</v>
      </c>
      <c r="G310" t="str">
        <f t="shared" si="4"/>
        <v>HLY06016NWC5</v>
      </c>
      <c r="H310">
        <v>62.052683999999999</v>
      </c>
      <c r="I310">
        <v>-175.19019599999999</v>
      </c>
      <c r="J310" s="3">
        <v>20060510</v>
      </c>
      <c r="K310">
        <v>2006</v>
      </c>
      <c r="L310">
        <v>3.6216900000000001</v>
      </c>
      <c r="M310">
        <v>6.3806500000000002</v>
      </c>
      <c r="N310">
        <v>5.2880000000000003E-2</v>
      </c>
      <c r="O310">
        <v>8.9099999999999995E-3</v>
      </c>
      <c r="P310">
        <v>0.31566</v>
      </c>
      <c r="Q310">
        <v>0</v>
      </c>
      <c r="R310">
        <v>0</v>
      </c>
      <c r="S310">
        <v>0</v>
      </c>
      <c r="T310">
        <v>1.2E-2</v>
      </c>
      <c r="U310">
        <v>2.5860000000000001E-2</v>
      </c>
      <c r="V310">
        <v>10.41765</v>
      </c>
      <c r="W310" t="s">
        <v>10</v>
      </c>
      <c r="X310">
        <v>51.945</v>
      </c>
      <c r="Y310">
        <v>227.75700000000001</v>
      </c>
      <c r="Z310">
        <v>0.68</v>
      </c>
      <c r="AA310">
        <v>0.19800000000000001</v>
      </c>
      <c r="AB310">
        <v>22.547000000000001</v>
      </c>
      <c r="AC310">
        <v>0</v>
      </c>
      <c r="AD310">
        <v>0</v>
      </c>
      <c r="AE310">
        <v>0</v>
      </c>
      <c r="AF310">
        <v>0.129</v>
      </c>
      <c r="AG310">
        <v>0.53700000000000003</v>
      </c>
      <c r="AH310">
        <v>303.79300000000001</v>
      </c>
      <c r="AI310" t="s">
        <v>22</v>
      </c>
      <c r="AJ310">
        <v>420</v>
      </c>
      <c r="AK310">
        <v>862.5</v>
      </c>
      <c r="AL310">
        <v>67.5</v>
      </c>
      <c r="AM310">
        <v>17.5</v>
      </c>
      <c r="AN310">
        <v>50</v>
      </c>
      <c r="AO310">
        <v>0</v>
      </c>
      <c r="AP310">
        <v>0</v>
      </c>
      <c r="AQ310">
        <v>0</v>
      </c>
      <c r="AR310">
        <v>7.5</v>
      </c>
      <c r="AS310">
        <v>85</v>
      </c>
      <c r="AT310">
        <v>1510</v>
      </c>
      <c r="AU310" t="s">
        <v>34</v>
      </c>
    </row>
    <row r="311" spans="1:47" x14ac:dyDescent="0.2">
      <c r="A311">
        <v>345</v>
      </c>
      <c r="B311" t="s">
        <v>227</v>
      </c>
      <c r="C311">
        <v>60</v>
      </c>
      <c r="D311" t="s">
        <v>280</v>
      </c>
      <c r="G311" t="str">
        <f t="shared" si="4"/>
        <v>HLY060160CPW1</v>
      </c>
      <c r="H311">
        <v>65.189436999999998</v>
      </c>
      <c r="I311">
        <v>-169.66378399999999</v>
      </c>
      <c r="J311" s="3">
        <v>20060523</v>
      </c>
      <c r="K311">
        <v>2006</v>
      </c>
      <c r="L311">
        <v>8.2093699999999998</v>
      </c>
      <c r="M311">
        <v>4.22403</v>
      </c>
      <c r="N311">
        <v>15.27056</v>
      </c>
      <c r="O311">
        <v>4.0730000000000002E-2</v>
      </c>
      <c r="P311">
        <v>1.16E-3</v>
      </c>
      <c r="Q311">
        <v>0</v>
      </c>
      <c r="R311">
        <v>8.2110000000000002E-2</v>
      </c>
      <c r="S311">
        <v>0.19947999999999999</v>
      </c>
      <c r="T311">
        <v>0.17335</v>
      </c>
      <c r="U311">
        <v>5.5780000000000003E-2</v>
      </c>
      <c r="V311">
        <v>28.25657</v>
      </c>
      <c r="W311" t="s">
        <v>11</v>
      </c>
      <c r="X311">
        <v>113.867</v>
      </c>
      <c r="Y311">
        <v>134.501</v>
      </c>
      <c r="Z311">
        <v>223.511</v>
      </c>
      <c r="AA311">
        <v>0.90500000000000003</v>
      </c>
      <c r="AB311">
        <v>8.3000000000000004E-2</v>
      </c>
      <c r="AC311">
        <v>0</v>
      </c>
      <c r="AD311">
        <v>1.3460000000000001</v>
      </c>
      <c r="AE311">
        <v>14.249000000000001</v>
      </c>
      <c r="AF311">
        <v>1.8640000000000001</v>
      </c>
      <c r="AG311">
        <v>1.2609999999999999</v>
      </c>
      <c r="AH311">
        <v>491.58699999999999</v>
      </c>
      <c r="AI311" t="s">
        <v>23</v>
      </c>
      <c r="AJ311">
        <v>827.5</v>
      </c>
      <c r="AK311">
        <v>415</v>
      </c>
      <c r="AL311">
        <v>6850</v>
      </c>
      <c r="AM311">
        <v>50</v>
      </c>
      <c r="AN311">
        <v>2.5</v>
      </c>
      <c r="AO311">
        <v>0</v>
      </c>
      <c r="AP311">
        <v>27.5</v>
      </c>
      <c r="AQ311">
        <v>15</v>
      </c>
      <c r="AR311">
        <v>75</v>
      </c>
      <c r="AS311">
        <v>10</v>
      </c>
      <c r="AT311">
        <v>8272.5</v>
      </c>
      <c r="AU311" t="s">
        <v>35</v>
      </c>
    </row>
    <row r="312" spans="1:47" x14ac:dyDescent="0.2">
      <c r="A312">
        <v>346</v>
      </c>
      <c r="B312" t="s">
        <v>227</v>
      </c>
      <c r="C312">
        <v>61</v>
      </c>
      <c r="D312" s="4" t="s">
        <v>179</v>
      </c>
      <c r="E312" s="4" t="s">
        <v>179</v>
      </c>
      <c r="F312" s="4" t="s">
        <v>281</v>
      </c>
      <c r="G312" t="str">
        <f t="shared" si="4"/>
        <v>HLY060161UTBS1</v>
      </c>
      <c r="H312">
        <v>64.996944999999997</v>
      </c>
      <c r="I312">
        <v>-169.134073</v>
      </c>
      <c r="J312" s="3">
        <v>20060523</v>
      </c>
      <c r="K312">
        <v>2006</v>
      </c>
      <c r="L312">
        <v>2.0555099999999999</v>
      </c>
      <c r="M312">
        <v>8.0511599999999994</v>
      </c>
      <c r="N312">
        <v>14.83473</v>
      </c>
      <c r="O312">
        <v>2.1199999999999999E-3</v>
      </c>
      <c r="P312">
        <v>0</v>
      </c>
      <c r="Q312">
        <v>0</v>
      </c>
      <c r="R312">
        <v>0</v>
      </c>
      <c r="S312">
        <v>3.82E-3</v>
      </c>
      <c r="T312">
        <v>0.10732</v>
      </c>
      <c r="U312">
        <v>3.3759999999999998E-2</v>
      </c>
      <c r="V312">
        <v>25.088419999999999</v>
      </c>
      <c r="W312" t="s">
        <v>11</v>
      </c>
      <c r="X312">
        <v>26.913</v>
      </c>
      <c r="Y312">
        <v>319.69600000000003</v>
      </c>
      <c r="Z312">
        <v>217.85</v>
      </c>
      <c r="AA312">
        <v>4.7E-2</v>
      </c>
      <c r="AB312">
        <v>0</v>
      </c>
      <c r="AC312">
        <v>0</v>
      </c>
      <c r="AD312">
        <v>0</v>
      </c>
      <c r="AE312">
        <v>0.27300000000000002</v>
      </c>
      <c r="AF312">
        <v>1.1539999999999999</v>
      </c>
      <c r="AG312">
        <v>0.66200000000000003</v>
      </c>
      <c r="AH312">
        <v>566.59500000000003</v>
      </c>
      <c r="AI312" t="s">
        <v>22</v>
      </c>
      <c r="AJ312">
        <v>382.5</v>
      </c>
      <c r="AK312">
        <v>765</v>
      </c>
      <c r="AL312">
        <v>5285</v>
      </c>
      <c r="AM312">
        <v>5</v>
      </c>
      <c r="AN312">
        <v>0</v>
      </c>
      <c r="AO312">
        <v>0</v>
      </c>
      <c r="AP312">
        <v>0</v>
      </c>
      <c r="AQ312">
        <v>7.5</v>
      </c>
      <c r="AR312">
        <v>47.5</v>
      </c>
      <c r="AS312">
        <v>7.5</v>
      </c>
      <c r="AT312">
        <v>6500</v>
      </c>
      <c r="AU312" t="s">
        <v>35</v>
      </c>
    </row>
    <row r="313" spans="1:47" x14ac:dyDescent="0.2">
      <c r="A313">
        <v>347</v>
      </c>
      <c r="B313" t="s">
        <v>227</v>
      </c>
      <c r="C313">
        <v>62</v>
      </c>
      <c r="D313" t="s">
        <v>282</v>
      </c>
      <c r="G313" t="str">
        <f t="shared" si="4"/>
        <v>HLY060162CPW2</v>
      </c>
      <c r="H313">
        <v>65.185602000000003</v>
      </c>
      <c r="I313">
        <v>-169.007127</v>
      </c>
      <c r="J313" s="3">
        <v>20060524</v>
      </c>
      <c r="K313">
        <v>2006</v>
      </c>
      <c r="L313">
        <v>2.2863199999999999</v>
      </c>
      <c r="M313">
        <v>10.376239999999999</v>
      </c>
      <c r="N313">
        <v>15.131030000000001</v>
      </c>
      <c r="O313">
        <v>6.3000000000000003E-4</v>
      </c>
      <c r="P313">
        <v>1.4290000000000001E-2</v>
      </c>
      <c r="Q313">
        <v>6.9999999999999994E-5</v>
      </c>
      <c r="R313">
        <v>0</v>
      </c>
      <c r="S313">
        <v>0</v>
      </c>
      <c r="T313">
        <v>9.4900000000000002E-3</v>
      </c>
      <c r="U313">
        <v>3.058E-2</v>
      </c>
      <c r="V313">
        <v>27.848649999999999</v>
      </c>
      <c r="W313" t="s">
        <v>11</v>
      </c>
      <c r="X313">
        <v>30.728000000000002</v>
      </c>
      <c r="Y313">
        <v>365.11900000000003</v>
      </c>
      <c r="Z313">
        <v>221.74799999999999</v>
      </c>
      <c r="AA313">
        <v>1.4E-2</v>
      </c>
      <c r="AB313">
        <v>1.0209999999999999</v>
      </c>
      <c r="AC313">
        <v>6.0000000000000001E-3</v>
      </c>
      <c r="AD313">
        <v>0</v>
      </c>
      <c r="AE313">
        <v>0</v>
      </c>
      <c r="AF313">
        <v>0.10199999999999999</v>
      </c>
      <c r="AG313">
        <v>0.64500000000000002</v>
      </c>
      <c r="AH313">
        <v>619.38300000000004</v>
      </c>
      <c r="AI313" t="s">
        <v>22</v>
      </c>
      <c r="AJ313">
        <v>362.5</v>
      </c>
      <c r="AK313">
        <v>1160</v>
      </c>
      <c r="AL313">
        <v>6487.5</v>
      </c>
      <c r="AM313">
        <v>2.5</v>
      </c>
      <c r="AN313">
        <v>5</v>
      </c>
      <c r="AO313">
        <v>2.5</v>
      </c>
      <c r="AP313">
        <v>0</v>
      </c>
      <c r="AQ313">
        <v>0</v>
      </c>
      <c r="AR313">
        <v>22.5</v>
      </c>
      <c r="AS313">
        <v>10</v>
      </c>
      <c r="AT313">
        <v>8052.5</v>
      </c>
      <c r="AU313" t="s">
        <v>35</v>
      </c>
    </row>
    <row r="314" spans="1:47" x14ac:dyDescent="0.2">
      <c r="A314">
        <v>348</v>
      </c>
      <c r="B314" t="s">
        <v>227</v>
      </c>
      <c r="C314">
        <v>63</v>
      </c>
      <c r="D314" t="s">
        <v>283</v>
      </c>
      <c r="G314" t="str">
        <f t="shared" si="4"/>
        <v>HLY060163KNG3</v>
      </c>
      <c r="H314">
        <v>64.989382000000006</v>
      </c>
      <c r="I314">
        <v>-168.41129699999999</v>
      </c>
      <c r="J314" s="3">
        <v>20060524</v>
      </c>
      <c r="K314">
        <v>2006</v>
      </c>
      <c r="L314">
        <v>2.6174400000000002</v>
      </c>
      <c r="M314">
        <v>4.6468299999999996</v>
      </c>
      <c r="N314">
        <v>8.0014000000000003</v>
      </c>
      <c r="O314">
        <v>2.97E-3</v>
      </c>
      <c r="P314">
        <v>0</v>
      </c>
      <c r="Q314">
        <v>0</v>
      </c>
      <c r="R314">
        <v>0</v>
      </c>
      <c r="S314">
        <v>1.17642</v>
      </c>
      <c r="T314">
        <v>1.3950000000000001E-2</v>
      </c>
      <c r="U314">
        <v>0</v>
      </c>
      <c r="V314">
        <v>16.459009999999999</v>
      </c>
      <c r="W314" t="s">
        <v>11</v>
      </c>
      <c r="X314">
        <v>46.545000000000002</v>
      </c>
      <c r="Y314">
        <v>165.33099999999999</v>
      </c>
      <c r="Z314">
        <v>117.491</v>
      </c>
      <c r="AA314">
        <v>6.6000000000000003E-2</v>
      </c>
      <c r="AB314">
        <v>0</v>
      </c>
      <c r="AC314">
        <v>0</v>
      </c>
      <c r="AD314">
        <v>0</v>
      </c>
      <c r="AE314">
        <v>84.03</v>
      </c>
      <c r="AF314">
        <v>0.15</v>
      </c>
      <c r="AG314">
        <v>0</v>
      </c>
      <c r="AH314">
        <v>413.613</v>
      </c>
      <c r="AI314" t="s">
        <v>22</v>
      </c>
      <c r="AJ314">
        <v>392.5</v>
      </c>
      <c r="AK314">
        <v>452.5</v>
      </c>
      <c r="AL314">
        <v>5527.5</v>
      </c>
      <c r="AM314">
        <v>5</v>
      </c>
      <c r="AN314">
        <v>0</v>
      </c>
      <c r="AO314">
        <v>0</v>
      </c>
      <c r="AP314">
        <v>0</v>
      </c>
      <c r="AQ314">
        <v>47.5</v>
      </c>
      <c r="AR314">
        <v>25</v>
      </c>
      <c r="AS314">
        <v>0</v>
      </c>
      <c r="AT314">
        <v>6450</v>
      </c>
      <c r="AU314" t="s">
        <v>35</v>
      </c>
    </row>
    <row r="315" spans="1:47" x14ac:dyDescent="0.2">
      <c r="A315">
        <v>349</v>
      </c>
      <c r="B315" t="s">
        <v>227</v>
      </c>
      <c r="C315">
        <v>64</v>
      </c>
      <c r="D315" t="s">
        <v>284</v>
      </c>
      <c r="G315" t="str">
        <f t="shared" si="4"/>
        <v>HLY060164CPW3</v>
      </c>
      <c r="H315">
        <v>65.191417000000001</v>
      </c>
      <c r="I315">
        <v>-168.39094499999999</v>
      </c>
      <c r="J315" s="3">
        <v>20060524</v>
      </c>
      <c r="K315">
        <v>2006</v>
      </c>
      <c r="L315">
        <v>4.9614399999999996</v>
      </c>
      <c r="M315">
        <v>12.6549</v>
      </c>
      <c r="N315">
        <v>4.8459099999999999</v>
      </c>
      <c r="O315">
        <v>1.013E-2</v>
      </c>
      <c r="P315">
        <v>0</v>
      </c>
      <c r="Q315">
        <v>0</v>
      </c>
      <c r="R315">
        <v>0</v>
      </c>
      <c r="S315">
        <v>0.19739000000000001</v>
      </c>
      <c r="T315">
        <v>0.30559999999999998</v>
      </c>
      <c r="U315">
        <v>3.2000000000000003E-4</v>
      </c>
      <c r="V315">
        <v>22.97569</v>
      </c>
      <c r="W315" t="s">
        <v>10</v>
      </c>
      <c r="X315">
        <v>74.692999999999998</v>
      </c>
      <c r="Y315">
        <v>362.774</v>
      </c>
      <c r="Z315">
        <v>70.891000000000005</v>
      </c>
      <c r="AA315">
        <v>0.22500000000000001</v>
      </c>
      <c r="AB315">
        <v>0</v>
      </c>
      <c r="AC315">
        <v>0</v>
      </c>
      <c r="AD315">
        <v>0</v>
      </c>
      <c r="AE315">
        <v>14.099</v>
      </c>
      <c r="AF315">
        <v>3.286</v>
      </c>
      <c r="AG315">
        <v>7.0000000000000001E-3</v>
      </c>
      <c r="AH315">
        <v>525.97500000000002</v>
      </c>
      <c r="AI315" t="s">
        <v>22</v>
      </c>
      <c r="AJ315">
        <v>500</v>
      </c>
      <c r="AK315">
        <v>787.5</v>
      </c>
      <c r="AL315">
        <v>1735</v>
      </c>
      <c r="AM315">
        <v>40</v>
      </c>
      <c r="AN315">
        <v>0</v>
      </c>
      <c r="AO315">
        <v>0</v>
      </c>
      <c r="AP315">
        <v>0</v>
      </c>
      <c r="AQ315">
        <v>7.5</v>
      </c>
      <c r="AR315">
        <v>20</v>
      </c>
      <c r="AS315">
        <v>2.5</v>
      </c>
      <c r="AT315">
        <v>3092.5</v>
      </c>
      <c r="AU315" t="s">
        <v>35</v>
      </c>
    </row>
    <row r="316" spans="1:47" x14ac:dyDescent="0.2">
      <c r="A316">
        <v>350</v>
      </c>
      <c r="B316" t="s">
        <v>227</v>
      </c>
      <c r="C316">
        <v>65</v>
      </c>
      <c r="D316" t="s">
        <v>285</v>
      </c>
      <c r="G316" t="str">
        <f t="shared" si="4"/>
        <v>HLY060165LDI2</v>
      </c>
      <c r="H316">
        <v>65.424465999999995</v>
      </c>
      <c r="I316">
        <v>-168.42243500000001</v>
      </c>
      <c r="J316" s="3">
        <v>20060524</v>
      </c>
      <c r="K316">
        <v>2006</v>
      </c>
      <c r="L316">
        <v>6.5575799999999997</v>
      </c>
      <c r="M316">
        <v>4.5122999999999998</v>
      </c>
      <c r="N316">
        <v>0.47321999999999997</v>
      </c>
      <c r="O316">
        <v>5.9000000000000003E-4</v>
      </c>
      <c r="P316">
        <v>9.0699999999999999E-3</v>
      </c>
      <c r="Q316">
        <v>0</v>
      </c>
      <c r="R316">
        <v>6.7264400000000002</v>
      </c>
      <c r="S316">
        <v>6.5170000000000006E-2</v>
      </c>
      <c r="T316">
        <v>0.20376</v>
      </c>
      <c r="U316">
        <v>4.9020000000000001E-2</v>
      </c>
      <c r="V316">
        <v>18.597149999999999</v>
      </c>
      <c r="W316" t="s">
        <v>15</v>
      </c>
      <c r="X316">
        <v>92.388999999999996</v>
      </c>
      <c r="Y316">
        <v>161.83600000000001</v>
      </c>
      <c r="Z316">
        <v>6.6989999999999998</v>
      </c>
      <c r="AA316">
        <v>1.2999999999999999E-2</v>
      </c>
      <c r="AB316">
        <v>0.64800000000000002</v>
      </c>
      <c r="AC316">
        <v>0</v>
      </c>
      <c r="AD316">
        <v>134.542</v>
      </c>
      <c r="AE316">
        <v>4.6550000000000002</v>
      </c>
      <c r="AF316">
        <v>2.1909999999999998</v>
      </c>
      <c r="AG316">
        <v>1.403</v>
      </c>
      <c r="AH316">
        <v>404.37599999999998</v>
      </c>
      <c r="AI316" t="s">
        <v>22</v>
      </c>
      <c r="AJ316">
        <v>660</v>
      </c>
      <c r="AK316">
        <v>387.5</v>
      </c>
      <c r="AL316">
        <v>887.5</v>
      </c>
      <c r="AM316">
        <v>7.5</v>
      </c>
      <c r="AN316">
        <v>42.5</v>
      </c>
      <c r="AO316">
        <v>0</v>
      </c>
      <c r="AP316">
        <v>180</v>
      </c>
      <c r="AQ316">
        <v>47.5</v>
      </c>
      <c r="AR316">
        <v>42.5</v>
      </c>
      <c r="AS316">
        <v>42.5</v>
      </c>
      <c r="AT316">
        <v>2297.5</v>
      </c>
      <c r="AU316" t="s">
        <v>35</v>
      </c>
    </row>
    <row r="317" spans="1:47" x14ac:dyDescent="0.2">
      <c r="A317">
        <v>351</v>
      </c>
      <c r="B317" t="s">
        <v>227</v>
      </c>
      <c r="C317">
        <v>66</v>
      </c>
      <c r="D317" t="s">
        <v>286</v>
      </c>
      <c r="G317" t="str">
        <f t="shared" si="4"/>
        <v>HLY060166BRSA8</v>
      </c>
      <c r="H317">
        <v>65.463261000000003</v>
      </c>
      <c r="I317">
        <v>-167.852709</v>
      </c>
      <c r="J317" s="3">
        <v>20060524</v>
      </c>
      <c r="K317">
        <v>2006</v>
      </c>
      <c r="L317">
        <v>1.2622599999999999</v>
      </c>
      <c r="M317">
        <v>1.14775</v>
      </c>
      <c r="N317">
        <v>1.57E-3</v>
      </c>
      <c r="O317">
        <v>0</v>
      </c>
      <c r="P317">
        <v>8.1099999999999992E-3</v>
      </c>
      <c r="Q317">
        <v>0</v>
      </c>
      <c r="R317">
        <v>0</v>
      </c>
      <c r="S317">
        <v>3.6609999999999997E-2</v>
      </c>
      <c r="T317">
        <v>2.33E-3</v>
      </c>
      <c r="U317">
        <v>0</v>
      </c>
      <c r="V317">
        <v>2.4586299999999999</v>
      </c>
      <c r="W317" t="s">
        <v>9</v>
      </c>
      <c r="X317">
        <v>15.99</v>
      </c>
      <c r="Y317">
        <v>32.795999999999999</v>
      </c>
      <c r="Z317">
        <v>2.1999999999999999E-2</v>
      </c>
      <c r="AA317">
        <v>0</v>
      </c>
      <c r="AB317">
        <v>0.57899999999999996</v>
      </c>
      <c r="AC317">
        <v>0</v>
      </c>
      <c r="AD317">
        <v>0</v>
      </c>
      <c r="AE317">
        <v>2.6150000000000002</v>
      </c>
      <c r="AF317">
        <v>2.5000000000000001E-2</v>
      </c>
      <c r="AG317">
        <v>0</v>
      </c>
      <c r="AH317">
        <v>52.027000000000001</v>
      </c>
      <c r="AI317" t="s">
        <v>22</v>
      </c>
      <c r="AJ317">
        <v>410</v>
      </c>
      <c r="AK317">
        <v>30</v>
      </c>
      <c r="AL317">
        <v>20</v>
      </c>
      <c r="AM317">
        <v>0</v>
      </c>
      <c r="AN317">
        <v>90</v>
      </c>
      <c r="AO317">
        <v>0</v>
      </c>
      <c r="AP317">
        <v>0</v>
      </c>
      <c r="AQ317">
        <v>10</v>
      </c>
      <c r="AR317">
        <v>10</v>
      </c>
      <c r="AS317">
        <v>0</v>
      </c>
      <c r="AT317">
        <v>570</v>
      </c>
      <c r="AU317" t="s">
        <v>33</v>
      </c>
    </row>
    <row r="318" spans="1:47" x14ac:dyDescent="0.2">
      <c r="A318">
        <v>352</v>
      </c>
      <c r="B318" t="s">
        <v>227</v>
      </c>
      <c r="C318">
        <v>67</v>
      </c>
      <c r="D318" t="s">
        <v>287</v>
      </c>
      <c r="G318" t="str">
        <f t="shared" si="4"/>
        <v>HLY060167BRSA7</v>
      </c>
      <c r="H318">
        <v>65.482140999999999</v>
      </c>
      <c r="I318">
        <v>-167.985827</v>
      </c>
      <c r="J318" s="3">
        <v>20060525</v>
      </c>
      <c r="K318">
        <v>2006</v>
      </c>
      <c r="L318">
        <v>0.16903000000000001</v>
      </c>
      <c r="M318">
        <v>1.42E-3</v>
      </c>
      <c r="N318">
        <v>6.8599999999999994E-2</v>
      </c>
      <c r="O318">
        <v>0</v>
      </c>
      <c r="P318">
        <v>0.36198000000000002</v>
      </c>
      <c r="Q318">
        <v>0</v>
      </c>
      <c r="R318">
        <v>2.2576700000000001</v>
      </c>
      <c r="S318">
        <v>0</v>
      </c>
      <c r="T318">
        <v>2.5999999999999999E-3</v>
      </c>
      <c r="U318">
        <v>1.4400000000000001E-3</v>
      </c>
      <c r="V318">
        <v>2.8627400000000001</v>
      </c>
      <c r="W318" t="s">
        <v>15</v>
      </c>
      <c r="X318">
        <v>2.5859999999999999</v>
      </c>
      <c r="Y318">
        <v>3.5999999999999997E-2</v>
      </c>
      <c r="Z318">
        <v>0.81</v>
      </c>
      <c r="AA318">
        <v>0</v>
      </c>
      <c r="AB318">
        <v>25.856000000000002</v>
      </c>
      <c r="AC318">
        <v>0</v>
      </c>
      <c r="AD318">
        <v>37.011000000000003</v>
      </c>
      <c r="AE318">
        <v>0</v>
      </c>
      <c r="AF318">
        <v>2.8000000000000001E-2</v>
      </c>
      <c r="AG318">
        <v>4.8000000000000001E-2</v>
      </c>
      <c r="AH318">
        <v>66.375</v>
      </c>
      <c r="AI318" t="s">
        <v>27</v>
      </c>
      <c r="AJ318">
        <v>430</v>
      </c>
      <c r="AK318">
        <v>70</v>
      </c>
      <c r="AL318">
        <v>230</v>
      </c>
      <c r="AM318">
        <v>0</v>
      </c>
      <c r="AN318">
        <v>320</v>
      </c>
      <c r="AO318">
        <v>0</v>
      </c>
      <c r="AP318">
        <v>80</v>
      </c>
      <c r="AQ318">
        <v>0</v>
      </c>
      <c r="AR318">
        <v>20</v>
      </c>
      <c r="AS318">
        <v>20</v>
      </c>
      <c r="AT318">
        <v>1170</v>
      </c>
      <c r="AU318" t="s">
        <v>33</v>
      </c>
    </row>
    <row r="319" spans="1:47" x14ac:dyDescent="0.2">
      <c r="A319">
        <v>353</v>
      </c>
      <c r="B319" t="s">
        <v>227</v>
      </c>
      <c r="C319">
        <v>68</v>
      </c>
      <c r="D319" t="s">
        <v>288</v>
      </c>
      <c r="G319" t="str">
        <f t="shared" si="4"/>
        <v>HLY060168BRSA6</v>
      </c>
      <c r="H319">
        <v>65.505551999999994</v>
      </c>
      <c r="I319">
        <v>-168.135715</v>
      </c>
      <c r="J319" s="3">
        <v>20060525</v>
      </c>
      <c r="K319">
        <v>2006</v>
      </c>
      <c r="L319">
        <v>0.15644</v>
      </c>
      <c r="M319">
        <v>0</v>
      </c>
      <c r="N319">
        <v>4.64E-3</v>
      </c>
      <c r="O319">
        <v>0</v>
      </c>
      <c r="P319">
        <v>6.3600000000000002E-3</v>
      </c>
      <c r="Q319">
        <v>3.6448499999999999</v>
      </c>
      <c r="R319">
        <v>1.0668</v>
      </c>
      <c r="S319">
        <v>0</v>
      </c>
      <c r="T319">
        <v>1.9499999999999999E-3</v>
      </c>
      <c r="U319">
        <v>0</v>
      </c>
      <c r="V319">
        <v>4.8810399999999996</v>
      </c>
      <c r="W319" t="s">
        <v>14</v>
      </c>
      <c r="X319">
        <v>2.1890000000000001</v>
      </c>
      <c r="Y319">
        <v>0</v>
      </c>
      <c r="Z319">
        <v>6.2E-2</v>
      </c>
      <c r="AA319">
        <v>0</v>
      </c>
      <c r="AB319">
        <v>0.45400000000000001</v>
      </c>
      <c r="AC319">
        <v>331.35</v>
      </c>
      <c r="AD319">
        <v>20.484999999999999</v>
      </c>
      <c r="AE319">
        <v>0</v>
      </c>
      <c r="AF319">
        <v>2.1000000000000001E-2</v>
      </c>
      <c r="AG319">
        <v>0</v>
      </c>
      <c r="AH319">
        <v>354.56099999999998</v>
      </c>
      <c r="AI319" t="s">
        <v>26</v>
      </c>
      <c r="AJ319">
        <v>230</v>
      </c>
      <c r="AK319">
        <v>0</v>
      </c>
      <c r="AL319">
        <v>50</v>
      </c>
      <c r="AM319">
        <v>0</v>
      </c>
      <c r="AN319">
        <v>50</v>
      </c>
      <c r="AO319">
        <v>10</v>
      </c>
      <c r="AP319">
        <v>50</v>
      </c>
      <c r="AQ319">
        <v>0</v>
      </c>
      <c r="AR319">
        <v>10</v>
      </c>
      <c r="AS319">
        <v>0</v>
      </c>
      <c r="AT319">
        <v>400</v>
      </c>
      <c r="AU319" t="s">
        <v>33</v>
      </c>
    </row>
    <row r="320" spans="1:47" x14ac:dyDescent="0.2">
      <c r="A320">
        <v>354</v>
      </c>
      <c r="B320" t="s">
        <v>227</v>
      </c>
      <c r="C320">
        <v>69</v>
      </c>
      <c r="D320" t="s">
        <v>289</v>
      </c>
      <c r="G320" t="str">
        <f t="shared" si="4"/>
        <v>HLY060169BRSA5</v>
      </c>
      <c r="H320">
        <v>65.516321000000005</v>
      </c>
      <c r="I320">
        <v>-168.31908999999999</v>
      </c>
      <c r="J320" s="3">
        <v>20060525</v>
      </c>
      <c r="K320">
        <v>2006</v>
      </c>
      <c r="L320">
        <v>2.9510200000000002</v>
      </c>
      <c r="M320">
        <v>29.38944</v>
      </c>
      <c r="N320">
        <v>3.63E-3</v>
      </c>
      <c r="O320">
        <v>19.98387</v>
      </c>
      <c r="P320">
        <v>0.10356</v>
      </c>
      <c r="Q320">
        <v>0</v>
      </c>
      <c r="R320">
        <v>0.48527999999999999</v>
      </c>
      <c r="S320">
        <v>0</v>
      </c>
      <c r="T320">
        <v>0</v>
      </c>
      <c r="U320">
        <v>1.8239999999999999E-2</v>
      </c>
      <c r="V320">
        <v>52.935040000000001</v>
      </c>
      <c r="W320" t="s">
        <v>10</v>
      </c>
      <c r="X320">
        <v>62.506</v>
      </c>
      <c r="Y320">
        <v>1035.4369999999999</v>
      </c>
      <c r="Z320">
        <v>4.9000000000000002E-2</v>
      </c>
      <c r="AA320">
        <v>444.08600000000001</v>
      </c>
      <c r="AB320">
        <v>7.3970000000000002</v>
      </c>
      <c r="AC320">
        <v>0</v>
      </c>
      <c r="AD320">
        <v>12.121</v>
      </c>
      <c r="AE320">
        <v>0</v>
      </c>
      <c r="AF320">
        <v>0</v>
      </c>
      <c r="AG320">
        <v>0.40200000000000002</v>
      </c>
      <c r="AH320">
        <v>1561.998</v>
      </c>
      <c r="AI320" t="s">
        <v>22</v>
      </c>
      <c r="AJ320">
        <v>530</v>
      </c>
      <c r="AK320">
        <v>340</v>
      </c>
      <c r="AL320">
        <v>60</v>
      </c>
      <c r="AM320">
        <v>100</v>
      </c>
      <c r="AN320">
        <v>270</v>
      </c>
      <c r="AO320">
        <v>0</v>
      </c>
      <c r="AP320">
        <v>40</v>
      </c>
      <c r="AQ320">
        <v>0</v>
      </c>
      <c r="AR320">
        <v>0</v>
      </c>
      <c r="AS320">
        <v>30</v>
      </c>
      <c r="AT320">
        <v>1370</v>
      </c>
      <c r="AU320" t="s">
        <v>33</v>
      </c>
    </row>
    <row r="321" spans="1:47" x14ac:dyDescent="0.2">
      <c r="A321">
        <v>355</v>
      </c>
      <c r="B321" t="s">
        <v>227</v>
      </c>
      <c r="C321">
        <v>7</v>
      </c>
      <c r="D321" t="s">
        <v>290</v>
      </c>
      <c r="G321" t="str">
        <f t="shared" si="4"/>
        <v>HLY06017DLN5</v>
      </c>
      <c r="H321">
        <v>62.165787000000002</v>
      </c>
      <c r="I321">
        <v>-176.01132100000001</v>
      </c>
      <c r="J321" s="3">
        <v>20060511</v>
      </c>
      <c r="K321">
        <v>2006</v>
      </c>
      <c r="L321">
        <v>1.8335300000000001</v>
      </c>
      <c r="M321">
        <v>3.3247100000000001</v>
      </c>
      <c r="N321">
        <v>2.317E-2</v>
      </c>
      <c r="O321">
        <v>1.7600000000000001E-3</v>
      </c>
      <c r="P321">
        <v>0.50338000000000005</v>
      </c>
      <c r="Q321">
        <v>0</v>
      </c>
      <c r="R321">
        <v>0</v>
      </c>
      <c r="S321">
        <v>0</v>
      </c>
      <c r="T321">
        <v>0.42269000000000001</v>
      </c>
      <c r="U321">
        <v>1.4499999999999999E-3</v>
      </c>
      <c r="V321">
        <v>6.11069</v>
      </c>
      <c r="W321" t="s">
        <v>10</v>
      </c>
      <c r="X321">
        <v>26.041</v>
      </c>
      <c r="Y321">
        <v>157.13900000000001</v>
      </c>
      <c r="Z321">
        <v>0.30299999999999999</v>
      </c>
      <c r="AA321">
        <v>3.9E-2</v>
      </c>
      <c r="AB321">
        <v>35.956000000000003</v>
      </c>
      <c r="AC321">
        <v>0</v>
      </c>
      <c r="AD321">
        <v>0</v>
      </c>
      <c r="AE321">
        <v>0</v>
      </c>
      <c r="AF321">
        <v>4.5449999999999999</v>
      </c>
      <c r="AG321">
        <v>3.5999999999999997E-2</v>
      </c>
      <c r="AH321">
        <v>224.059</v>
      </c>
      <c r="AI321" t="s">
        <v>22</v>
      </c>
      <c r="AJ321">
        <v>215</v>
      </c>
      <c r="AK321">
        <v>397.5</v>
      </c>
      <c r="AL321">
        <v>60</v>
      </c>
      <c r="AM321">
        <v>5</v>
      </c>
      <c r="AN321">
        <v>100</v>
      </c>
      <c r="AO321">
        <v>0</v>
      </c>
      <c r="AP321">
        <v>0</v>
      </c>
      <c r="AQ321">
        <v>0</v>
      </c>
      <c r="AR321">
        <v>12.5</v>
      </c>
      <c r="AS321">
        <v>10</v>
      </c>
      <c r="AT321">
        <v>800</v>
      </c>
      <c r="AU321" t="s">
        <v>34</v>
      </c>
    </row>
    <row r="322" spans="1:47" x14ac:dyDescent="0.2">
      <c r="A322">
        <v>356</v>
      </c>
      <c r="B322" t="s">
        <v>227</v>
      </c>
      <c r="C322">
        <v>70</v>
      </c>
      <c r="D322" t="s">
        <v>291</v>
      </c>
      <c r="G322" t="str">
        <f t="shared" si="4"/>
        <v>HLY060170BRSA4</v>
      </c>
      <c r="H322">
        <v>65.547336000000001</v>
      </c>
      <c r="I322">
        <v>-168.455354</v>
      </c>
      <c r="J322" s="3">
        <v>20060525</v>
      </c>
      <c r="K322">
        <v>2006</v>
      </c>
      <c r="L322">
        <v>1.90134</v>
      </c>
      <c r="M322">
        <v>2.1454200000000001</v>
      </c>
      <c r="N322">
        <v>3.755E-2</v>
      </c>
      <c r="O322">
        <v>18.238589999999999</v>
      </c>
      <c r="P322">
        <v>0.16625000000000001</v>
      </c>
      <c r="Q322">
        <v>13.09346</v>
      </c>
      <c r="R322">
        <v>0</v>
      </c>
      <c r="S322">
        <v>0</v>
      </c>
      <c r="T322">
        <v>0.81589</v>
      </c>
      <c r="U322">
        <v>0</v>
      </c>
      <c r="V322">
        <v>36.398499999999999</v>
      </c>
      <c r="W322" t="s">
        <v>12</v>
      </c>
      <c r="X322">
        <v>35.844999999999999</v>
      </c>
      <c r="Y322">
        <v>76.516999999999996</v>
      </c>
      <c r="Z322">
        <v>0.45800000000000002</v>
      </c>
      <c r="AA322">
        <v>405.30200000000002</v>
      </c>
      <c r="AB322">
        <v>11.875</v>
      </c>
      <c r="AC322">
        <v>1190.3150000000001</v>
      </c>
      <c r="AD322">
        <v>0</v>
      </c>
      <c r="AE322">
        <v>0</v>
      </c>
      <c r="AF322">
        <v>8.7729999999999997</v>
      </c>
      <c r="AG322">
        <v>0</v>
      </c>
      <c r="AH322">
        <v>1729.085</v>
      </c>
      <c r="AI322" t="s">
        <v>26</v>
      </c>
      <c r="AJ322">
        <v>810</v>
      </c>
      <c r="AK322">
        <v>210</v>
      </c>
      <c r="AL322">
        <v>210</v>
      </c>
      <c r="AM322">
        <v>140</v>
      </c>
      <c r="AN322">
        <v>430</v>
      </c>
      <c r="AO322">
        <v>50</v>
      </c>
      <c r="AP322">
        <v>0</v>
      </c>
      <c r="AQ322">
        <v>0</v>
      </c>
      <c r="AR322">
        <v>60</v>
      </c>
      <c r="AS322">
        <v>0</v>
      </c>
      <c r="AT322">
        <v>1910</v>
      </c>
      <c r="AU322" t="s">
        <v>33</v>
      </c>
    </row>
    <row r="323" spans="1:47" x14ac:dyDescent="0.2">
      <c r="A323">
        <v>357</v>
      </c>
      <c r="B323" t="s">
        <v>227</v>
      </c>
      <c r="C323">
        <v>71</v>
      </c>
      <c r="D323" t="s">
        <v>292</v>
      </c>
      <c r="G323" t="str">
        <f t="shared" ref="G323:G386" si="5">CONCATENATE(B323,C323,D323)</f>
        <v>HLY060171BRSA3</v>
      </c>
      <c r="H323">
        <v>65.553109000000006</v>
      </c>
      <c r="I323">
        <v>-168.61939000000001</v>
      </c>
      <c r="J323" s="3">
        <v>20060525</v>
      </c>
      <c r="K323">
        <v>2006</v>
      </c>
      <c r="L323">
        <v>1.9200900000000001</v>
      </c>
      <c r="M323">
        <v>0.86563999999999997</v>
      </c>
      <c r="N323">
        <v>6.3289999999999999E-2</v>
      </c>
      <c r="O323">
        <v>0</v>
      </c>
      <c r="P323">
        <v>3.4340000000000002E-2</v>
      </c>
      <c r="Q323">
        <v>6.71319</v>
      </c>
      <c r="R323">
        <v>8.5400000000000004E-2</v>
      </c>
      <c r="S323">
        <v>0</v>
      </c>
      <c r="T323">
        <v>1.49E-3</v>
      </c>
      <c r="U323">
        <v>5.6999999999999998E-4</v>
      </c>
      <c r="V323">
        <v>9.6840100000000007</v>
      </c>
      <c r="W323" t="s">
        <v>14</v>
      </c>
      <c r="X323">
        <v>28.635000000000002</v>
      </c>
      <c r="Y323">
        <v>18.422000000000001</v>
      </c>
      <c r="Z323">
        <v>0.85599999999999998</v>
      </c>
      <c r="AA323">
        <v>0</v>
      </c>
      <c r="AB323">
        <v>2.4529999999999998</v>
      </c>
      <c r="AC323">
        <v>610.29</v>
      </c>
      <c r="AD323">
        <v>1.4</v>
      </c>
      <c r="AE323">
        <v>0</v>
      </c>
      <c r="AF323">
        <v>1.6E-2</v>
      </c>
      <c r="AG323">
        <v>1.9E-2</v>
      </c>
      <c r="AH323">
        <v>662.09100000000001</v>
      </c>
      <c r="AI323" t="s">
        <v>26</v>
      </c>
      <c r="AJ323">
        <v>480</v>
      </c>
      <c r="AK323">
        <v>50</v>
      </c>
      <c r="AL323">
        <v>670</v>
      </c>
      <c r="AM323">
        <v>0</v>
      </c>
      <c r="AN323">
        <v>70</v>
      </c>
      <c r="AO323">
        <v>20</v>
      </c>
      <c r="AP323">
        <v>10</v>
      </c>
      <c r="AQ323">
        <v>0</v>
      </c>
      <c r="AR323">
        <v>10</v>
      </c>
      <c r="AS323">
        <v>10</v>
      </c>
      <c r="AT323">
        <v>1320</v>
      </c>
      <c r="AU323" t="s">
        <v>35</v>
      </c>
    </row>
    <row r="324" spans="1:47" x14ac:dyDescent="0.2">
      <c r="A324">
        <v>358</v>
      </c>
      <c r="B324" t="s">
        <v>227</v>
      </c>
      <c r="C324">
        <v>72</v>
      </c>
      <c r="D324" t="s">
        <v>293</v>
      </c>
      <c r="G324" t="str">
        <f t="shared" si="5"/>
        <v>HLY060172BRSA2</v>
      </c>
      <c r="H324">
        <v>65.578101000000004</v>
      </c>
      <c r="I324">
        <v>-168.77851799999999</v>
      </c>
      <c r="J324" s="3">
        <v>20060525</v>
      </c>
      <c r="K324">
        <v>2006</v>
      </c>
      <c r="L324">
        <v>17.199169999999999</v>
      </c>
      <c r="M324">
        <v>4.8329999999999998E-2</v>
      </c>
      <c r="N324">
        <v>0.29608000000000001</v>
      </c>
      <c r="O324">
        <v>4.6353600000000004</v>
      </c>
      <c r="P324">
        <v>0.23257</v>
      </c>
      <c r="Q324">
        <v>2.0140000000000002E-2</v>
      </c>
      <c r="R324">
        <v>3.6630500000000001</v>
      </c>
      <c r="S324">
        <v>0</v>
      </c>
      <c r="T324">
        <v>0.58887999999999996</v>
      </c>
      <c r="U324">
        <v>3.9383400000000002</v>
      </c>
      <c r="V324">
        <v>30.621919999999999</v>
      </c>
      <c r="W324" t="s">
        <v>9</v>
      </c>
      <c r="X324">
        <v>248.327</v>
      </c>
      <c r="Y324">
        <v>1.1259999999999999</v>
      </c>
      <c r="Z324">
        <v>3.431</v>
      </c>
      <c r="AA324">
        <v>103.008</v>
      </c>
      <c r="AB324">
        <v>16.611999999999998</v>
      </c>
      <c r="AC324">
        <v>1.831</v>
      </c>
      <c r="AD324">
        <v>60.05</v>
      </c>
      <c r="AE324">
        <v>0</v>
      </c>
      <c r="AF324">
        <v>6.3319999999999999</v>
      </c>
      <c r="AG324">
        <v>187.54</v>
      </c>
      <c r="AH324">
        <v>628.25699999999995</v>
      </c>
      <c r="AI324" t="s">
        <v>21</v>
      </c>
      <c r="AJ324">
        <v>2210</v>
      </c>
      <c r="AK324">
        <v>120</v>
      </c>
      <c r="AL324">
        <v>850</v>
      </c>
      <c r="AM324">
        <v>20</v>
      </c>
      <c r="AN324">
        <v>80</v>
      </c>
      <c r="AO324">
        <v>30</v>
      </c>
      <c r="AP324">
        <v>100</v>
      </c>
      <c r="AQ324">
        <v>0</v>
      </c>
      <c r="AR324">
        <v>30</v>
      </c>
      <c r="AS324">
        <v>60</v>
      </c>
      <c r="AT324">
        <v>3500</v>
      </c>
      <c r="AU324" t="s">
        <v>33</v>
      </c>
    </row>
    <row r="325" spans="1:47" x14ac:dyDescent="0.2">
      <c r="A325">
        <v>359</v>
      </c>
      <c r="B325" t="s">
        <v>227</v>
      </c>
      <c r="C325">
        <v>73</v>
      </c>
      <c r="D325" t="s">
        <v>294</v>
      </c>
      <c r="G325" t="str">
        <f t="shared" si="5"/>
        <v>HLY060173BRSA1</v>
      </c>
      <c r="H325">
        <v>65.608761999999999</v>
      </c>
      <c r="I325">
        <v>-168.945628</v>
      </c>
      <c r="J325" s="3">
        <v>20060525</v>
      </c>
      <c r="K325">
        <v>2006</v>
      </c>
      <c r="L325">
        <v>2.6905000000000001</v>
      </c>
      <c r="M325">
        <v>9.3937600000000003</v>
      </c>
      <c r="N325">
        <v>2.5521500000000001</v>
      </c>
      <c r="O325">
        <v>3.6000000000000002E-4</v>
      </c>
      <c r="P325">
        <v>0</v>
      </c>
      <c r="Q325">
        <v>0</v>
      </c>
      <c r="R325">
        <v>2.79752</v>
      </c>
      <c r="S325">
        <v>34.07141</v>
      </c>
      <c r="T325">
        <v>0.16572999999999999</v>
      </c>
      <c r="U325">
        <v>4.3240000000000001E-2</v>
      </c>
      <c r="V325">
        <v>51.714669999999998</v>
      </c>
      <c r="W325" t="s">
        <v>16</v>
      </c>
      <c r="X325">
        <v>40.045999999999999</v>
      </c>
      <c r="Y325">
        <v>460.58</v>
      </c>
      <c r="Z325">
        <v>40.39</v>
      </c>
      <c r="AA325">
        <v>8.0000000000000002E-3</v>
      </c>
      <c r="AB325">
        <v>0</v>
      </c>
      <c r="AC325">
        <v>0</v>
      </c>
      <c r="AD325">
        <v>45.860999999999997</v>
      </c>
      <c r="AE325">
        <v>831.01</v>
      </c>
      <c r="AF325">
        <v>1.782</v>
      </c>
      <c r="AG325">
        <v>4.3239999999999998</v>
      </c>
      <c r="AH325">
        <v>1424.001</v>
      </c>
      <c r="AI325" t="s">
        <v>28</v>
      </c>
      <c r="AJ325">
        <v>180</v>
      </c>
      <c r="AK325">
        <v>60</v>
      </c>
      <c r="AL325">
        <v>210</v>
      </c>
      <c r="AM325">
        <v>10</v>
      </c>
      <c r="AN325">
        <v>0</v>
      </c>
      <c r="AO325">
        <v>0</v>
      </c>
      <c r="AP325">
        <v>100</v>
      </c>
      <c r="AQ325">
        <v>20</v>
      </c>
      <c r="AR325">
        <v>10</v>
      </c>
      <c r="AS325">
        <v>0</v>
      </c>
      <c r="AT325">
        <v>590</v>
      </c>
      <c r="AU325" t="s">
        <v>35</v>
      </c>
    </row>
    <row r="326" spans="1:47" x14ac:dyDescent="0.2">
      <c r="A326">
        <v>360</v>
      </c>
      <c r="B326" t="s">
        <v>227</v>
      </c>
      <c r="C326">
        <v>74</v>
      </c>
      <c r="D326" t="s">
        <v>295</v>
      </c>
      <c r="G326" t="str">
        <f t="shared" si="5"/>
        <v>HLY060174LDI3</v>
      </c>
      <c r="H326">
        <v>65.711188000000007</v>
      </c>
      <c r="I326">
        <v>-168.912767</v>
      </c>
      <c r="J326" s="3">
        <v>20060525</v>
      </c>
      <c r="K326">
        <v>2006</v>
      </c>
      <c r="L326">
        <v>2.1553499999999999</v>
      </c>
      <c r="M326">
        <v>2.8564699999999998</v>
      </c>
      <c r="N326">
        <v>0.11643000000000001</v>
      </c>
      <c r="O326">
        <v>0</v>
      </c>
      <c r="P326">
        <v>1.0000000000000001E-5</v>
      </c>
      <c r="Q326">
        <v>0</v>
      </c>
      <c r="R326">
        <v>3.8930799999999999</v>
      </c>
      <c r="S326">
        <v>0</v>
      </c>
      <c r="T326">
        <v>0.65964999999999996</v>
      </c>
      <c r="U326">
        <v>3.9100000000000003E-3</v>
      </c>
      <c r="V326">
        <v>9.6849000000000007</v>
      </c>
      <c r="W326" t="s">
        <v>15</v>
      </c>
      <c r="X326">
        <v>32.462000000000003</v>
      </c>
      <c r="Y326">
        <v>73.411000000000001</v>
      </c>
      <c r="Z326">
        <v>1.619</v>
      </c>
      <c r="AA326">
        <v>0</v>
      </c>
      <c r="AB326">
        <v>1E-3</v>
      </c>
      <c r="AC326">
        <v>0</v>
      </c>
      <c r="AD326">
        <v>63.820999999999998</v>
      </c>
      <c r="AE326">
        <v>0</v>
      </c>
      <c r="AF326">
        <v>7.093</v>
      </c>
      <c r="AG326">
        <v>6.3E-2</v>
      </c>
      <c r="AH326">
        <v>178.47</v>
      </c>
      <c r="AI326" t="s">
        <v>22</v>
      </c>
      <c r="AJ326">
        <v>850</v>
      </c>
      <c r="AK326">
        <v>950</v>
      </c>
      <c r="AL326">
        <v>910</v>
      </c>
      <c r="AM326">
        <v>0</v>
      </c>
      <c r="AN326">
        <v>10</v>
      </c>
      <c r="AO326">
        <v>0</v>
      </c>
      <c r="AP326">
        <v>20</v>
      </c>
      <c r="AQ326">
        <v>0</v>
      </c>
      <c r="AR326">
        <v>30</v>
      </c>
      <c r="AS326">
        <v>40</v>
      </c>
      <c r="AT326">
        <v>2810</v>
      </c>
      <c r="AU326" t="s">
        <v>34</v>
      </c>
    </row>
    <row r="327" spans="1:47" x14ac:dyDescent="0.2">
      <c r="A327">
        <v>361</v>
      </c>
      <c r="B327" t="s">
        <v>227</v>
      </c>
      <c r="C327">
        <v>75</v>
      </c>
      <c r="D327" t="s">
        <v>296</v>
      </c>
      <c r="G327" t="str">
        <f t="shared" si="5"/>
        <v>HLY060175LDI4</v>
      </c>
      <c r="H327">
        <v>65.66525</v>
      </c>
      <c r="I327">
        <v>-168.840429</v>
      </c>
      <c r="J327" s="3">
        <v>20060525</v>
      </c>
      <c r="K327">
        <v>2006</v>
      </c>
      <c r="L327">
        <v>2.6600799999999998</v>
      </c>
      <c r="M327">
        <v>2.4767199999999998</v>
      </c>
      <c r="N327">
        <v>7.0300000000000001E-2</v>
      </c>
      <c r="O327">
        <v>0</v>
      </c>
      <c r="P327">
        <v>3.9100000000000003E-3</v>
      </c>
      <c r="Q327">
        <v>13.164099999999999</v>
      </c>
      <c r="R327">
        <v>0</v>
      </c>
      <c r="S327">
        <v>0</v>
      </c>
      <c r="T327">
        <v>2.7899999999999999E-3</v>
      </c>
      <c r="U327">
        <v>0.91308</v>
      </c>
      <c r="V327">
        <v>19.290980000000001</v>
      </c>
      <c r="W327" t="s">
        <v>14</v>
      </c>
      <c r="X327">
        <v>48.396999999999998</v>
      </c>
      <c r="Y327">
        <v>53.006999999999998</v>
      </c>
      <c r="Z327">
        <v>0.94699999999999995</v>
      </c>
      <c r="AA327">
        <v>0</v>
      </c>
      <c r="AB327">
        <v>0.27900000000000003</v>
      </c>
      <c r="AC327">
        <v>1196.7360000000001</v>
      </c>
      <c r="AD327">
        <v>0</v>
      </c>
      <c r="AE327">
        <v>0</v>
      </c>
      <c r="AF327">
        <v>0.03</v>
      </c>
      <c r="AG327">
        <v>43.466000000000001</v>
      </c>
      <c r="AH327">
        <v>1342.8620000000001</v>
      </c>
      <c r="AI327" t="s">
        <v>26</v>
      </c>
      <c r="AJ327">
        <v>560</v>
      </c>
      <c r="AK327">
        <v>170</v>
      </c>
      <c r="AL327">
        <v>130</v>
      </c>
      <c r="AM327">
        <v>0</v>
      </c>
      <c r="AN327">
        <v>30</v>
      </c>
      <c r="AO327">
        <v>90</v>
      </c>
      <c r="AP327">
        <v>0</v>
      </c>
      <c r="AQ327">
        <v>0</v>
      </c>
      <c r="AR327">
        <v>50</v>
      </c>
      <c r="AS327">
        <v>40</v>
      </c>
      <c r="AT327">
        <v>1070</v>
      </c>
      <c r="AU327" t="s">
        <v>33</v>
      </c>
    </row>
    <row r="328" spans="1:47" x14ac:dyDescent="0.2">
      <c r="A328">
        <v>362</v>
      </c>
      <c r="B328" t="s">
        <v>227</v>
      </c>
      <c r="C328">
        <v>76</v>
      </c>
      <c r="D328" t="s">
        <v>297</v>
      </c>
      <c r="G328" t="str">
        <f t="shared" si="5"/>
        <v>HLY060176LDI1</v>
      </c>
      <c r="H328">
        <v>65.408850999999999</v>
      </c>
      <c r="I328">
        <v>-168.988766</v>
      </c>
      <c r="J328" s="3">
        <v>20060525</v>
      </c>
      <c r="K328">
        <v>2006</v>
      </c>
      <c r="L328">
        <v>4.5488499999999998</v>
      </c>
      <c r="M328">
        <v>9.7152499999999993</v>
      </c>
      <c r="N328">
        <v>12.02251</v>
      </c>
      <c r="O328">
        <v>0.13091</v>
      </c>
      <c r="P328">
        <v>3.2699999999999999E-3</v>
      </c>
      <c r="Q328">
        <v>0</v>
      </c>
      <c r="R328">
        <v>0.33593000000000001</v>
      </c>
      <c r="S328">
        <v>0</v>
      </c>
      <c r="T328">
        <v>0.28206999999999999</v>
      </c>
      <c r="U328">
        <v>2.2110000000000001E-2</v>
      </c>
      <c r="V328">
        <v>27.0609</v>
      </c>
      <c r="W328" t="s">
        <v>11</v>
      </c>
      <c r="X328">
        <v>63.948</v>
      </c>
      <c r="Y328">
        <v>274.84399999999999</v>
      </c>
      <c r="Z328">
        <v>177.155</v>
      </c>
      <c r="AA328">
        <v>2.9089999999999998</v>
      </c>
      <c r="AB328">
        <v>0.23400000000000001</v>
      </c>
      <c r="AC328">
        <v>0</v>
      </c>
      <c r="AD328">
        <v>5.5069999999999997</v>
      </c>
      <c r="AE328">
        <v>0</v>
      </c>
      <c r="AF328">
        <v>3.0329999999999999</v>
      </c>
      <c r="AG328">
        <v>0.73699999999999999</v>
      </c>
      <c r="AH328">
        <v>528.36699999999996</v>
      </c>
      <c r="AI328" t="s">
        <v>22</v>
      </c>
      <c r="AJ328">
        <v>962.5</v>
      </c>
      <c r="AK328">
        <v>1042.5</v>
      </c>
      <c r="AL328">
        <v>8347.5</v>
      </c>
      <c r="AM328">
        <v>40</v>
      </c>
      <c r="AN328">
        <v>2.5</v>
      </c>
      <c r="AO328">
        <v>0</v>
      </c>
      <c r="AP328">
        <v>42.5</v>
      </c>
      <c r="AQ328">
        <v>0</v>
      </c>
      <c r="AR328">
        <v>100</v>
      </c>
      <c r="AS328">
        <v>2.5</v>
      </c>
      <c r="AT328">
        <v>10540</v>
      </c>
      <c r="AU328" t="s">
        <v>35</v>
      </c>
    </row>
    <row r="329" spans="1:47" x14ac:dyDescent="0.2">
      <c r="A329">
        <v>363</v>
      </c>
      <c r="B329" t="s">
        <v>227</v>
      </c>
      <c r="C329">
        <v>77</v>
      </c>
      <c r="D329" t="s">
        <v>298</v>
      </c>
      <c r="G329" t="str">
        <f t="shared" si="5"/>
        <v>HLY060177SPH6</v>
      </c>
      <c r="H329">
        <v>64.315541999999994</v>
      </c>
      <c r="I329">
        <v>-166.53073599999999</v>
      </c>
      <c r="J329" s="3">
        <v>20060526</v>
      </c>
      <c r="K329">
        <v>2006</v>
      </c>
      <c r="L329">
        <v>2.86266</v>
      </c>
      <c r="M329">
        <v>5.2399999999999999E-3</v>
      </c>
      <c r="N329">
        <v>1.409E-2</v>
      </c>
      <c r="O329">
        <v>0</v>
      </c>
      <c r="P329">
        <v>1.4999999999999999E-4</v>
      </c>
      <c r="Q329">
        <v>0</v>
      </c>
      <c r="R329">
        <v>0</v>
      </c>
      <c r="S329">
        <v>1.0273300000000001</v>
      </c>
      <c r="T329">
        <v>0</v>
      </c>
      <c r="U329">
        <v>9.3000000000000005E-4</v>
      </c>
      <c r="V329">
        <v>3.9104000000000001</v>
      </c>
      <c r="W329" t="s">
        <v>9</v>
      </c>
      <c r="X329">
        <v>44.249000000000002</v>
      </c>
      <c r="Y329">
        <v>0.17899999999999999</v>
      </c>
      <c r="Z329">
        <v>0.20300000000000001</v>
      </c>
      <c r="AA329">
        <v>0</v>
      </c>
      <c r="AB329">
        <v>1.0999999999999999E-2</v>
      </c>
      <c r="AC329">
        <v>0</v>
      </c>
      <c r="AD329">
        <v>0</v>
      </c>
      <c r="AE329">
        <v>73.381</v>
      </c>
      <c r="AF329">
        <v>0</v>
      </c>
      <c r="AG329">
        <v>1.4999999999999999E-2</v>
      </c>
      <c r="AH329">
        <v>118.038</v>
      </c>
      <c r="AI329" t="s">
        <v>28</v>
      </c>
      <c r="AJ329">
        <v>770</v>
      </c>
      <c r="AK329">
        <v>60</v>
      </c>
      <c r="AL329">
        <v>170</v>
      </c>
      <c r="AM329">
        <v>0</v>
      </c>
      <c r="AN329">
        <v>20</v>
      </c>
      <c r="AO329">
        <v>0</v>
      </c>
      <c r="AP329">
        <v>0</v>
      </c>
      <c r="AQ329">
        <v>470</v>
      </c>
      <c r="AR329">
        <v>0</v>
      </c>
      <c r="AS329">
        <v>30</v>
      </c>
      <c r="AT329">
        <v>1520</v>
      </c>
      <c r="AU329" t="s">
        <v>33</v>
      </c>
    </row>
    <row r="330" spans="1:47" x14ac:dyDescent="0.2">
      <c r="A330">
        <v>364</v>
      </c>
      <c r="B330" t="s">
        <v>227</v>
      </c>
      <c r="C330">
        <v>78</v>
      </c>
      <c r="D330" t="s">
        <v>299</v>
      </c>
      <c r="G330" t="str">
        <f t="shared" si="5"/>
        <v>HLY060178SPH5</v>
      </c>
      <c r="H330">
        <v>64.200657000000007</v>
      </c>
      <c r="I330">
        <v>-166.81283500000001</v>
      </c>
      <c r="J330" s="3">
        <v>20060526</v>
      </c>
      <c r="K330">
        <v>2006</v>
      </c>
      <c r="L330">
        <v>6.3023100000000003</v>
      </c>
      <c r="M330">
        <v>0.18534</v>
      </c>
      <c r="N330">
        <v>0.10697</v>
      </c>
      <c r="O330">
        <v>0</v>
      </c>
      <c r="P330">
        <v>6.9999999999999994E-5</v>
      </c>
      <c r="Q330">
        <v>0</v>
      </c>
      <c r="R330">
        <v>0</v>
      </c>
      <c r="S330">
        <v>1.3480000000000001E-2</v>
      </c>
      <c r="T330">
        <v>0</v>
      </c>
      <c r="U330">
        <v>22.02591</v>
      </c>
      <c r="V330">
        <v>28.634080000000001</v>
      </c>
      <c r="W330" t="s">
        <v>18</v>
      </c>
      <c r="X330">
        <v>87.177999999999997</v>
      </c>
      <c r="Y330">
        <v>5.0579999999999998</v>
      </c>
      <c r="Z330">
        <v>1.518</v>
      </c>
      <c r="AA330">
        <v>0</v>
      </c>
      <c r="AB330">
        <v>5.0000000000000001E-3</v>
      </c>
      <c r="AC330">
        <v>0</v>
      </c>
      <c r="AD330">
        <v>0</v>
      </c>
      <c r="AE330">
        <v>0.96299999999999997</v>
      </c>
      <c r="AF330">
        <v>0</v>
      </c>
      <c r="AG330">
        <v>431.87400000000002</v>
      </c>
      <c r="AH330">
        <v>526.596</v>
      </c>
      <c r="AI330" t="s">
        <v>30</v>
      </c>
      <c r="AJ330">
        <v>590</v>
      </c>
      <c r="AK330">
        <v>1760</v>
      </c>
      <c r="AL330">
        <v>510</v>
      </c>
      <c r="AM330">
        <v>0</v>
      </c>
      <c r="AN330">
        <v>20</v>
      </c>
      <c r="AO330">
        <v>0</v>
      </c>
      <c r="AP330">
        <v>0</v>
      </c>
      <c r="AQ330">
        <v>60</v>
      </c>
      <c r="AR330">
        <v>0</v>
      </c>
      <c r="AS330">
        <v>130</v>
      </c>
      <c r="AT330">
        <v>3070</v>
      </c>
      <c r="AU330" t="s">
        <v>34</v>
      </c>
    </row>
    <row r="331" spans="1:47" x14ac:dyDescent="0.2">
      <c r="A331">
        <v>365</v>
      </c>
      <c r="B331" t="s">
        <v>227</v>
      </c>
      <c r="C331">
        <v>79</v>
      </c>
      <c r="D331" t="s">
        <v>300</v>
      </c>
      <c r="G331" t="str">
        <f t="shared" si="5"/>
        <v>HLY060179SPH4</v>
      </c>
      <c r="H331">
        <v>64.048782000000003</v>
      </c>
      <c r="I331">
        <v>-167.18378000000001</v>
      </c>
      <c r="J331" s="3">
        <v>20060526</v>
      </c>
      <c r="K331">
        <v>2006</v>
      </c>
      <c r="L331">
        <v>0.96167000000000002</v>
      </c>
      <c r="M331">
        <v>2.7740000000000001E-2</v>
      </c>
      <c r="N331">
        <v>4.8559999999999999E-2</v>
      </c>
      <c r="O331">
        <v>0</v>
      </c>
      <c r="P331">
        <v>5.6999999999999998E-4</v>
      </c>
      <c r="Q331">
        <v>15.63508</v>
      </c>
      <c r="R331">
        <v>0.42108000000000001</v>
      </c>
      <c r="S331">
        <v>2.32E-3</v>
      </c>
      <c r="T331">
        <v>0</v>
      </c>
      <c r="U331">
        <v>0</v>
      </c>
      <c r="V331">
        <v>17.097020000000001</v>
      </c>
      <c r="W331" t="s">
        <v>14</v>
      </c>
      <c r="X331">
        <v>13.619</v>
      </c>
      <c r="Y331">
        <v>0.78700000000000003</v>
      </c>
      <c r="Z331">
        <v>0.65700000000000003</v>
      </c>
      <c r="AA331">
        <v>0</v>
      </c>
      <c r="AB331">
        <v>4.1000000000000002E-2</v>
      </c>
      <c r="AC331">
        <v>1954.385</v>
      </c>
      <c r="AD331">
        <v>6.9029999999999996</v>
      </c>
      <c r="AE331">
        <v>0.16600000000000001</v>
      </c>
      <c r="AF331">
        <v>0</v>
      </c>
      <c r="AG331">
        <v>0</v>
      </c>
      <c r="AH331">
        <v>1976.558</v>
      </c>
      <c r="AI331" t="s">
        <v>26</v>
      </c>
      <c r="AJ331">
        <v>320</v>
      </c>
      <c r="AK331">
        <v>140</v>
      </c>
      <c r="AL331">
        <v>60</v>
      </c>
      <c r="AM331">
        <v>0</v>
      </c>
      <c r="AN331">
        <v>40</v>
      </c>
      <c r="AO331">
        <v>480</v>
      </c>
      <c r="AP331">
        <v>20</v>
      </c>
      <c r="AQ331">
        <v>10</v>
      </c>
      <c r="AR331">
        <v>0</v>
      </c>
      <c r="AS331">
        <v>0</v>
      </c>
      <c r="AT331">
        <v>1070</v>
      </c>
      <c r="AU331" t="s">
        <v>38</v>
      </c>
    </row>
    <row r="332" spans="1:47" x14ac:dyDescent="0.2">
      <c r="A332">
        <v>366</v>
      </c>
      <c r="B332" t="s">
        <v>227</v>
      </c>
      <c r="C332">
        <v>8</v>
      </c>
      <c r="D332" t="s">
        <v>301</v>
      </c>
      <c r="G332" t="str">
        <f t="shared" si="5"/>
        <v>HLY06018NWC4</v>
      </c>
      <c r="H332">
        <v>62.398834000000001</v>
      </c>
      <c r="I332">
        <v>-174.58275399999999</v>
      </c>
      <c r="J332" s="3">
        <v>20060511</v>
      </c>
      <c r="K332">
        <v>2006</v>
      </c>
      <c r="L332">
        <v>5.2711699999999997</v>
      </c>
      <c r="M332">
        <v>7.9622799999999998</v>
      </c>
      <c r="N332">
        <v>0.21437</v>
      </c>
      <c r="O332">
        <v>4.0099999999999997E-3</v>
      </c>
      <c r="P332">
        <v>0.56962999999999997</v>
      </c>
      <c r="Q332">
        <v>0</v>
      </c>
      <c r="R332">
        <v>0</v>
      </c>
      <c r="S332">
        <v>0</v>
      </c>
      <c r="T332">
        <v>5.0779999999999999E-2</v>
      </c>
      <c r="U332">
        <v>6.9290000000000004E-2</v>
      </c>
      <c r="V332">
        <v>14.141529999999999</v>
      </c>
      <c r="W332" t="s">
        <v>10</v>
      </c>
      <c r="X332">
        <v>76.983999999999995</v>
      </c>
      <c r="Y332">
        <v>307.65600000000001</v>
      </c>
      <c r="Z332">
        <v>2.6280000000000001</v>
      </c>
      <c r="AA332">
        <v>8.8999999999999996E-2</v>
      </c>
      <c r="AB332">
        <v>40.688000000000002</v>
      </c>
      <c r="AC332">
        <v>0</v>
      </c>
      <c r="AD332">
        <v>0</v>
      </c>
      <c r="AE332">
        <v>0</v>
      </c>
      <c r="AF332">
        <v>0.54600000000000004</v>
      </c>
      <c r="AG332">
        <v>1.61</v>
      </c>
      <c r="AH332">
        <v>430.20100000000002</v>
      </c>
      <c r="AI332" t="s">
        <v>22</v>
      </c>
      <c r="AJ332">
        <v>1082.5</v>
      </c>
      <c r="AK332">
        <v>930</v>
      </c>
      <c r="AL332">
        <v>177.5</v>
      </c>
      <c r="AM332">
        <v>27.5</v>
      </c>
      <c r="AN332">
        <v>50</v>
      </c>
      <c r="AO332">
        <v>0</v>
      </c>
      <c r="AP332">
        <v>2.5</v>
      </c>
      <c r="AQ332">
        <v>0</v>
      </c>
      <c r="AR332">
        <v>17.5</v>
      </c>
      <c r="AS332">
        <v>152.5</v>
      </c>
      <c r="AT332">
        <v>2440</v>
      </c>
      <c r="AU332" t="s">
        <v>33</v>
      </c>
    </row>
    <row r="333" spans="1:47" x14ac:dyDescent="0.2">
      <c r="A333">
        <v>367</v>
      </c>
      <c r="B333" t="s">
        <v>227</v>
      </c>
      <c r="C333">
        <v>80</v>
      </c>
      <c r="D333" t="s">
        <v>302</v>
      </c>
      <c r="G333" t="str">
        <f t="shared" si="5"/>
        <v>HLY060180SPH3</v>
      </c>
      <c r="H333">
        <v>63.841997999999997</v>
      </c>
      <c r="I333">
        <v>-167.59849600000001</v>
      </c>
      <c r="J333" s="3">
        <v>20060526</v>
      </c>
      <c r="K333">
        <v>2006</v>
      </c>
      <c r="L333">
        <v>6.3550700000000004</v>
      </c>
      <c r="M333">
        <v>6.35649</v>
      </c>
      <c r="N333">
        <v>3.9759999999999997E-2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12.75132</v>
      </c>
      <c r="W333" t="s">
        <v>10</v>
      </c>
      <c r="X333">
        <v>125.828</v>
      </c>
      <c r="Y333">
        <v>170.30699999999999</v>
      </c>
      <c r="Z333">
        <v>0.58099999999999996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296.71600000000001</v>
      </c>
      <c r="AI333" t="s">
        <v>22</v>
      </c>
      <c r="AJ333">
        <v>660</v>
      </c>
      <c r="AK333">
        <v>800</v>
      </c>
      <c r="AL333">
        <v>140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1600</v>
      </c>
      <c r="AU333" t="s">
        <v>34</v>
      </c>
    </row>
    <row r="334" spans="1:47" x14ac:dyDescent="0.2">
      <c r="A334">
        <v>368</v>
      </c>
      <c r="B334" t="s">
        <v>227</v>
      </c>
      <c r="C334">
        <v>81</v>
      </c>
      <c r="D334" t="s">
        <v>303</v>
      </c>
      <c r="G334" t="str">
        <f t="shared" si="5"/>
        <v>HLY060181SPH2</v>
      </c>
      <c r="H334">
        <v>63.684455</v>
      </c>
      <c r="I334">
        <v>-167.944851</v>
      </c>
      <c r="J334" s="3">
        <v>20060526</v>
      </c>
      <c r="K334">
        <v>2006</v>
      </c>
      <c r="L334">
        <v>0.93498000000000003</v>
      </c>
      <c r="M334">
        <v>1.1029599999999999</v>
      </c>
      <c r="N334">
        <v>0.49442999999999998</v>
      </c>
      <c r="O334">
        <v>0</v>
      </c>
      <c r="P334">
        <v>0</v>
      </c>
      <c r="Q334">
        <v>0.97208000000000006</v>
      </c>
      <c r="R334">
        <v>0</v>
      </c>
      <c r="S334">
        <v>0</v>
      </c>
      <c r="T334">
        <v>0</v>
      </c>
      <c r="U334">
        <v>3.2550000000000003E-2</v>
      </c>
      <c r="V334">
        <v>3.5369999999999999</v>
      </c>
      <c r="W334" t="s">
        <v>10</v>
      </c>
      <c r="X334">
        <v>14.061</v>
      </c>
      <c r="Y334">
        <v>26.471</v>
      </c>
      <c r="Z334">
        <v>7.0490000000000004</v>
      </c>
      <c r="AA334">
        <v>0</v>
      </c>
      <c r="AB334">
        <v>0</v>
      </c>
      <c r="AC334">
        <v>121.51</v>
      </c>
      <c r="AD334">
        <v>0</v>
      </c>
      <c r="AE334">
        <v>0</v>
      </c>
      <c r="AF334">
        <v>0</v>
      </c>
      <c r="AG334">
        <v>0.52500000000000002</v>
      </c>
      <c r="AH334">
        <v>169.61600000000001</v>
      </c>
      <c r="AI334" t="s">
        <v>26</v>
      </c>
      <c r="AJ334">
        <v>850</v>
      </c>
      <c r="AK334">
        <v>570</v>
      </c>
      <c r="AL334">
        <v>4470</v>
      </c>
      <c r="AM334">
        <v>0</v>
      </c>
      <c r="AN334">
        <v>0</v>
      </c>
      <c r="AO334">
        <v>40</v>
      </c>
      <c r="AP334">
        <v>0</v>
      </c>
      <c r="AQ334">
        <v>0</v>
      </c>
      <c r="AR334">
        <v>0</v>
      </c>
      <c r="AS334">
        <v>10</v>
      </c>
      <c r="AT334">
        <v>5940</v>
      </c>
      <c r="AU334" t="s">
        <v>35</v>
      </c>
    </row>
    <row r="335" spans="1:47" x14ac:dyDescent="0.2">
      <c r="A335">
        <v>369</v>
      </c>
      <c r="B335" t="s">
        <v>227</v>
      </c>
      <c r="C335">
        <v>82</v>
      </c>
      <c r="D335" t="s">
        <v>304</v>
      </c>
      <c r="G335" t="str">
        <f t="shared" si="5"/>
        <v>HLY060182SPH1</v>
      </c>
      <c r="H335">
        <v>63.480125000000001</v>
      </c>
      <c r="I335">
        <v>-168.291268</v>
      </c>
      <c r="J335" s="3">
        <v>20060527</v>
      </c>
      <c r="K335">
        <v>2006</v>
      </c>
      <c r="L335">
        <v>1.43544</v>
      </c>
      <c r="M335">
        <v>4.3777999999999997</v>
      </c>
      <c r="N335">
        <v>0.29582000000000003</v>
      </c>
      <c r="O335">
        <v>0</v>
      </c>
      <c r="P335">
        <v>4.6000000000000001E-4</v>
      </c>
      <c r="Q335">
        <v>0</v>
      </c>
      <c r="R335">
        <v>0</v>
      </c>
      <c r="S335">
        <v>0</v>
      </c>
      <c r="T335">
        <v>0</v>
      </c>
      <c r="U335">
        <v>1.3600300000000001</v>
      </c>
      <c r="V335">
        <v>7.4695499999999999</v>
      </c>
      <c r="W335" t="s">
        <v>10</v>
      </c>
      <c r="X335">
        <v>22.675999999999998</v>
      </c>
      <c r="Y335">
        <v>123.408</v>
      </c>
      <c r="Z335">
        <v>3.5830000000000002</v>
      </c>
      <c r="AA335">
        <v>0</v>
      </c>
      <c r="AB335">
        <v>3.3000000000000002E-2</v>
      </c>
      <c r="AC335">
        <v>0</v>
      </c>
      <c r="AD335">
        <v>0</v>
      </c>
      <c r="AE335">
        <v>0</v>
      </c>
      <c r="AF335">
        <v>0</v>
      </c>
      <c r="AG335">
        <v>26.663</v>
      </c>
      <c r="AH335">
        <v>176.363</v>
      </c>
      <c r="AI335" t="s">
        <v>22</v>
      </c>
      <c r="AJ335">
        <v>720</v>
      </c>
      <c r="AK335">
        <v>4070</v>
      </c>
      <c r="AL335">
        <v>1460</v>
      </c>
      <c r="AM335">
        <v>0</v>
      </c>
      <c r="AN335">
        <v>40</v>
      </c>
      <c r="AO335">
        <v>0</v>
      </c>
      <c r="AP335">
        <v>0</v>
      </c>
      <c r="AQ335">
        <v>0</v>
      </c>
      <c r="AR335">
        <v>0</v>
      </c>
      <c r="AS335">
        <v>850</v>
      </c>
      <c r="AT335">
        <v>7140</v>
      </c>
      <c r="AU335" t="s">
        <v>34</v>
      </c>
    </row>
    <row r="336" spans="1:47" x14ac:dyDescent="0.2">
      <c r="A336">
        <v>370</v>
      </c>
      <c r="B336" t="s">
        <v>227</v>
      </c>
      <c r="C336">
        <v>83</v>
      </c>
      <c r="D336" t="s">
        <v>305</v>
      </c>
      <c r="G336" t="str">
        <f t="shared" si="5"/>
        <v>HLY060183NEC1</v>
      </c>
      <c r="H336">
        <v>62.750461000000001</v>
      </c>
      <c r="I336">
        <v>-169.58813799999999</v>
      </c>
      <c r="J336" s="3">
        <v>20060527</v>
      </c>
      <c r="K336">
        <v>2006</v>
      </c>
      <c r="L336">
        <v>1.15411</v>
      </c>
      <c r="M336">
        <v>5.2778799999999997</v>
      </c>
      <c r="N336">
        <v>0.33229999999999998</v>
      </c>
      <c r="O336">
        <v>2.3000000000000001E-4</v>
      </c>
      <c r="P336">
        <v>0</v>
      </c>
      <c r="Q336">
        <v>0</v>
      </c>
      <c r="R336">
        <v>0</v>
      </c>
      <c r="S336">
        <v>4.1270000000000001E-2</v>
      </c>
      <c r="T336">
        <v>5.7099999999999998E-2</v>
      </c>
      <c r="U336">
        <v>0.14277999999999999</v>
      </c>
      <c r="V336">
        <v>7.0056700000000003</v>
      </c>
      <c r="W336" t="s">
        <v>10</v>
      </c>
      <c r="X336">
        <v>16.728000000000002</v>
      </c>
      <c r="Y336">
        <v>151.905</v>
      </c>
      <c r="Z336">
        <v>4.5819999999999999</v>
      </c>
      <c r="AA336">
        <v>5.0000000000000001E-3</v>
      </c>
      <c r="AB336">
        <v>0</v>
      </c>
      <c r="AC336">
        <v>0</v>
      </c>
      <c r="AD336">
        <v>0</v>
      </c>
      <c r="AE336">
        <v>2.948</v>
      </c>
      <c r="AF336">
        <v>0.61399999999999999</v>
      </c>
      <c r="AG336">
        <v>5.867</v>
      </c>
      <c r="AH336">
        <v>182.649</v>
      </c>
      <c r="AI336" t="s">
        <v>22</v>
      </c>
      <c r="AJ336">
        <v>567.5</v>
      </c>
      <c r="AK336">
        <v>917.5</v>
      </c>
      <c r="AL336">
        <v>4040</v>
      </c>
      <c r="AM336">
        <v>0</v>
      </c>
      <c r="AN336">
        <v>0</v>
      </c>
      <c r="AO336">
        <v>0</v>
      </c>
      <c r="AP336">
        <v>0</v>
      </c>
      <c r="AQ336">
        <v>220</v>
      </c>
      <c r="AR336">
        <v>15</v>
      </c>
      <c r="AS336">
        <v>15</v>
      </c>
      <c r="AT336">
        <v>5775</v>
      </c>
      <c r="AU336" t="s">
        <v>35</v>
      </c>
    </row>
    <row r="337" spans="1:47" x14ac:dyDescent="0.2">
      <c r="A337">
        <v>371</v>
      </c>
      <c r="B337" t="s">
        <v>227</v>
      </c>
      <c r="C337">
        <v>84</v>
      </c>
      <c r="D337" t="s">
        <v>306</v>
      </c>
      <c r="G337" t="str">
        <f t="shared" si="5"/>
        <v>HLY060184UTN5=SEC1</v>
      </c>
      <c r="H337">
        <v>62.987391000000002</v>
      </c>
      <c r="I337">
        <v>-170.261347</v>
      </c>
      <c r="J337" s="3">
        <v>20060527</v>
      </c>
      <c r="K337">
        <v>2006</v>
      </c>
      <c r="L337">
        <v>1.4408000000000001</v>
      </c>
      <c r="M337">
        <v>22.084869999999999</v>
      </c>
      <c r="N337">
        <v>5.1189999999999999E-2</v>
      </c>
      <c r="O337">
        <v>0.33561000000000002</v>
      </c>
      <c r="P337">
        <v>0</v>
      </c>
      <c r="Q337">
        <v>0</v>
      </c>
      <c r="R337">
        <v>0</v>
      </c>
      <c r="S337">
        <v>0</v>
      </c>
      <c r="T337">
        <v>1.2999999999999999E-3</v>
      </c>
      <c r="U337">
        <v>1.0236400000000001</v>
      </c>
      <c r="V337">
        <v>24.93741</v>
      </c>
      <c r="W337" t="s">
        <v>10</v>
      </c>
      <c r="X337">
        <v>21.417999999999999</v>
      </c>
      <c r="Y337">
        <v>639.76099999999997</v>
      </c>
      <c r="Z337">
        <v>0.72199999999999998</v>
      </c>
      <c r="AA337">
        <v>7.4580000000000002</v>
      </c>
      <c r="AB337">
        <v>0</v>
      </c>
      <c r="AC337">
        <v>0</v>
      </c>
      <c r="AD337">
        <v>0</v>
      </c>
      <c r="AE337">
        <v>0</v>
      </c>
      <c r="AF337">
        <v>1.4E-2</v>
      </c>
      <c r="AG337">
        <v>20.594000000000001</v>
      </c>
      <c r="AH337">
        <v>689.96699999999998</v>
      </c>
      <c r="AI337" t="s">
        <v>22</v>
      </c>
      <c r="AJ337">
        <v>815</v>
      </c>
      <c r="AK337">
        <v>1367.5</v>
      </c>
      <c r="AL337">
        <v>270</v>
      </c>
      <c r="AM337">
        <v>2.5</v>
      </c>
      <c r="AN337">
        <v>0</v>
      </c>
      <c r="AO337">
        <v>0</v>
      </c>
      <c r="AP337">
        <v>0</v>
      </c>
      <c r="AQ337">
        <v>0</v>
      </c>
      <c r="AR337">
        <v>2.5</v>
      </c>
      <c r="AS337">
        <v>215</v>
      </c>
      <c r="AT337">
        <v>2672.5</v>
      </c>
      <c r="AU337" t="s">
        <v>34</v>
      </c>
    </row>
    <row r="338" spans="1:47" x14ac:dyDescent="0.2">
      <c r="A338">
        <v>372</v>
      </c>
      <c r="B338" t="s">
        <v>227</v>
      </c>
      <c r="C338">
        <v>86</v>
      </c>
      <c r="D338" t="s">
        <v>307</v>
      </c>
      <c r="G338" t="str">
        <f t="shared" si="5"/>
        <v>HLY060186NEC5A</v>
      </c>
      <c r="H338">
        <v>61.407671000000001</v>
      </c>
      <c r="I338">
        <v>-171.996093</v>
      </c>
      <c r="J338" s="3">
        <v>20060528</v>
      </c>
      <c r="K338">
        <v>2006</v>
      </c>
      <c r="L338">
        <v>3.4834700000000001</v>
      </c>
      <c r="M338">
        <v>1.4643299999999999</v>
      </c>
      <c r="N338">
        <v>0.87236999999999998</v>
      </c>
      <c r="O338">
        <v>0</v>
      </c>
      <c r="P338">
        <v>1E-4</v>
      </c>
      <c r="Q338">
        <v>0</v>
      </c>
      <c r="R338">
        <v>0</v>
      </c>
      <c r="S338">
        <v>0</v>
      </c>
      <c r="T338">
        <v>0</v>
      </c>
      <c r="U338">
        <v>6.2E-4</v>
      </c>
      <c r="V338">
        <v>5.8208900000000003</v>
      </c>
      <c r="W338" t="s">
        <v>9</v>
      </c>
      <c r="X338">
        <v>48.427</v>
      </c>
      <c r="Y338">
        <v>63.88</v>
      </c>
      <c r="Z338">
        <v>11.782999999999999</v>
      </c>
      <c r="AA338">
        <v>0</v>
      </c>
      <c r="AB338">
        <v>7.0000000000000001E-3</v>
      </c>
      <c r="AC338">
        <v>0</v>
      </c>
      <c r="AD338">
        <v>0</v>
      </c>
      <c r="AE338">
        <v>0</v>
      </c>
      <c r="AF338">
        <v>0</v>
      </c>
      <c r="AG338">
        <v>0.01</v>
      </c>
      <c r="AH338">
        <v>124.107</v>
      </c>
      <c r="AI338" t="s">
        <v>22</v>
      </c>
      <c r="AJ338">
        <v>280</v>
      </c>
      <c r="AK338">
        <v>790</v>
      </c>
      <c r="AL338">
        <v>380</v>
      </c>
      <c r="AM338">
        <v>0</v>
      </c>
      <c r="AN338">
        <v>20</v>
      </c>
      <c r="AO338">
        <v>0</v>
      </c>
      <c r="AP338">
        <v>0</v>
      </c>
      <c r="AQ338">
        <v>0</v>
      </c>
      <c r="AR338">
        <v>0</v>
      </c>
      <c r="AS338">
        <v>20</v>
      </c>
      <c r="AT338">
        <v>1490</v>
      </c>
      <c r="AU338" t="s">
        <v>34</v>
      </c>
    </row>
    <row r="339" spans="1:47" x14ac:dyDescent="0.2">
      <c r="A339">
        <v>373</v>
      </c>
      <c r="B339" t="s">
        <v>227</v>
      </c>
      <c r="C339">
        <v>9</v>
      </c>
      <c r="D339" t="s">
        <v>308</v>
      </c>
      <c r="G339" t="str">
        <f t="shared" si="5"/>
        <v>HLY06019NWC4A</v>
      </c>
      <c r="H339">
        <v>62.577644999999997</v>
      </c>
      <c r="I339">
        <v>-174.17686499999999</v>
      </c>
      <c r="J339" s="3">
        <v>20060511</v>
      </c>
      <c r="K339">
        <v>2006</v>
      </c>
      <c r="L339">
        <v>5.2688600000000001</v>
      </c>
      <c r="M339">
        <v>10.78894</v>
      </c>
      <c r="N339">
        <v>0.48168</v>
      </c>
      <c r="O339">
        <v>3.7399999999999998E-3</v>
      </c>
      <c r="P339">
        <v>0.49273</v>
      </c>
      <c r="Q339">
        <v>0</v>
      </c>
      <c r="R339">
        <v>0</v>
      </c>
      <c r="S339">
        <v>0</v>
      </c>
      <c r="T339">
        <v>9.5420000000000005E-2</v>
      </c>
      <c r="U339">
        <v>0.14050000000000001</v>
      </c>
      <c r="V339">
        <v>17.27187</v>
      </c>
      <c r="W339" t="s">
        <v>10</v>
      </c>
      <c r="X339">
        <v>67.319999999999993</v>
      </c>
      <c r="Y339">
        <v>316.149</v>
      </c>
      <c r="Z339">
        <v>6.4340000000000002</v>
      </c>
      <c r="AA339">
        <v>8.3000000000000004E-2</v>
      </c>
      <c r="AB339">
        <v>35.195</v>
      </c>
      <c r="AC339">
        <v>0</v>
      </c>
      <c r="AD339">
        <v>0</v>
      </c>
      <c r="AE339">
        <v>0</v>
      </c>
      <c r="AF339">
        <v>1.026</v>
      </c>
      <c r="AG339">
        <v>3.0459999999999998</v>
      </c>
      <c r="AH339">
        <v>429.25299999999999</v>
      </c>
      <c r="AI339" t="s">
        <v>22</v>
      </c>
      <c r="AJ339">
        <v>637.5</v>
      </c>
      <c r="AK339">
        <v>1807.5</v>
      </c>
      <c r="AL339">
        <v>80</v>
      </c>
      <c r="AM339">
        <v>5</v>
      </c>
      <c r="AN339">
        <v>85</v>
      </c>
      <c r="AO339">
        <v>0</v>
      </c>
      <c r="AP339">
        <v>0</v>
      </c>
      <c r="AQ339">
        <v>0</v>
      </c>
      <c r="AR339">
        <v>5</v>
      </c>
      <c r="AS339">
        <v>95</v>
      </c>
      <c r="AT339">
        <v>2715</v>
      </c>
      <c r="AU339" t="s">
        <v>34</v>
      </c>
    </row>
    <row r="340" spans="1:47" x14ac:dyDescent="0.2">
      <c r="A340">
        <v>374</v>
      </c>
      <c r="B340" t="s">
        <v>227</v>
      </c>
      <c r="C340">
        <v>99</v>
      </c>
      <c r="D340" t="s">
        <v>309</v>
      </c>
      <c r="G340" t="str">
        <f t="shared" si="5"/>
        <v>HLY060199NWC1</v>
      </c>
      <c r="H340">
        <v>63.487884000000001</v>
      </c>
      <c r="I340">
        <v>-172.35317599999999</v>
      </c>
      <c r="J340" s="3">
        <v>20060530</v>
      </c>
      <c r="K340">
        <v>2006</v>
      </c>
      <c r="L340">
        <v>2.25976</v>
      </c>
      <c r="M340">
        <v>3.41798</v>
      </c>
      <c r="N340">
        <v>0.26295000000000002</v>
      </c>
      <c r="O340">
        <v>0</v>
      </c>
      <c r="P340">
        <v>2.5000000000000001E-4</v>
      </c>
      <c r="Q340">
        <v>0</v>
      </c>
      <c r="R340">
        <v>0</v>
      </c>
      <c r="S340">
        <v>0</v>
      </c>
      <c r="T340">
        <v>0</v>
      </c>
      <c r="U340">
        <v>2.0879999999999999E-2</v>
      </c>
      <c r="V340">
        <v>5.9618200000000003</v>
      </c>
      <c r="W340" t="s">
        <v>10</v>
      </c>
      <c r="X340">
        <v>32.713999999999999</v>
      </c>
      <c r="Y340">
        <v>96.558999999999997</v>
      </c>
      <c r="Z340">
        <v>3.7519999999999998</v>
      </c>
      <c r="AA340">
        <v>0</v>
      </c>
      <c r="AB340">
        <v>1.7999999999999999E-2</v>
      </c>
      <c r="AC340">
        <v>0</v>
      </c>
      <c r="AD340">
        <v>0</v>
      </c>
      <c r="AE340">
        <v>0</v>
      </c>
      <c r="AF340">
        <v>0</v>
      </c>
      <c r="AG340">
        <v>0.58499999999999996</v>
      </c>
      <c r="AH340">
        <v>133.62799999999999</v>
      </c>
      <c r="AI340" t="s">
        <v>22</v>
      </c>
      <c r="AJ340">
        <v>1107.5</v>
      </c>
      <c r="AK340">
        <v>2545</v>
      </c>
      <c r="AL340">
        <v>2472.5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47.5</v>
      </c>
      <c r="AT340">
        <v>6172.5</v>
      </c>
      <c r="AU340" t="s">
        <v>34</v>
      </c>
    </row>
    <row r="341" spans="1:47" ht="16" x14ac:dyDescent="0.2">
      <c r="A341">
        <v>1502</v>
      </c>
      <c r="B341" t="s">
        <v>571</v>
      </c>
      <c r="C341">
        <v>39</v>
      </c>
      <c r="D341" t="s">
        <v>551</v>
      </c>
      <c r="E341" s="6" t="s">
        <v>268</v>
      </c>
      <c r="F341" s="4" t="s">
        <v>551</v>
      </c>
      <c r="G341" t="str">
        <f t="shared" si="5"/>
        <v>SWL200639SLIP1</v>
      </c>
      <c r="H341">
        <v>62.013562</v>
      </c>
      <c r="I341">
        <v>-175.05439200000001</v>
      </c>
      <c r="J341" s="3">
        <v>20060712</v>
      </c>
      <c r="K341">
        <v>2006</v>
      </c>
      <c r="L341">
        <v>5.2306400000000002</v>
      </c>
      <c r="M341">
        <v>7.1072600000000001</v>
      </c>
      <c r="N341">
        <v>0.12681000000000001</v>
      </c>
      <c r="O341">
        <v>1.49E-3</v>
      </c>
      <c r="P341">
        <v>8.0189999999999997E-2</v>
      </c>
      <c r="Q341">
        <v>0</v>
      </c>
      <c r="R341">
        <v>0</v>
      </c>
      <c r="S341">
        <v>0</v>
      </c>
      <c r="T341">
        <v>1.3644000000000001</v>
      </c>
      <c r="U341">
        <v>5.3269999999999998E-2</v>
      </c>
      <c r="V341">
        <v>13.96406</v>
      </c>
      <c r="W341" t="s">
        <v>10</v>
      </c>
      <c r="X341">
        <v>76.412999999999997</v>
      </c>
      <c r="Y341">
        <v>209.98599999999999</v>
      </c>
      <c r="Z341">
        <v>1.728</v>
      </c>
      <c r="AA341">
        <v>3.3000000000000002E-2</v>
      </c>
      <c r="AB341">
        <v>5.7279999999999998</v>
      </c>
      <c r="AC341">
        <v>0</v>
      </c>
      <c r="AD341">
        <v>0</v>
      </c>
      <c r="AE341">
        <v>0</v>
      </c>
      <c r="AF341">
        <v>14.670999999999999</v>
      </c>
      <c r="AG341">
        <v>1.155</v>
      </c>
      <c r="AH341">
        <v>309.714</v>
      </c>
      <c r="AI341" t="s">
        <v>22</v>
      </c>
      <c r="AJ341">
        <v>580</v>
      </c>
      <c r="AK341">
        <v>695</v>
      </c>
      <c r="AL341">
        <v>105</v>
      </c>
      <c r="AM341">
        <v>10</v>
      </c>
      <c r="AN341">
        <v>25</v>
      </c>
      <c r="AO341">
        <v>0</v>
      </c>
      <c r="AP341">
        <v>0</v>
      </c>
      <c r="AQ341">
        <v>0</v>
      </c>
      <c r="AR341">
        <v>15</v>
      </c>
      <c r="AS341">
        <v>62.5</v>
      </c>
      <c r="AT341">
        <v>1492.5</v>
      </c>
      <c r="AU341" t="s">
        <v>34</v>
      </c>
    </row>
    <row r="342" spans="1:47" ht="16" x14ac:dyDescent="0.2">
      <c r="A342">
        <v>1503</v>
      </c>
      <c r="B342" t="s">
        <v>571</v>
      </c>
      <c r="C342">
        <v>40</v>
      </c>
      <c r="D342" t="s">
        <v>552</v>
      </c>
      <c r="E342" s="6" t="s">
        <v>279</v>
      </c>
      <c r="F342" s="4" t="s">
        <v>552</v>
      </c>
      <c r="G342" t="str">
        <f t="shared" si="5"/>
        <v>SWL200640SLIP2</v>
      </c>
      <c r="H342">
        <v>62.036659999999998</v>
      </c>
      <c r="I342">
        <v>-175.217578</v>
      </c>
      <c r="J342" s="3">
        <v>20060712</v>
      </c>
      <c r="K342">
        <v>2006</v>
      </c>
      <c r="L342">
        <v>4.7137900000000004</v>
      </c>
      <c r="M342">
        <v>6.3749399999999996</v>
      </c>
      <c r="N342">
        <v>7.5649999999999995E-2</v>
      </c>
      <c r="O342">
        <v>2.3800000000000002E-3</v>
      </c>
      <c r="P342">
        <v>0.46801999999999999</v>
      </c>
      <c r="Q342">
        <v>0</v>
      </c>
      <c r="R342">
        <v>0</v>
      </c>
      <c r="S342">
        <v>3.1E-4</v>
      </c>
      <c r="T342">
        <v>7.1599999999999997E-3</v>
      </c>
      <c r="U342">
        <v>4.3360000000000003E-2</v>
      </c>
      <c r="V342">
        <v>11.68561</v>
      </c>
      <c r="W342" t="s">
        <v>10</v>
      </c>
      <c r="X342">
        <v>69.793000000000006</v>
      </c>
      <c r="Y342">
        <v>245.39699999999999</v>
      </c>
      <c r="Z342">
        <v>1.018</v>
      </c>
      <c r="AA342">
        <v>5.2999999999999999E-2</v>
      </c>
      <c r="AB342">
        <v>33.43</v>
      </c>
      <c r="AC342">
        <v>0</v>
      </c>
      <c r="AD342">
        <v>0</v>
      </c>
      <c r="AE342">
        <v>2.1999999999999999E-2</v>
      </c>
      <c r="AF342">
        <v>7.6999999999999999E-2</v>
      </c>
      <c r="AG342">
        <v>0.90200000000000002</v>
      </c>
      <c r="AH342">
        <v>350.69200000000001</v>
      </c>
      <c r="AI342" t="s">
        <v>22</v>
      </c>
      <c r="AJ342">
        <v>627.5</v>
      </c>
      <c r="AK342">
        <v>957.5</v>
      </c>
      <c r="AL342">
        <v>150</v>
      </c>
      <c r="AM342">
        <v>15</v>
      </c>
      <c r="AN342">
        <v>45</v>
      </c>
      <c r="AO342">
        <v>0</v>
      </c>
      <c r="AP342">
        <v>0</v>
      </c>
      <c r="AQ342">
        <v>2.5</v>
      </c>
      <c r="AR342">
        <v>12.5</v>
      </c>
      <c r="AS342">
        <v>70</v>
      </c>
      <c r="AT342">
        <v>1880</v>
      </c>
      <c r="AU342" t="s">
        <v>34</v>
      </c>
    </row>
    <row r="343" spans="1:47" ht="16" x14ac:dyDescent="0.2">
      <c r="A343">
        <v>1504</v>
      </c>
      <c r="B343" t="s">
        <v>571</v>
      </c>
      <c r="C343">
        <v>41</v>
      </c>
      <c r="D343" t="s">
        <v>553</v>
      </c>
      <c r="E343" s="6" t="s">
        <v>301</v>
      </c>
      <c r="F343" s="4" t="s">
        <v>553</v>
      </c>
      <c r="G343" t="str">
        <f t="shared" si="5"/>
        <v>SWL200641SLIP3</v>
      </c>
      <c r="H343">
        <v>62.392847000000003</v>
      </c>
      <c r="I343">
        <v>-174.569727</v>
      </c>
      <c r="J343" s="3">
        <v>20060712</v>
      </c>
      <c r="K343">
        <v>2006</v>
      </c>
      <c r="L343">
        <v>4.8717800000000002</v>
      </c>
      <c r="M343">
        <v>5.7384300000000001</v>
      </c>
      <c r="N343">
        <v>0.18642</v>
      </c>
      <c r="O343">
        <v>5.9537199999999997</v>
      </c>
      <c r="P343">
        <v>0.20832999999999999</v>
      </c>
      <c r="Q343">
        <v>0</v>
      </c>
      <c r="R343">
        <v>0</v>
      </c>
      <c r="S343">
        <v>0.19151000000000001</v>
      </c>
      <c r="T343">
        <v>4.743E-2</v>
      </c>
      <c r="U343">
        <v>1.3441799999999999</v>
      </c>
      <c r="V343">
        <v>18.541799999999999</v>
      </c>
      <c r="W343" t="s">
        <v>12</v>
      </c>
      <c r="X343">
        <v>70.3</v>
      </c>
      <c r="Y343">
        <v>237.916</v>
      </c>
      <c r="Z343">
        <v>2.4500000000000002</v>
      </c>
      <c r="AA343">
        <v>132.30500000000001</v>
      </c>
      <c r="AB343">
        <v>14.881</v>
      </c>
      <c r="AC343">
        <v>0</v>
      </c>
      <c r="AD343">
        <v>0</v>
      </c>
      <c r="AE343">
        <v>13.679</v>
      </c>
      <c r="AF343">
        <v>0.51</v>
      </c>
      <c r="AG343">
        <v>30.948</v>
      </c>
      <c r="AH343">
        <v>502.98899999999998</v>
      </c>
      <c r="AI343" t="s">
        <v>22</v>
      </c>
      <c r="AJ343">
        <v>977.5</v>
      </c>
      <c r="AK343">
        <v>670</v>
      </c>
      <c r="AL343">
        <v>102.5</v>
      </c>
      <c r="AM343">
        <v>15</v>
      </c>
      <c r="AN343">
        <v>35</v>
      </c>
      <c r="AO343">
        <v>0</v>
      </c>
      <c r="AP343">
        <v>0</v>
      </c>
      <c r="AQ343">
        <v>2.5</v>
      </c>
      <c r="AR343">
        <v>17.5</v>
      </c>
      <c r="AS343">
        <v>100</v>
      </c>
      <c r="AT343">
        <v>1920</v>
      </c>
      <c r="AU343" t="s">
        <v>33</v>
      </c>
    </row>
    <row r="344" spans="1:47" ht="16" x14ac:dyDescent="0.2">
      <c r="A344">
        <v>1505</v>
      </c>
      <c r="B344" t="s">
        <v>571</v>
      </c>
      <c r="C344">
        <v>42</v>
      </c>
      <c r="D344" t="s">
        <v>554</v>
      </c>
      <c r="E344" s="6" t="s">
        <v>239</v>
      </c>
      <c r="F344" s="4" t="s">
        <v>554</v>
      </c>
      <c r="G344" t="str">
        <f t="shared" si="5"/>
        <v>SWL200642SLIP5</v>
      </c>
      <c r="H344">
        <v>62.565600000000003</v>
      </c>
      <c r="I344">
        <v>-173.54653999999999</v>
      </c>
      <c r="J344" s="3">
        <v>20060713</v>
      </c>
      <c r="K344">
        <v>2006</v>
      </c>
      <c r="L344">
        <v>3.1857899999999999</v>
      </c>
      <c r="M344">
        <v>13.60168</v>
      </c>
      <c r="N344">
        <v>9.8379999999999995E-2</v>
      </c>
      <c r="O344">
        <v>9.5E-4</v>
      </c>
      <c r="P344">
        <v>0.27843000000000001</v>
      </c>
      <c r="Q344">
        <v>0</v>
      </c>
      <c r="R344">
        <v>0</v>
      </c>
      <c r="S344">
        <v>0</v>
      </c>
      <c r="T344">
        <v>1.6E-2</v>
      </c>
      <c r="U344">
        <v>5.8630000000000002E-2</v>
      </c>
      <c r="V344">
        <v>17.23986</v>
      </c>
      <c r="W344" t="s">
        <v>10</v>
      </c>
      <c r="X344">
        <v>55.098999999999997</v>
      </c>
      <c r="Y344">
        <v>424.53399999999999</v>
      </c>
      <c r="Z344">
        <v>1.137</v>
      </c>
      <c r="AA344">
        <v>2.1000000000000001E-2</v>
      </c>
      <c r="AB344">
        <v>19.888000000000002</v>
      </c>
      <c r="AC344">
        <v>0</v>
      </c>
      <c r="AD344">
        <v>0</v>
      </c>
      <c r="AE344">
        <v>0</v>
      </c>
      <c r="AF344">
        <v>0.17199999999999999</v>
      </c>
      <c r="AG344">
        <v>1.294</v>
      </c>
      <c r="AH344">
        <v>502.14499999999998</v>
      </c>
      <c r="AI344" t="s">
        <v>22</v>
      </c>
      <c r="AJ344">
        <v>652.5</v>
      </c>
      <c r="AK344">
        <v>1165</v>
      </c>
      <c r="AL344">
        <v>110</v>
      </c>
      <c r="AM344">
        <v>2.5</v>
      </c>
      <c r="AN344">
        <v>10</v>
      </c>
      <c r="AO344">
        <v>0</v>
      </c>
      <c r="AP344">
        <v>0</v>
      </c>
      <c r="AQ344">
        <v>0</v>
      </c>
      <c r="AR344">
        <v>5</v>
      </c>
      <c r="AS344">
        <v>30</v>
      </c>
      <c r="AT344">
        <v>1975</v>
      </c>
      <c r="AU344" t="s">
        <v>34</v>
      </c>
    </row>
    <row r="345" spans="1:47" ht="16" x14ac:dyDescent="0.2">
      <c r="A345">
        <v>1506</v>
      </c>
      <c r="B345" t="s">
        <v>571</v>
      </c>
      <c r="C345">
        <v>43</v>
      </c>
      <c r="D345" t="s">
        <v>555</v>
      </c>
      <c r="E345" s="6" t="s">
        <v>246</v>
      </c>
      <c r="F345" s="4" t="s">
        <v>555</v>
      </c>
      <c r="G345" t="str">
        <f t="shared" si="5"/>
        <v>SWL200643SLIP4</v>
      </c>
      <c r="H345">
        <v>63.02843</v>
      </c>
      <c r="I345">
        <v>-173.45763199999999</v>
      </c>
      <c r="J345" s="3">
        <v>20060713</v>
      </c>
      <c r="K345">
        <v>2006</v>
      </c>
      <c r="L345">
        <v>3.8212899999999999</v>
      </c>
      <c r="M345">
        <v>10.6799</v>
      </c>
      <c r="N345">
        <v>1.2507999999999999</v>
      </c>
      <c r="O345">
        <v>0</v>
      </c>
      <c r="P345">
        <v>0.31139</v>
      </c>
      <c r="Q345">
        <v>0</v>
      </c>
      <c r="R345">
        <v>0</v>
      </c>
      <c r="S345">
        <v>0</v>
      </c>
      <c r="T345">
        <v>1.8985000000000001</v>
      </c>
      <c r="U345">
        <v>0.40029999999999999</v>
      </c>
      <c r="V345">
        <v>18.362179999999999</v>
      </c>
      <c r="W345" t="s">
        <v>10</v>
      </c>
      <c r="X345">
        <v>70.834999999999994</v>
      </c>
      <c r="Y345">
        <v>306.68299999999999</v>
      </c>
      <c r="Z345">
        <v>15.404</v>
      </c>
      <c r="AA345">
        <v>0</v>
      </c>
      <c r="AB345">
        <v>22.242000000000001</v>
      </c>
      <c r="AC345">
        <v>0</v>
      </c>
      <c r="AD345">
        <v>0</v>
      </c>
      <c r="AE345">
        <v>0</v>
      </c>
      <c r="AF345">
        <v>20.414000000000001</v>
      </c>
      <c r="AG345">
        <v>7.4480000000000004</v>
      </c>
      <c r="AH345">
        <v>443.02600000000001</v>
      </c>
      <c r="AI345" t="s">
        <v>22</v>
      </c>
      <c r="AJ345">
        <v>860</v>
      </c>
      <c r="AK345">
        <v>1690</v>
      </c>
      <c r="AL345">
        <v>400</v>
      </c>
      <c r="AM345">
        <v>0</v>
      </c>
      <c r="AN345">
        <v>12.5</v>
      </c>
      <c r="AO345">
        <v>0</v>
      </c>
      <c r="AP345">
        <v>0</v>
      </c>
      <c r="AQ345">
        <v>0</v>
      </c>
      <c r="AR345">
        <v>35</v>
      </c>
      <c r="AS345">
        <v>132.5</v>
      </c>
      <c r="AT345">
        <v>3130</v>
      </c>
      <c r="AU345" t="s">
        <v>34</v>
      </c>
    </row>
    <row r="346" spans="1:47" x14ac:dyDescent="0.2">
      <c r="A346">
        <v>1507</v>
      </c>
      <c r="B346" t="s">
        <v>571</v>
      </c>
      <c r="C346">
        <v>45</v>
      </c>
      <c r="D346" t="s">
        <v>556</v>
      </c>
      <c r="G346" t="str">
        <f t="shared" si="5"/>
        <v>SWL200645UTBS5</v>
      </c>
      <c r="H346">
        <v>64.667462</v>
      </c>
      <c r="I346">
        <v>-169.92268000000001</v>
      </c>
      <c r="J346" s="3">
        <v>20060714</v>
      </c>
      <c r="K346">
        <v>2006</v>
      </c>
      <c r="L346">
        <v>49.822789999999998</v>
      </c>
      <c r="M346">
        <v>10.63058</v>
      </c>
      <c r="N346">
        <v>0.54790000000000005</v>
      </c>
      <c r="O346">
        <v>6.2100000000000002E-3</v>
      </c>
      <c r="P346">
        <v>4.2000000000000002E-4</v>
      </c>
      <c r="Q346">
        <v>0</v>
      </c>
      <c r="R346">
        <v>0</v>
      </c>
      <c r="S346">
        <v>0.34166000000000002</v>
      </c>
      <c r="T346">
        <v>1.25587</v>
      </c>
      <c r="U346">
        <v>0</v>
      </c>
      <c r="V346">
        <v>62.605429999999998</v>
      </c>
      <c r="W346" t="s">
        <v>9</v>
      </c>
      <c r="X346">
        <v>720.82100000000003</v>
      </c>
      <c r="Y346">
        <v>320.48500000000001</v>
      </c>
      <c r="Z346">
        <v>7.6639999999999997</v>
      </c>
      <c r="AA346">
        <v>0.13800000000000001</v>
      </c>
      <c r="AB346">
        <v>0.03</v>
      </c>
      <c r="AC346">
        <v>0</v>
      </c>
      <c r="AD346">
        <v>0</v>
      </c>
      <c r="AE346">
        <v>24.404</v>
      </c>
      <c r="AF346">
        <v>13.504</v>
      </c>
      <c r="AG346">
        <v>0</v>
      </c>
      <c r="AH346">
        <v>1087.046</v>
      </c>
      <c r="AI346" t="s">
        <v>21</v>
      </c>
      <c r="AJ346">
        <v>1160</v>
      </c>
      <c r="AK346">
        <v>627.5</v>
      </c>
      <c r="AL346">
        <v>1135</v>
      </c>
      <c r="AM346">
        <v>35</v>
      </c>
      <c r="AN346">
        <v>2.5</v>
      </c>
      <c r="AO346">
        <v>0</v>
      </c>
      <c r="AP346">
        <v>0</v>
      </c>
      <c r="AQ346">
        <v>12.5</v>
      </c>
      <c r="AR346">
        <v>7.5</v>
      </c>
      <c r="AS346">
        <v>0</v>
      </c>
      <c r="AT346">
        <v>2980</v>
      </c>
      <c r="AU346" t="s">
        <v>33</v>
      </c>
    </row>
    <row r="347" spans="1:47" x14ac:dyDescent="0.2">
      <c r="A347">
        <v>1508</v>
      </c>
      <c r="B347" t="s">
        <v>571</v>
      </c>
      <c r="C347">
        <v>46</v>
      </c>
      <c r="D347" t="s">
        <v>557</v>
      </c>
      <c r="G347" t="str">
        <f t="shared" si="5"/>
        <v>SWL200646UTBS2</v>
      </c>
      <c r="H347">
        <v>64.68235</v>
      </c>
      <c r="I347">
        <v>-169.09497999999999</v>
      </c>
      <c r="J347" s="3">
        <v>20060714</v>
      </c>
      <c r="K347">
        <v>2006</v>
      </c>
      <c r="L347">
        <v>6.4921600000000002</v>
      </c>
      <c r="M347">
        <v>0.39052999999999999</v>
      </c>
      <c r="N347">
        <v>8.7857900000000004</v>
      </c>
      <c r="O347">
        <v>0</v>
      </c>
      <c r="P347">
        <v>0</v>
      </c>
      <c r="Q347">
        <v>0</v>
      </c>
      <c r="R347">
        <v>0</v>
      </c>
      <c r="S347">
        <v>5.008E-2</v>
      </c>
      <c r="T347">
        <v>4.9009999999999998E-2</v>
      </c>
      <c r="U347">
        <v>1.7600000000000001E-3</v>
      </c>
      <c r="V347">
        <v>15.76933</v>
      </c>
      <c r="W347" t="s">
        <v>11</v>
      </c>
      <c r="X347">
        <v>92.105000000000004</v>
      </c>
      <c r="Y347">
        <v>11.526999999999999</v>
      </c>
      <c r="Z347">
        <v>128.71299999999999</v>
      </c>
      <c r="AA347">
        <v>0</v>
      </c>
      <c r="AB347">
        <v>0</v>
      </c>
      <c r="AC347">
        <v>0</v>
      </c>
      <c r="AD347">
        <v>0</v>
      </c>
      <c r="AE347">
        <v>3.4769999999999999</v>
      </c>
      <c r="AF347">
        <v>0.52700000000000002</v>
      </c>
      <c r="AG347">
        <v>2.8000000000000001E-2</v>
      </c>
      <c r="AH347">
        <v>236.37700000000001</v>
      </c>
      <c r="AI347" t="s">
        <v>23</v>
      </c>
      <c r="AJ347">
        <v>955</v>
      </c>
      <c r="AK347">
        <v>720</v>
      </c>
      <c r="AL347">
        <v>5792.5</v>
      </c>
      <c r="AM347">
        <v>0</v>
      </c>
      <c r="AN347">
        <v>0</v>
      </c>
      <c r="AO347">
        <v>0</v>
      </c>
      <c r="AP347">
        <v>0</v>
      </c>
      <c r="AQ347">
        <v>7.5</v>
      </c>
      <c r="AR347">
        <v>30</v>
      </c>
      <c r="AS347">
        <v>2.5</v>
      </c>
      <c r="AT347">
        <v>7507.5</v>
      </c>
      <c r="AU347" t="s">
        <v>35</v>
      </c>
    </row>
    <row r="348" spans="1:47" x14ac:dyDescent="0.2">
      <c r="A348">
        <v>1509</v>
      </c>
      <c r="B348" t="s">
        <v>571</v>
      </c>
      <c r="C348">
        <v>47</v>
      </c>
      <c r="D348" t="s">
        <v>558</v>
      </c>
      <c r="G348" t="str">
        <f t="shared" si="5"/>
        <v>SWL200647UTBS4</v>
      </c>
      <c r="H348">
        <v>64.959614999999999</v>
      </c>
      <c r="I348">
        <v>-169.882318</v>
      </c>
      <c r="J348" s="3">
        <v>20060714</v>
      </c>
      <c r="K348">
        <v>2006</v>
      </c>
      <c r="L348">
        <v>2.65347</v>
      </c>
      <c r="M348">
        <v>6.7462400000000002</v>
      </c>
      <c r="N348">
        <v>2.69936</v>
      </c>
      <c r="O348">
        <v>8.0999999999999996E-4</v>
      </c>
      <c r="P348">
        <v>0</v>
      </c>
      <c r="Q348">
        <v>0</v>
      </c>
      <c r="R348">
        <v>8.4669999999999995E-2</v>
      </c>
      <c r="S348">
        <v>0.11144999999999999</v>
      </c>
      <c r="T348">
        <v>0</v>
      </c>
      <c r="U348">
        <v>2.3000000000000001E-4</v>
      </c>
      <c r="V348">
        <v>12.29623</v>
      </c>
      <c r="W348" t="s">
        <v>10</v>
      </c>
      <c r="X348">
        <v>35.412999999999997</v>
      </c>
      <c r="Y348">
        <v>308.18400000000003</v>
      </c>
      <c r="Z348">
        <v>39.651000000000003</v>
      </c>
      <c r="AA348">
        <v>1.7999999999999999E-2</v>
      </c>
      <c r="AB348">
        <v>0</v>
      </c>
      <c r="AC348">
        <v>0</v>
      </c>
      <c r="AD348">
        <v>1.3879999999999999</v>
      </c>
      <c r="AE348">
        <v>7.9610000000000003</v>
      </c>
      <c r="AF348">
        <v>0</v>
      </c>
      <c r="AG348">
        <v>5.0000000000000001E-3</v>
      </c>
      <c r="AH348">
        <v>392.62</v>
      </c>
      <c r="AI348" t="s">
        <v>22</v>
      </c>
      <c r="AJ348">
        <v>615</v>
      </c>
      <c r="AK348">
        <v>670</v>
      </c>
      <c r="AL348">
        <v>1030</v>
      </c>
      <c r="AM348">
        <v>5</v>
      </c>
      <c r="AN348">
        <v>0</v>
      </c>
      <c r="AO348">
        <v>0</v>
      </c>
      <c r="AP348">
        <v>67.5</v>
      </c>
      <c r="AQ348">
        <v>2.5</v>
      </c>
      <c r="AR348">
        <v>0</v>
      </c>
      <c r="AS348">
        <v>2.5</v>
      </c>
      <c r="AT348">
        <v>2392.5</v>
      </c>
      <c r="AU348" t="s">
        <v>35</v>
      </c>
    </row>
    <row r="349" spans="1:47" x14ac:dyDescent="0.2">
      <c r="A349">
        <v>1510</v>
      </c>
      <c r="B349" t="s">
        <v>571</v>
      </c>
      <c r="C349">
        <v>48</v>
      </c>
      <c r="D349" t="s">
        <v>179</v>
      </c>
      <c r="G349" t="str">
        <f t="shared" si="5"/>
        <v>SWL200648UTBS1</v>
      </c>
      <c r="H349">
        <v>64.991898000000006</v>
      </c>
      <c r="I349">
        <v>-169.135075</v>
      </c>
      <c r="J349" s="3">
        <v>20060714</v>
      </c>
      <c r="K349">
        <v>2006</v>
      </c>
      <c r="L349">
        <v>4.0759600000000002</v>
      </c>
      <c r="M349">
        <v>7.4183300000000001</v>
      </c>
      <c r="N349">
        <v>8.8435000000000006</v>
      </c>
      <c r="O349">
        <v>0</v>
      </c>
      <c r="P349">
        <v>0</v>
      </c>
      <c r="Q349">
        <v>0</v>
      </c>
      <c r="R349">
        <v>9.7170000000000006E-2</v>
      </c>
      <c r="S349">
        <v>7.5700000000000003E-3</v>
      </c>
      <c r="T349">
        <v>4.5569999999999999E-2</v>
      </c>
      <c r="U349">
        <v>0.11669</v>
      </c>
      <c r="V349">
        <v>20.604790000000001</v>
      </c>
      <c r="W349" t="s">
        <v>11</v>
      </c>
      <c r="X349">
        <v>57.11</v>
      </c>
      <c r="Y349">
        <v>306.49599999999998</v>
      </c>
      <c r="Z349">
        <v>129.79499999999999</v>
      </c>
      <c r="AA349">
        <v>0</v>
      </c>
      <c r="AB349">
        <v>0</v>
      </c>
      <c r="AC349">
        <v>0</v>
      </c>
      <c r="AD349">
        <v>1.593</v>
      </c>
      <c r="AE349">
        <v>0.54100000000000004</v>
      </c>
      <c r="AF349">
        <v>0.49</v>
      </c>
      <c r="AG349">
        <v>2.5310000000000001</v>
      </c>
      <c r="AH349">
        <v>498.55599999999998</v>
      </c>
      <c r="AI349" t="s">
        <v>22</v>
      </c>
      <c r="AJ349">
        <v>505</v>
      </c>
      <c r="AK349">
        <v>777.5</v>
      </c>
      <c r="AL349">
        <v>6457.5</v>
      </c>
      <c r="AM349">
        <v>0</v>
      </c>
      <c r="AN349">
        <v>0</v>
      </c>
      <c r="AO349">
        <v>0</v>
      </c>
      <c r="AP349">
        <v>2.5</v>
      </c>
      <c r="AQ349">
        <v>2.5</v>
      </c>
      <c r="AR349">
        <v>20</v>
      </c>
      <c r="AS349">
        <v>5</v>
      </c>
      <c r="AT349">
        <v>7770</v>
      </c>
      <c r="AU349" t="s">
        <v>35</v>
      </c>
    </row>
    <row r="350" spans="1:47" x14ac:dyDescent="0.2">
      <c r="A350">
        <v>1511</v>
      </c>
      <c r="B350" t="s">
        <v>571</v>
      </c>
      <c r="C350">
        <v>77</v>
      </c>
      <c r="D350" t="s">
        <v>559</v>
      </c>
      <c r="G350" t="str">
        <f t="shared" si="5"/>
        <v>SWL200677UTN1</v>
      </c>
      <c r="H350">
        <v>66.708316999999994</v>
      </c>
      <c r="I350">
        <v>-168.39997</v>
      </c>
      <c r="J350" s="3">
        <v>20060716</v>
      </c>
      <c r="K350">
        <v>2006</v>
      </c>
      <c r="L350">
        <v>1.6735100000000001</v>
      </c>
      <c r="M350">
        <v>0.24210000000000001</v>
      </c>
      <c r="N350">
        <v>3.4619999999999998E-2</v>
      </c>
      <c r="O350">
        <v>0</v>
      </c>
      <c r="P350">
        <v>3.4199999999999999E-3</v>
      </c>
      <c r="Q350">
        <v>16.334140000000001</v>
      </c>
      <c r="R350">
        <v>0.39185999999999999</v>
      </c>
      <c r="S350">
        <v>0</v>
      </c>
      <c r="T350">
        <v>0</v>
      </c>
      <c r="U350">
        <v>2.4564699999999999</v>
      </c>
      <c r="V350">
        <v>21.136119999999998</v>
      </c>
      <c r="W350" t="s">
        <v>14</v>
      </c>
      <c r="X350">
        <v>25.361999999999998</v>
      </c>
      <c r="Y350">
        <v>8.42</v>
      </c>
      <c r="Z350">
        <v>0.42399999999999999</v>
      </c>
      <c r="AA350">
        <v>0</v>
      </c>
      <c r="AB350">
        <v>0.24399999999999999</v>
      </c>
      <c r="AC350">
        <v>2041.768</v>
      </c>
      <c r="AD350">
        <v>6.4240000000000004</v>
      </c>
      <c r="AE350">
        <v>0</v>
      </c>
      <c r="AF350">
        <v>0</v>
      </c>
      <c r="AG350">
        <v>116.758</v>
      </c>
      <c r="AH350">
        <v>2199.4</v>
      </c>
      <c r="AI350" t="s">
        <v>26</v>
      </c>
      <c r="AJ350">
        <v>560</v>
      </c>
      <c r="AK350">
        <v>352.5</v>
      </c>
      <c r="AL350">
        <v>242.5</v>
      </c>
      <c r="AM350">
        <v>0</v>
      </c>
      <c r="AN350">
        <v>15</v>
      </c>
      <c r="AO350">
        <v>330</v>
      </c>
      <c r="AP350">
        <v>10</v>
      </c>
      <c r="AQ350">
        <v>0</v>
      </c>
      <c r="AR350">
        <v>0</v>
      </c>
      <c r="AS350">
        <v>22.5</v>
      </c>
      <c r="AT350">
        <v>1532.5</v>
      </c>
      <c r="AU350" t="s">
        <v>33</v>
      </c>
    </row>
    <row r="351" spans="1:47" x14ac:dyDescent="0.2">
      <c r="A351">
        <v>1512</v>
      </c>
      <c r="B351" t="s">
        <v>571</v>
      </c>
      <c r="C351">
        <v>78</v>
      </c>
      <c r="D351" t="s">
        <v>560</v>
      </c>
      <c r="G351" t="str">
        <f t="shared" si="5"/>
        <v>SWL200678UTN2</v>
      </c>
      <c r="H351">
        <v>67.050586999999993</v>
      </c>
      <c r="I351">
        <v>-168.72779700000001</v>
      </c>
      <c r="J351" s="3">
        <v>20060716</v>
      </c>
      <c r="K351">
        <v>2006</v>
      </c>
      <c r="L351">
        <v>4.1567499999999997</v>
      </c>
      <c r="M351">
        <v>4.6454599999999999</v>
      </c>
      <c r="N351">
        <v>7.6170000000000002E-2</v>
      </c>
      <c r="O351">
        <v>0</v>
      </c>
      <c r="P351">
        <v>7.8479999999999994E-2</v>
      </c>
      <c r="Q351">
        <v>0</v>
      </c>
      <c r="R351">
        <v>0.49691000000000002</v>
      </c>
      <c r="S351">
        <v>0</v>
      </c>
      <c r="T351">
        <v>0</v>
      </c>
      <c r="U351">
        <v>0</v>
      </c>
      <c r="V351">
        <v>9.4537700000000005</v>
      </c>
      <c r="W351" t="s">
        <v>10</v>
      </c>
      <c r="X351">
        <v>58.725999999999999</v>
      </c>
      <c r="Y351">
        <v>131.74600000000001</v>
      </c>
      <c r="Z351">
        <v>1.0489999999999999</v>
      </c>
      <c r="AA351">
        <v>0</v>
      </c>
      <c r="AB351">
        <v>5.6059999999999999</v>
      </c>
      <c r="AC351">
        <v>0</v>
      </c>
      <c r="AD351">
        <v>8.1460000000000008</v>
      </c>
      <c r="AE351">
        <v>0</v>
      </c>
      <c r="AF351">
        <v>0</v>
      </c>
      <c r="AG351">
        <v>0</v>
      </c>
      <c r="AH351">
        <v>205.273</v>
      </c>
      <c r="AI351" t="s">
        <v>22</v>
      </c>
      <c r="AJ351">
        <v>467.5</v>
      </c>
      <c r="AK351">
        <v>1790</v>
      </c>
      <c r="AL351">
        <v>682.5</v>
      </c>
      <c r="AM351">
        <v>0</v>
      </c>
      <c r="AN351">
        <v>17.5</v>
      </c>
      <c r="AO351">
        <v>0</v>
      </c>
      <c r="AP351">
        <v>15</v>
      </c>
      <c r="AQ351">
        <v>0</v>
      </c>
      <c r="AR351">
        <v>0</v>
      </c>
      <c r="AS351">
        <v>0</v>
      </c>
      <c r="AT351">
        <v>2972.5</v>
      </c>
      <c r="AU351" t="s">
        <v>34</v>
      </c>
    </row>
    <row r="352" spans="1:47" x14ac:dyDescent="0.2">
      <c r="A352">
        <v>1513</v>
      </c>
      <c r="B352" t="s">
        <v>571</v>
      </c>
      <c r="C352">
        <v>79</v>
      </c>
      <c r="D352" t="s">
        <v>561</v>
      </c>
      <c r="G352" t="str">
        <f t="shared" si="5"/>
        <v>SWL200679UTN3</v>
      </c>
      <c r="H352">
        <v>67.334652000000006</v>
      </c>
      <c r="I352">
        <v>-168.99221199999999</v>
      </c>
      <c r="J352" s="3">
        <v>20060716</v>
      </c>
      <c r="K352">
        <v>2006</v>
      </c>
      <c r="L352">
        <v>10.3194</v>
      </c>
      <c r="M352">
        <v>10.37186</v>
      </c>
      <c r="N352">
        <v>7.9912700000000001</v>
      </c>
      <c r="O352">
        <v>2.8490000000000001E-2</v>
      </c>
      <c r="P352">
        <v>4.1000000000000003E-3</v>
      </c>
      <c r="Q352">
        <v>0</v>
      </c>
      <c r="R352">
        <v>3.0414599999999998</v>
      </c>
      <c r="S352">
        <v>0</v>
      </c>
      <c r="T352">
        <v>0.36270000000000002</v>
      </c>
      <c r="U352">
        <v>0.39123999999999998</v>
      </c>
      <c r="V352">
        <v>32.51052</v>
      </c>
      <c r="W352" t="s">
        <v>10</v>
      </c>
      <c r="X352">
        <v>152.732</v>
      </c>
      <c r="Y352">
        <v>284.19900000000001</v>
      </c>
      <c r="Z352">
        <v>95.873999999999995</v>
      </c>
      <c r="AA352">
        <v>0.63300000000000001</v>
      </c>
      <c r="AB352">
        <v>0.29299999999999998</v>
      </c>
      <c r="AC352">
        <v>0</v>
      </c>
      <c r="AD352">
        <v>49.86</v>
      </c>
      <c r="AE352">
        <v>0</v>
      </c>
      <c r="AF352">
        <v>3.9</v>
      </c>
      <c r="AG352">
        <v>18.527000000000001</v>
      </c>
      <c r="AH352">
        <v>606.01800000000003</v>
      </c>
      <c r="AI352" t="s">
        <v>22</v>
      </c>
      <c r="AJ352">
        <v>2700</v>
      </c>
      <c r="AK352">
        <v>1495</v>
      </c>
      <c r="AL352">
        <v>14135</v>
      </c>
      <c r="AM352">
        <v>7.5</v>
      </c>
      <c r="AN352">
        <v>7.5</v>
      </c>
      <c r="AO352">
        <v>0</v>
      </c>
      <c r="AP352">
        <v>87.5</v>
      </c>
      <c r="AQ352">
        <v>0</v>
      </c>
      <c r="AR352">
        <v>35</v>
      </c>
      <c r="AS352">
        <v>315</v>
      </c>
      <c r="AT352">
        <v>18782.5</v>
      </c>
      <c r="AU352" t="s">
        <v>35</v>
      </c>
    </row>
    <row r="353" spans="1:47" x14ac:dyDescent="0.2">
      <c r="A353">
        <v>1514</v>
      </c>
      <c r="B353" t="s">
        <v>571</v>
      </c>
      <c r="C353">
        <v>80</v>
      </c>
      <c r="D353" t="s">
        <v>562</v>
      </c>
      <c r="G353" t="str">
        <f t="shared" si="5"/>
        <v>SWL200680UTN4</v>
      </c>
      <c r="H353">
        <v>67.501801999999998</v>
      </c>
      <c r="I353">
        <v>-168.90914799999999</v>
      </c>
      <c r="J353" s="3">
        <v>20060716</v>
      </c>
      <c r="K353">
        <v>2006</v>
      </c>
      <c r="L353">
        <v>5.5583</v>
      </c>
      <c r="M353">
        <v>15.98884</v>
      </c>
      <c r="N353">
        <v>8.1712299999999995</v>
      </c>
      <c r="O353">
        <v>5.4000000000000001E-4</v>
      </c>
      <c r="P353">
        <v>2.0000000000000001E-4</v>
      </c>
      <c r="Q353">
        <v>0</v>
      </c>
      <c r="R353">
        <v>1.1710199999999999</v>
      </c>
      <c r="S353">
        <v>0</v>
      </c>
      <c r="T353">
        <v>3.227E-2</v>
      </c>
      <c r="U353">
        <v>1.8600300000000001</v>
      </c>
      <c r="V353">
        <v>32.782429999999998</v>
      </c>
      <c r="W353" t="s">
        <v>10</v>
      </c>
      <c r="X353">
        <v>87.474999999999994</v>
      </c>
      <c r="Y353">
        <v>448.7</v>
      </c>
      <c r="Z353">
        <v>90.956000000000003</v>
      </c>
      <c r="AA353">
        <v>1.2E-2</v>
      </c>
      <c r="AB353">
        <v>1.4E-2</v>
      </c>
      <c r="AC353">
        <v>0</v>
      </c>
      <c r="AD353">
        <v>19.196999999999999</v>
      </c>
      <c r="AE353">
        <v>0</v>
      </c>
      <c r="AF353">
        <v>0.34699999999999998</v>
      </c>
      <c r="AG353">
        <v>40.488</v>
      </c>
      <c r="AH353">
        <v>687.18899999999996</v>
      </c>
      <c r="AI353" t="s">
        <v>22</v>
      </c>
      <c r="AJ353">
        <v>2170</v>
      </c>
      <c r="AK353">
        <v>1010</v>
      </c>
      <c r="AL353">
        <v>14070</v>
      </c>
      <c r="AM353">
        <v>2.5</v>
      </c>
      <c r="AN353">
        <v>7.5</v>
      </c>
      <c r="AO353">
        <v>0</v>
      </c>
      <c r="AP353">
        <v>25</v>
      </c>
      <c r="AQ353">
        <v>0</v>
      </c>
      <c r="AR353">
        <v>17.5</v>
      </c>
      <c r="AS353">
        <v>105</v>
      </c>
      <c r="AT353">
        <v>17407.5</v>
      </c>
      <c r="AU353" t="s">
        <v>35</v>
      </c>
    </row>
    <row r="354" spans="1:47" x14ac:dyDescent="0.2">
      <c r="A354">
        <v>1515</v>
      </c>
      <c r="B354" t="s">
        <v>571</v>
      </c>
      <c r="C354">
        <v>81</v>
      </c>
      <c r="D354" t="s">
        <v>306</v>
      </c>
      <c r="G354" t="str">
        <f t="shared" si="5"/>
        <v>SWL200681UTN5=SEC1</v>
      </c>
      <c r="H354">
        <v>67.670552999999998</v>
      </c>
      <c r="I354">
        <v>-168.95674299999999</v>
      </c>
      <c r="J354" s="3">
        <v>20060716</v>
      </c>
      <c r="K354">
        <v>2006</v>
      </c>
      <c r="L354">
        <v>3.5662099999999999</v>
      </c>
      <c r="M354">
        <v>63.282789999999999</v>
      </c>
      <c r="N354">
        <v>3.7387000000000001</v>
      </c>
      <c r="O354">
        <v>2.16E-3</v>
      </c>
      <c r="P354">
        <v>3.2399999999999998E-2</v>
      </c>
      <c r="Q354">
        <v>0</v>
      </c>
      <c r="R354">
        <v>1.8235300000000001</v>
      </c>
      <c r="S354">
        <v>0</v>
      </c>
      <c r="T354">
        <v>0.53149999999999997</v>
      </c>
      <c r="U354">
        <v>2.4912800000000002</v>
      </c>
      <c r="V354">
        <v>75.46857</v>
      </c>
      <c r="W354" t="s">
        <v>10</v>
      </c>
      <c r="X354">
        <v>57.55</v>
      </c>
      <c r="Y354">
        <v>1786.7449999999999</v>
      </c>
      <c r="Z354">
        <v>43.351999999999997</v>
      </c>
      <c r="AA354">
        <v>4.8000000000000001E-2</v>
      </c>
      <c r="AB354">
        <v>2.3140000000000001</v>
      </c>
      <c r="AC354">
        <v>0</v>
      </c>
      <c r="AD354">
        <v>29.893999999999998</v>
      </c>
      <c r="AE354">
        <v>0</v>
      </c>
      <c r="AF354">
        <v>5.7149999999999999</v>
      </c>
      <c r="AG354">
        <v>54.189</v>
      </c>
      <c r="AH354">
        <v>1979.807</v>
      </c>
      <c r="AI354" t="s">
        <v>22</v>
      </c>
      <c r="AJ354">
        <v>2950</v>
      </c>
      <c r="AK354">
        <v>2205</v>
      </c>
      <c r="AL354">
        <v>8327.5</v>
      </c>
      <c r="AM354">
        <v>2.5</v>
      </c>
      <c r="AN354">
        <v>12.5</v>
      </c>
      <c r="AO354">
        <v>0</v>
      </c>
      <c r="AP354">
        <v>62.5</v>
      </c>
      <c r="AQ354">
        <v>0</v>
      </c>
      <c r="AR354">
        <v>37.5</v>
      </c>
      <c r="AS354">
        <v>152.5</v>
      </c>
      <c r="AT354">
        <v>13750</v>
      </c>
      <c r="AU354" t="s">
        <v>35</v>
      </c>
    </row>
    <row r="355" spans="1:47" x14ac:dyDescent="0.2">
      <c r="A355">
        <v>1516</v>
      </c>
      <c r="B355" t="s">
        <v>571</v>
      </c>
      <c r="C355">
        <v>82</v>
      </c>
      <c r="D355" t="s">
        <v>563</v>
      </c>
      <c r="G355" t="str">
        <f t="shared" si="5"/>
        <v>SWL200682UTN6</v>
      </c>
      <c r="H355">
        <v>67.735892000000007</v>
      </c>
      <c r="I355">
        <v>-168.44040000000001</v>
      </c>
      <c r="J355" s="3">
        <v>20060716</v>
      </c>
      <c r="K355">
        <v>2006</v>
      </c>
      <c r="L355">
        <v>5.2751299999999999</v>
      </c>
      <c r="M355">
        <v>15.86492</v>
      </c>
      <c r="N355">
        <v>5.7588400000000002</v>
      </c>
      <c r="O355">
        <v>1.08E-3</v>
      </c>
      <c r="P355">
        <v>6.9999999999999994E-5</v>
      </c>
      <c r="Q355">
        <v>0</v>
      </c>
      <c r="R355">
        <v>1.91601</v>
      </c>
      <c r="S355">
        <v>0</v>
      </c>
      <c r="T355">
        <v>5.4960000000000002E-2</v>
      </c>
      <c r="U355">
        <v>0.77051000000000003</v>
      </c>
      <c r="V355">
        <v>29.64152</v>
      </c>
      <c r="W355" t="s">
        <v>10</v>
      </c>
      <c r="X355">
        <v>78.691999999999993</v>
      </c>
      <c r="Y355">
        <v>439.899</v>
      </c>
      <c r="Z355">
        <v>65.942999999999998</v>
      </c>
      <c r="AA355">
        <v>2.4E-2</v>
      </c>
      <c r="AB355">
        <v>5.0000000000000001E-3</v>
      </c>
      <c r="AC355">
        <v>0</v>
      </c>
      <c r="AD355">
        <v>31.41</v>
      </c>
      <c r="AE355">
        <v>0</v>
      </c>
      <c r="AF355">
        <v>0.59099999999999997</v>
      </c>
      <c r="AG355">
        <v>18.751999999999999</v>
      </c>
      <c r="AH355">
        <v>635.31600000000003</v>
      </c>
      <c r="AI355" t="s">
        <v>22</v>
      </c>
      <c r="AJ355">
        <v>1597.5</v>
      </c>
      <c r="AK355">
        <v>790</v>
      </c>
      <c r="AL355">
        <v>11520</v>
      </c>
      <c r="AM355">
        <v>2.5</v>
      </c>
      <c r="AN355">
        <v>7.5</v>
      </c>
      <c r="AO355">
        <v>0</v>
      </c>
      <c r="AP355">
        <v>35</v>
      </c>
      <c r="AQ355">
        <v>0</v>
      </c>
      <c r="AR355">
        <v>5</v>
      </c>
      <c r="AS355">
        <v>130</v>
      </c>
      <c r="AT355">
        <v>14087.5</v>
      </c>
      <c r="AU355" t="s">
        <v>35</v>
      </c>
    </row>
    <row r="356" spans="1:47" x14ac:dyDescent="0.2">
      <c r="A356">
        <v>1517</v>
      </c>
      <c r="B356" t="s">
        <v>571</v>
      </c>
      <c r="C356">
        <v>83</v>
      </c>
      <c r="D356" t="s">
        <v>564</v>
      </c>
      <c r="G356" t="str">
        <f t="shared" si="5"/>
        <v>SWL200683UTN7</v>
      </c>
      <c r="H356">
        <v>68.000232999999994</v>
      </c>
      <c r="I356">
        <v>-168.935248</v>
      </c>
      <c r="J356" s="3">
        <v>20060717</v>
      </c>
      <c r="K356">
        <v>2006</v>
      </c>
      <c r="L356">
        <v>0.98997000000000002</v>
      </c>
      <c r="M356">
        <v>9.1953600000000009</v>
      </c>
      <c r="N356">
        <v>3.11253</v>
      </c>
      <c r="O356">
        <v>0</v>
      </c>
      <c r="P356">
        <v>4.0000000000000003E-5</v>
      </c>
      <c r="Q356">
        <v>0</v>
      </c>
      <c r="R356">
        <v>1.1192899999999999</v>
      </c>
      <c r="S356">
        <v>0</v>
      </c>
      <c r="T356">
        <v>0</v>
      </c>
      <c r="U356">
        <v>1.7278500000000001</v>
      </c>
      <c r="V356">
        <v>16.145040000000002</v>
      </c>
      <c r="W356" t="s">
        <v>10</v>
      </c>
      <c r="X356">
        <v>13.968</v>
      </c>
      <c r="Y356">
        <v>251.72499999999999</v>
      </c>
      <c r="Z356">
        <v>34.552</v>
      </c>
      <c r="AA356">
        <v>0</v>
      </c>
      <c r="AB356">
        <v>3.0000000000000001E-3</v>
      </c>
      <c r="AC356">
        <v>0</v>
      </c>
      <c r="AD356">
        <v>18.349</v>
      </c>
      <c r="AE356">
        <v>0</v>
      </c>
      <c r="AF356">
        <v>0</v>
      </c>
      <c r="AG356">
        <v>34.156999999999996</v>
      </c>
      <c r="AH356">
        <v>352.75400000000002</v>
      </c>
      <c r="AI356" t="s">
        <v>22</v>
      </c>
      <c r="AJ356">
        <v>210</v>
      </c>
      <c r="AK356">
        <v>262.5</v>
      </c>
      <c r="AL356">
        <v>3660</v>
      </c>
      <c r="AM356">
        <v>0</v>
      </c>
      <c r="AN356">
        <v>7.5</v>
      </c>
      <c r="AO356">
        <v>0</v>
      </c>
      <c r="AP356">
        <v>12.5</v>
      </c>
      <c r="AQ356">
        <v>0</v>
      </c>
      <c r="AR356">
        <v>0</v>
      </c>
      <c r="AS356">
        <v>25</v>
      </c>
      <c r="AT356">
        <v>4177.5</v>
      </c>
      <c r="AU356" t="s">
        <v>35</v>
      </c>
    </row>
    <row r="357" spans="1:47" x14ac:dyDescent="0.2">
      <c r="A357">
        <v>375</v>
      </c>
      <c r="B357" t="s">
        <v>310</v>
      </c>
      <c r="C357">
        <v>1</v>
      </c>
      <c r="D357" t="s">
        <v>228</v>
      </c>
      <c r="G357" t="str">
        <f t="shared" si="5"/>
        <v>HLY07021NEC5</v>
      </c>
      <c r="H357">
        <v>61.388979999999997</v>
      </c>
      <c r="I357">
        <v>-171.95099999999999</v>
      </c>
      <c r="J357" s="3">
        <v>20070518</v>
      </c>
      <c r="K357">
        <v>2007</v>
      </c>
      <c r="L357">
        <v>2.52895</v>
      </c>
      <c r="M357">
        <v>3.4420000000000002</v>
      </c>
      <c r="N357">
        <v>1.3522700000000001</v>
      </c>
      <c r="O357">
        <v>0</v>
      </c>
      <c r="P357">
        <v>2.5000000000000001E-4</v>
      </c>
      <c r="Q357">
        <v>0</v>
      </c>
      <c r="R357">
        <v>5.1900000000000002E-3</v>
      </c>
      <c r="S357">
        <v>0</v>
      </c>
      <c r="T357">
        <v>4.0000000000000001E-3</v>
      </c>
      <c r="U357">
        <v>1.2279999999999999E-2</v>
      </c>
      <c r="V357">
        <v>7.3449400000000002</v>
      </c>
      <c r="W357" t="s">
        <v>10</v>
      </c>
      <c r="X357">
        <v>37.896000000000001</v>
      </c>
      <c r="Y357">
        <v>138.04300000000001</v>
      </c>
      <c r="Z357">
        <v>18.236000000000001</v>
      </c>
      <c r="AA357">
        <v>0</v>
      </c>
      <c r="AB357">
        <v>1.7999999999999999E-2</v>
      </c>
      <c r="AC357">
        <v>0</v>
      </c>
      <c r="AD357">
        <v>8.5000000000000006E-2</v>
      </c>
      <c r="AE357">
        <v>0</v>
      </c>
      <c r="AF357">
        <v>4.2999999999999997E-2</v>
      </c>
      <c r="AG357">
        <v>0.27800000000000002</v>
      </c>
      <c r="AH357">
        <v>194.59899999999999</v>
      </c>
      <c r="AI357" t="s">
        <v>22</v>
      </c>
      <c r="AJ357">
        <v>1135</v>
      </c>
      <c r="AK357">
        <v>595</v>
      </c>
      <c r="AL357">
        <v>872.5</v>
      </c>
      <c r="AM357">
        <v>0</v>
      </c>
      <c r="AN357">
        <v>15</v>
      </c>
      <c r="AO357">
        <v>0</v>
      </c>
      <c r="AP357">
        <v>0</v>
      </c>
      <c r="AQ357">
        <v>0</v>
      </c>
      <c r="AR357">
        <v>2.5</v>
      </c>
      <c r="AS357">
        <v>32.5</v>
      </c>
      <c r="AT357">
        <v>2652.5</v>
      </c>
      <c r="AU357" t="s">
        <v>33</v>
      </c>
    </row>
    <row r="358" spans="1:47" x14ac:dyDescent="0.2">
      <c r="A358">
        <v>376</v>
      </c>
      <c r="B358" t="s">
        <v>310</v>
      </c>
      <c r="C358">
        <v>10</v>
      </c>
      <c r="D358" t="s">
        <v>308</v>
      </c>
      <c r="G358" t="str">
        <f t="shared" si="5"/>
        <v>HLY070210NWC4A</v>
      </c>
      <c r="H358">
        <v>62.559130000000003</v>
      </c>
      <c r="I358">
        <v>-174.18</v>
      </c>
      <c r="J358" s="3">
        <v>20070520</v>
      </c>
      <c r="K358">
        <v>2007</v>
      </c>
      <c r="L358">
        <v>5.4235100000000003</v>
      </c>
      <c r="M358">
        <v>10.9956</v>
      </c>
      <c r="N358">
        <v>0.21373</v>
      </c>
      <c r="O358">
        <v>1.3999999999999999E-4</v>
      </c>
      <c r="P358">
        <v>0.90964</v>
      </c>
      <c r="Q358">
        <v>0</v>
      </c>
      <c r="R358">
        <v>0</v>
      </c>
      <c r="S358">
        <v>0.18864</v>
      </c>
      <c r="T358">
        <v>4.0000000000000001E-3</v>
      </c>
      <c r="U358">
        <v>0.48233999999999999</v>
      </c>
      <c r="V358">
        <v>18.217600000000001</v>
      </c>
      <c r="W358" t="s">
        <v>10</v>
      </c>
      <c r="X358">
        <v>76.037000000000006</v>
      </c>
      <c r="Y358">
        <v>294.291</v>
      </c>
      <c r="Z358">
        <v>2.6349999999999998</v>
      </c>
      <c r="AA358">
        <v>3.0000000000000001E-3</v>
      </c>
      <c r="AB358">
        <v>64.974000000000004</v>
      </c>
      <c r="AC358">
        <v>0</v>
      </c>
      <c r="AD358">
        <v>0</v>
      </c>
      <c r="AE358">
        <v>13.474</v>
      </c>
      <c r="AF358">
        <v>4.2999999999999997E-2</v>
      </c>
      <c r="AG358">
        <v>10.654999999999999</v>
      </c>
      <c r="AH358">
        <v>462.11200000000002</v>
      </c>
      <c r="AI358" t="s">
        <v>22</v>
      </c>
      <c r="AJ358">
        <v>710</v>
      </c>
      <c r="AK358">
        <v>762.5</v>
      </c>
      <c r="AL358">
        <v>205</v>
      </c>
      <c r="AM358">
        <v>5</v>
      </c>
      <c r="AN358">
        <v>95</v>
      </c>
      <c r="AO358">
        <v>0</v>
      </c>
      <c r="AP358">
        <v>0</v>
      </c>
      <c r="AQ358">
        <v>2.5</v>
      </c>
      <c r="AR358">
        <v>7.5</v>
      </c>
      <c r="AS358">
        <v>112.5</v>
      </c>
      <c r="AT358">
        <v>1900</v>
      </c>
      <c r="AU358" t="s">
        <v>34</v>
      </c>
    </row>
    <row r="359" spans="1:47" x14ac:dyDescent="0.2">
      <c r="A359">
        <v>377</v>
      </c>
      <c r="B359" t="s">
        <v>310</v>
      </c>
      <c r="C359">
        <v>103</v>
      </c>
      <c r="D359" t="s">
        <v>304</v>
      </c>
      <c r="G359" t="str">
        <f t="shared" si="5"/>
        <v>HLY0702103SPH1</v>
      </c>
      <c r="H359">
        <v>63.500889999999998</v>
      </c>
      <c r="I359">
        <v>-168.31200000000001</v>
      </c>
      <c r="J359" s="3">
        <v>20070605</v>
      </c>
      <c r="K359">
        <v>2007</v>
      </c>
      <c r="L359">
        <v>2.9850699999999999</v>
      </c>
      <c r="M359">
        <v>3.9293</v>
      </c>
      <c r="N359">
        <v>0.51182000000000005</v>
      </c>
      <c r="O359">
        <v>0.84965000000000002</v>
      </c>
      <c r="P359">
        <v>0</v>
      </c>
      <c r="Q359">
        <v>2.5000000000000001E-4</v>
      </c>
      <c r="R359">
        <v>0</v>
      </c>
      <c r="S359">
        <v>2.7403599999999999</v>
      </c>
      <c r="T359">
        <v>0</v>
      </c>
      <c r="U359">
        <v>7.3200000000000001E-3</v>
      </c>
      <c r="V359">
        <v>11.023770000000001</v>
      </c>
      <c r="W359" t="s">
        <v>10</v>
      </c>
      <c r="X359">
        <v>41.158000000000001</v>
      </c>
      <c r="Y359">
        <v>101.934</v>
      </c>
      <c r="Z359">
        <v>6.806</v>
      </c>
      <c r="AA359">
        <v>18.881</v>
      </c>
      <c r="AB359">
        <v>0</v>
      </c>
      <c r="AC359">
        <v>2.3E-2</v>
      </c>
      <c r="AD359">
        <v>0</v>
      </c>
      <c r="AE359">
        <v>195.74</v>
      </c>
      <c r="AF359">
        <v>0</v>
      </c>
      <c r="AG359">
        <v>0.11799999999999999</v>
      </c>
      <c r="AH359">
        <v>364.66</v>
      </c>
      <c r="AI359" t="s">
        <v>28</v>
      </c>
      <c r="AJ359">
        <v>830</v>
      </c>
      <c r="AK359">
        <v>2430</v>
      </c>
      <c r="AL359">
        <v>2950</v>
      </c>
      <c r="AM359">
        <v>40</v>
      </c>
      <c r="AN359">
        <v>0</v>
      </c>
      <c r="AO359">
        <v>10</v>
      </c>
      <c r="AP359">
        <v>0</v>
      </c>
      <c r="AQ359">
        <v>120</v>
      </c>
      <c r="AR359">
        <v>0</v>
      </c>
      <c r="AS359">
        <v>60</v>
      </c>
      <c r="AT359">
        <v>6440</v>
      </c>
      <c r="AU359" t="s">
        <v>35</v>
      </c>
    </row>
    <row r="360" spans="1:47" x14ac:dyDescent="0.2">
      <c r="A360">
        <v>378</v>
      </c>
      <c r="B360" t="s">
        <v>310</v>
      </c>
      <c r="C360">
        <v>104</v>
      </c>
      <c r="D360" t="s">
        <v>311</v>
      </c>
      <c r="G360" t="str">
        <f t="shared" si="5"/>
        <v>HLY0702104NSL4</v>
      </c>
      <c r="H360">
        <v>63.795400000000001</v>
      </c>
      <c r="I360">
        <v>-168.733</v>
      </c>
      <c r="J360" s="3">
        <v>20070605</v>
      </c>
      <c r="K360">
        <v>2007</v>
      </c>
      <c r="L360">
        <v>0.56452000000000002</v>
      </c>
      <c r="M360">
        <v>1.5185500000000001</v>
      </c>
      <c r="N360">
        <v>0.12206</v>
      </c>
      <c r="O360">
        <v>0</v>
      </c>
      <c r="P360">
        <v>0</v>
      </c>
      <c r="Q360">
        <v>1.2999999999999999E-4</v>
      </c>
      <c r="R360">
        <v>0</v>
      </c>
      <c r="S360">
        <v>8.8900000000000003E-3</v>
      </c>
      <c r="T360">
        <v>0</v>
      </c>
      <c r="U360">
        <v>0.14856</v>
      </c>
      <c r="V360">
        <v>2.3627099999999999</v>
      </c>
      <c r="W360" t="s">
        <v>10</v>
      </c>
      <c r="X360">
        <v>8.577</v>
      </c>
      <c r="Y360">
        <v>33.542000000000002</v>
      </c>
      <c r="Z360">
        <v>1.7330000000000001</v>
      </c>
      <c r="AA360">
        <v>0</v>
      </c>
      <c r="AB360">
        <v>0</v>
      </c>
      <c r="AC360">
        <v>1.2E-2</v>
      </c>
      <c r="AD360">
        <v>0</v>
      </c>
      <c r="AE360">
        <v>0.63500000000000001</v>
      </c>
      <c r="AF360">
        <v>0</v>
      </c>
      <c r="AG360">
        <v>2.3959999999999999</v>
      </c>
      <c r="AH360">
        <v>46.895000000000003</v>
      </c>
      <c r="AI360" t="s">
        <v>22</v>
      </c>
      <c r="AJ360">
        <v>710</v>
      </c>
      <c r="AK360">
        <v>1030</v>
      </c>
      <c r="AL360">
        <v>1010</v>
      </c>
      <c r="AM360">
        <v>0</v>
      </c>
      <c r="AN360">
        <v>0</v>
      </c>
      <c r="AO360">
        <v>20</v>
      </c>
      <c r="AP360">
        <v>0</v>
      </c>
      <c r="AQ360">
        <v>10</v>
      </c>
      <c r="AR360">
        <v>0</v>
      </c>
      <c r="AS360">
        <v>80</v>
      </c>
      <c r="AT360">
        <v>2860</v>
      </c>
      <c r="AU360" t="s">
        <v>34</v>
      </c>
    </row>
    <row r="361" spans="1:47" x14ac:dyDescent="0.2">
      <c r="A361">
        <v>379</v>
      </c>
      <c r="B361" t="s">
        <v>310</v>
      </c>
      <c r="C361">
        <v>105</v>
      </c>
      <c r="D361" t="s">
        <v>312</v>
      </c>
      <c r="G361" t="str">
        <f t="shared" si="5"/>
        <v>HLY0702105NSL3</v>
      </c>
      <c r="H361">
        <v>63.863410000000002</v>
      </c>
      <c r="I361">
        <v>-169.48400000000001</v>
      </c>
      <c r="J361" s="3">
        <v>20070605</v>
      </c>
      <c r="K361">
        <v>2007</v>
      </c>
      <c r="L361">
        <v>0.33001000000000003</v>
      </c>
      <c r="M361">
        <v>0.19844000000000001</v>
      </c>
      <c r="N361">
        <v>0.23436000000000001</v>
      </c>
      <c r="O361">
        <v>0</v>
      </c>
      <c r="P361">
        <v>0</v>
      </c>
      <c r="Q361">
        <v>0</v>
      </c>
      <c r="R361">
        <v>2.5000000000000001E-3</v>
      </c>
      <c r="S361">
        <v>0</v>
      </c>
      <c r="T361">
        <v>0</v>
      </c>
      <c r="U361">
        <v>4.4999999999999999E-4</v>
      </c>
      <c r="V361">
        <v>0.76576</v>
      </c>
      <c r="W361" t="s">
        <v>9</v>
      </c>
      <c r="X361">
        <v>5.0949999999999998</v>
      </c>
      <c r="Y361">
        <v>10.061</v>
      </c>
      <c r="Z361">
        <v>3.39</v>
      </c>
      <c r="AA361">
        <v>0</v>
      </c>
      <c r="AB361">
        <v>0</v>
      </c>
      <c r="AC361">
        <v>0</v>
      </c>
      <c r="AD361">
        <v>4.1000000000000002E-2</v>
      </c>
      <c r="AE361">
        <v>0</v>
      </c>
      <c r="AF361">
        <v>0</v>
      </c>
      <c r="AG361">
        <v>1.4999999999999999E-2</v>
      </c>
      <c r="AH361">
        <v>18.602</v>
      </c>
      <c r="AI361" t="s">
        <v>22</v>
      </c>
      <c r="AJ361">
        <v>720</v>
      </c>
      <c r="AK361">
        <v>420</v>
      </c>
      <c r="AL361">
        <v>3130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10</v>
      </c>
      <c r="AT361">
        <v>4280</v>
      </c>
      <c r="AU361" t="s">
        <v>35</v>
      </c>
    </row>
    <row r="362" spans="1:47" x14ac:dyDescent="0.2">
      <c r="A362">
        <v>380</v>
      </c>
      <c r="B362" t="s">
        <v>310</v>
      </c>
      <c r="C362">
        <v>107</v>
      </c>
      <c r="D362" t="s">
        <v>313</v>
      </c>
      <c r="G362" t="str">
        <f t="shared" si="5"/>
        <v>HLY0702107NSL1</v>
      </c>
      <c r="H362">
        <v>63.979019999999998</v>
      </c>
      <c r="I362">
        <v>-171.006</v>
      </c>
      <c r="J362" s="3">
        <v>20070605</v>
      </c>
      <c r="K362">
        <v>2007</v>
      </c>
      <c r="L362">
        <v>1.44868</v>
      </c>
      <c r="M362">
        <v>0.23116999999999999</v>
      </c>
      <c r="N362">
        <v>1.1610000000000001E-2</v>
      </c>
      <c r="O362">
        <v>0</v>
      </c>
      <c r="P362">
        <v>0</v>
      </c>
      <c r="Q362">
        <v>1.22838</v>
      </c>
      <c r="R362">
        <v>6.0000000000000002E-5</v>
      </c>
      <c r="S362">
        <v>0</v>
      </c>
      <c r="T362">
        <v>0</v>
      </c>
      <c r="U362">
        <v>0</v>
      </c>
      <c r="V362">
        <v>2.9199000000000002</v>
      </c>
      <c r="W362" t="s">
        <v>9</v>
      </c>
      <c r="X362">
        <v>20.869</v>
      </c>
      <c r="Y362">
        <v>8.1340000000000003</v>
      </c>
      <c r="Z362">
        <v>0.16600000000000001</v>
      </c>
      <c r="AA362">
        <v>0</v>
      </c>
      <c r="AB362">
        <v>0</v>
      </c>
      <c r="AC362">
        <v>153.547</v>
      </c>
      <c r="AD362">
        <v>1E-3</v>
      </c>
      <c r="AE362">
        <v>0</v>
      </c>
      <c r="AF362">
        <v>0</v>
      </c>
      <c r="AG362">
        <v>0</v>
      </c>
      <c r="AH362">
        <v>182.71700000000001</v>
      </c>
      <c r="AI362" t="s">
        <v>26</v>
      </c>
      <c r="AJ362">
        <v>400</v>
      </c>
      <c r="AK362">
        <v>90</v>
      </c>
      <c r="AL362">
        <v>350</v>
      </c>
      <c r="AM362">
        <v>0</v>
      </c>
      <c r="AN362">
        <v>0</v>
      </c>
      <c r="AO362">
        <v>10</v>
      </c>
      <c r="AP362">
        <v>0</v>
      </c>
      <c r="AQ362">
        <v>0</v>
      </c>
      <c r="AR362">
        <v>0</v>
      </c>
      <c r="AS362">
        <v>0</v>
      </c>
      <c r="AT362">
        <v>850</v>
      </c>
      <c r="AU362" t="s">
        <v>33</v>
      </c>
    </row>
    <row r="363" spans="1:47" x14ac:dyDescent="0.2">
      <c r="A363">
        <v>381</v>
      </c>
      <c r="B363" t="s">
        <v>310</v>
      </c>
      <c r="C363">
        <v>108</v>
      </c>
      <c r="D363" t="s">
        <v>314</v>
      </c>
      <c r="G363" t="str">
        <f t="shared" si="5"/>
        <v>HLY0702108DLN0A</v>
      </c>
      <c r="H363">
        <v>64.031009999999995</v>
      </c>
      <c r="I363">
        <v>-172.1</v>
      </c>
      <c r="J363" s="3">
        <v>20070606</v>
      </c>
      <c r="K363">
        <v>2007</v>
      </c>
      <c r="L363">
        <v>0.42786999999999997</v>
      </c>
      <c r="M363">
        <v>0</v>
      </c>
      <c r="N363">
        <v>1.8610000000000002E-2</v>
      </c>
      <c r="O363">
        <v>0</v>
      </c>
      <c r="P363">
        <v>1.6420000000000001E-2</v>
      </c>
      <c r="Q363">
        <v>3.35256</v>
      </c>
      <c r="R363">
        <v>0</v>
      </c>
      <c r="S363">
        <v>0</v>
      </c>
      <c r="T363">
        <v>0</v>
      </c>
      <c r="U363">
        <v>5.6699999999999997E-3</v>
      </c>
      <c r="V363">
        <v>3.8211300000000001</v>
      </c>
      <c r="W363" t="s">
        <v>14</v>
      </c>
      <c r="X363">
        <v>6.2539999999999996</v>
      </c>
      <c r="Y363">
        <v>0</v>
      </c>
      <c r="Z363">
        <v>0.23799999999999999</v>
      </c>
      <c r="AA363">
        <v>0</v>
      </c>
      <c r="AB363">
        <v>1.173</v>
      </c>
      <c r="AC363">
        <v>304.77800000000002</v>
      </c>
      <c r="AD363">
        <v>0</v>
      </c>
      <c r="AE363">
        <v>0</v>
      </c>
      <c r="AF363">
        <v>0</v>
      </c>
      <c r="AG363">
        <v>0.56699999999999995</v>
      </c>
      <c r="AH363">
        <v>313.01</v>
      </c>
      <c r="AI363" t="s">
        <v>26</v>
      </c>
      <c r="AJ363">
        <v>60</v>
      </c>
      <c r="AK363">
        <v>0</v>
      </c>
      <c r="AL363">
        <v>70</v>
      </c>
      <c r="AM363">
        <v>0</v>
      </c>
      <c r="AN363">
        <v>20</v>
      </c>
      <c r="AO363">
        <v>20</v>
      </c>
      <c r="AP363">
        <v>0</v>
      </c>
      <c r="AQ363">
        <v>0</v>
      </c>
      <c r="AR363">
        <v>0</v>
      </c>
      <c r="AS363">
        <v>0</v>
      </c>
      <c r="AT363">
        <v>170</v>
      </c>
      <c r="AU363" t="s">
        <v>35</v>
      </c>
    </row>
    <row r="364" spans="1:47" x14ac:dyDescent="0.2">
      <c r="A364">
        <v>382</v>
      </c>
      <c r="B364" t="s">
        <v>310</v>
      </c>
      <c r="C364">
        <v>11</v>
      </c>
      <c r="D364" t="s">
        <v>229</v>
      </c>
      <c r="G364" t="str">
        <f t="shared" si="5"/>
        <v>HLY070211VNG3</v>
      </c>
      <c r="H364">
        <v>62.547829999999998</v>
      </c>
      <c r="I364">
        <v>-173.83500000000001</v>
      </c>
      <c r="J364" s="3">
        <v>20070520</v>
      </c>
      <c r="K364">
        <v>2007</v>
      </c>
      <c r="L364">
        <v>2.0290599999999999</v>
      </c>
      <c r="M364">
        <v>12.64574</v>
      </c>
      <c r="N364">
        <v>0.30114999999999997</v>
      </c>
      <c r="O364">
        <v>3.7399999999999998E-3</v>
      </c>
      <c r="P364">
        <v>0.4451</v>
      </c>
      <c r="Q364">
        <v>0</v>
      </c>
      <c r="R364">
        <v>0</v>
      </c>
      <c r="S364">
        <v>0</v>
      </c>
      <c r="T364">
        <v>1.32609</v>
      </c>
      <c r="U364">
        <v>0.10199999999999999</v>
      </c>
      <c r="V364">
        <v>16.852879999999999</v>
      </c>
      <c r="W364" t="s">
        <v>10</v>
      </c>
      <c r="X364">
        <v>31.018000000000001</v>
      </c>
      <c r="Y364">
        <v>343.30399999999997</v>
      </c>
      <c r="Z364">
        <v>3.8650000000000002</v>
      </c>
      <c r="AA364">
        <v>8.3000000000000004E-2</v>
      </c>
      <c r="AB364">
        <v>31.792999999999999</v>
      </c>
      <c r="AC364">
        <v>0</v>
      </c>
      <c r="AD364">
        <v>0</v>
      </c>
      <c r="AE364">
        <v>0</v>
      </c>
      <c r="AF364">
        <v>14.259</v>
      </c>
      <c r="AG364">
        <v>2.2669999999999999</v>
      </c>
      <c r="AH364">
        <v>426.589</v>
      </c>
      <c r="AI364" t="s">
        <v>22</v>
      </c>
      <c r="AJ364">
        <v>687.5</v>
      </c>
      <c r="AK364">
        <v>1210</v>
      </c>
      <c r="AL364">
        <v>230</v>
      </c>
      <c r="AM364">
        <v>12.5</v>
      </c>
      <c r="AN364">
        <v>35</v>
      </c>
      <c r="AO364">
        <v>0</v>
      </c>
      <c r="AP364">
        <v>0</v>
      </c>
      <c r="AQ364">
        <v>0</v>
      </c>
      <c r="AR364">
        <v>7.5</v>
      </c>
      <c r="AS364">
        <v>147.5</v>
      </c>
      <c r="AT364">
        <v>2330</v>
      </c>
      <c r="AU364" t="s">
        <v>34</v>
      </c>
    </row>
    <row r="365" spans="1:47" x14ac:dyDescent="0.2">
      <c r="A365">
        <v>383</v>
      </c>
      <c r="B365" t="s">
        <v>310</v>
      </c>
      <c r="C365">
        <v>12</v>
      </c>
      <c r="D365" t="s">
        <v>239</v>
      </c>
      <c r="G365" t="str">
        <f t="shared" si="5"/>
        <v>HLY070212VNG3.5</v>
      </c>
      <c r="H365">
        <v>61.922260000000001</v>
      </c>
      <c r="I365">
        <v>-172.15899999999999</v>
      </c>
      <c r="J365" s="3">
        <v>20070520</v>
      </c>
      <c r="K365">
        <v>2007</v>
      </c>
      <c r="L365">
        <v>5.9483199999999998</v>
      </c>
      <c r="M365">
        <v>14.895820000000001</v>
      </c>
      <c r="N365">
        <v>0.25594</v>
      </c>
      <c r="O365">
        <v>9.8999999999999999E-4</v>
      </c>
      <c r="P365">
        <v>0.51859999999999995</v>
      </c>
      <c r="Q365">
        <v>0</v>
      </c>
      <c r="R365">
        <v>0</v>
      </c>
      <c r="S365">
        <v>0</v>
      </c>
      <c r="T365">
        <v>0.24013000000000001</v>
      </c>
      <c r="U365">
        <v>0.10607999999999999</v>
      </c>
      <c r="V365">
        <v>21.965879999999999</v>
      </c>
      <c r="W365" t="s">
        <v>10</v>
      </c>
      <c r="X365">
        <v>91.35</v>
      </c>
      <c r="Y365">
        <v>462.202</v>
      </c>
      <c r="Z365">
        <v>3.2679999999999998</v>
      </c>
      <c r="AA365">
        <v>2.1999999999999999E-2</v>
      </c>
      <c r="AB365">
        <v>37.042999999999999</v>
      </c>
      <c r="AC365">
        <v>0</v>
      </c>
      <c r="AD365">
        <v>0</v>
      </c>
      <c r="AE365">
        <v>0</v>
      </c>
      <c r="AF365">
        <v>2.5819999999999999</v>
      </c>
      <c r="AG365">
        <v>2.5529999999999999</v>
      </c>
      <c r="AH365">
        <v>599.02</v>
      </c>
      <c r="AI365" t="s">
        <v>22</v>
      </c>
      <c r="AJ365">
        <v>620</v>
      </c>
      <c r="AK365">
        <v>1492.5</v>
      </c>
      <c r="AL365">
        <v>277.5</v>
      </c>
      <c r="AM365">
        <v>2.5</v>
      </c>
      <c r="AN365">
        <v>20</v>
      </c>
      <c r="AO365">
        <v>0</v>
      </c>
      <c r="AP365">
        <v>0</v>
      </c>
      <c r="AQ365">
        <v>0</v>
      </c>
      <c r="AR365">
        <v>15</v>
      </c>
      <c r="AS365">
        <v>77.5</v>
      </c>
      <c r="AT365">
        <v>2505</v>
      </c>
      <c r="AU365" t="s">
        <v>34</v>
      </c>
    </row>
    <row r="366" spans="1:47" x14ac:dyDescent="0.2">
      <c r="A366">
        <v>384</v>
      </c>
      <c r="B366" t="s">
        <v>310</v>
      </c>
      <c r="C366">
        <v>13</v>
      </c>
      <c r="D366" t="s">
        <v>237</v>
      </c>
      <c r="G366" t="str">
        <f t="shared" si="5"/>
        <v>HLY070213SWC4A</v>
      </c>
      <c r="H366">
        <v>62.411859999999997</v>
      </c>
      <c r="I366">
        <v>-173.434</v>
      </c>
      <c r="J366" s="3">
        <v>20070521</v>
      </c>
      <c r="K366">
        <v>2007</v>
      </c>
      <c r="L366">
        <v>2.3982000000000001</v>
      </c>
      <c r="M366">
        <v>8.3303499999999993</v>
      </c>
      <c r="N366">
        <v>0.20796000000000001</v>
      </c>
      <c r="O366">
        <v>1.1299999999999999E-3</v>
      </c>
      <c r="P366">
        <v>0.42291000000000001</v>
      </c>
      <c r="Q366">
        <v>0</v>
      </c>
      <c r="R366">
        <v>0</v>
      </c>
      <c r="S366">
        <v>5.7299999999999997E-2</v>
      </c>
      <c r="T366">
        <v>1.06132</v>
      </c>
      <c r="U366">
        <v>0.45800999999999997</v>
      </c>
      <c r="V366">
        <v>12.93718</v>
      </c>
      <c r="W366" t="s">
        <v>10</v>
      </c>
      <c r="X366">
        <v>41.408999999999999</v>
      </c>
      <c r="Y366">
        <v>223.88200000000001</v>
      </c>
      <c r="Z366">
        <v>2.7160000000000002</v>
      </c>
      <c r="AA366">
        <v>2.5000000000000001E-2</v>
      </c>
      <c r="AB366">
        <v>30.207999999999998</v>
      </c>
      <c r="AC366">
        <v>0</v>
      </c>
      <c r="AD366">
        <v>0</v>
      </c>
      <c r="AE366">
        <v>4.093</v>
      </c>
      <c r="AF366">
        <v>11.412000000000001</v>
      </c>
      <c r="AG366">
        <v>15.37</v>
      </c>
      <c r="AH366">
        <v>329.11500000000001</v>
      </c>
      <c r="AI366" t="s">
        <v>22</v>
      </c>
      <c r="AJ366">
        <v>867.5</v>
      </c>
      <c r="AK366">
        <v>1030</v>
      </c>
      <c r="AL366">
        <v>207.5</v>
      </c>
      <c r="AM366">
        <v>5</v>
      </c>
      <c r="AN366">
        <v>42.5</v>
      </c>
      <c r="AO366">
        <v>0</v>
      </c>
      <c r="AP366">
        <v>0</v>
      </c>
      <c r="AQ366">
        <v>2.5</v>
      </c>
      <c r="AR366">
        <v>30</v>
      </c>
      <c r="AS366">
        <v>280</v>
      </c>
      <c r="AT366">
        <v>2465</v>
      </c>
      <c r="AU366" t="s">
        <v>34</v>
      </c>
    </row>
    <row r="367" spans="1:47" x14ac:dyDescent="0.2">
      <c r="A367">
        <v>385</v>
      </c>
      <c r="B367" t="s">
        <v>310</v>
      </c>
      <c r="C367">
        <v>14</v>
      </c>
      <c r="D367" t="s">
        <v>231</v>
      </c>
      <c r="G367" t="str">
        <f t="shared" si="5"/>
        <v>HLY070214SWC4</v>
      </c>
      <c r="H367">
        <v>62.242649999999998</v>
      </c>
      <c r="I367">
        <v>-173.74299999999999</v>
      </c>
      <c r="J367" s="3">
        <v>20070521</v>
      </c>
      <c r="K367">
        <v>2007</v>
      </c>
      <c r="L367">
        <v>6.1439899999999996</v>
      </c>
      <c r="M367">
        <v>2.1440299999999999</v>
      </c>
      <c r="N367">
        <v>0.89176</v>
      </c>
      <c r="O367">
        <v>9.0000000000000006E-5</v>
      </c>
      <c r="P367">
        <v>0.13514000000000001</v>
      </c>
      <c r="Q367">
        <v>0</v>
      </c>
      <c r="R367">
        <v>0</v>
      </c>
      <c r="S367">
        <v>0</v>
      </c>
      <c r="T367">
        <v>4.65E-2</v>
      </c>
      <c r="U367">
        <v>5.432E-2</v>
      </c>
      <c r="V367">
        <v>9.4158299999999997</v>
      </c>
      <c r="W367" t="s">
        <v>9</v>
      </c>
      <c r="X367">
        <v>85.605000000000004</v>
      </c>
      <c r="Y367">
        <v>61.024000000000001</v>
      </c>
      <c r="Z367">
        <v>11.398999999999999</v>
      </c>
      <c r="AA367">
        <v>2E-3</v>
      </c>
      <c r="AB367">
        <v>9.6530000000000005</v>
      </c>
      <c r="AC367">
        <v>0</v>
      </c>
      <c r="AD367">
        <v>0</v>
      </c>
      <c r="AE367">
        <v>0</v>
      </c>
      <c r="AF367">
        <v>0.5</v>
      </c>
      <c r="AG367">
        <v>0.94399999999999995</v>
      </c>
      <c r="AH367">
        <v>169.12700000000001</v>
      </c>
      <c r="AI367" t="s">
        <v>21</v>
      </c>
      <c r="AJ367">
        <v>1055</v>
      </c>
      <c r="AK367">
        <v>940</v>
      </c>
      <c r="AL367">
        <v>720</v>
      </c>
      <c r="AM367">
        <v>2.5</v>
      </c>
      <c r="AN367">
        <v>22.5</v>
      </c>
      <c r="AO367">
        <v>0</v>
      </c>
      <c r="AP367">
        <v>0</v>
      </c>
      <c r="AQ367">
        <v>0</v>
      </c>
      <c r="AR367">
        <v>30</v>
      </c>
      <c r="AS367">
        <v>102.5</v>
      </c>
      <c r="AT367">
        <v>2872.5</v>
      </c>
      <c r="AU367" t="s">
        <v>33</v>
      </c>
    </row>
    <row r="368" spans="1:47" x14ac:dyDescent="0.2">
      <c r="A368">
        <v>386</v>
      </c>
      <c r="B368" t="s">
        <v>310</v>
      </c>
      <c r="C368">
        <v>15</v>
      </c>
      <c r="D368" t="s">
        <v>232</v>
      </c>
      <c r="G368" t="str">
        <f t="shared" si="5"/>
        <v>HLY070215SIL4</v>
      </c>
      <c r="H368">
        <v>62.080629999999999</v>
      </c>
      <c r="I368">
        <v>-172.94</v>
      </c>
      <c r="J368" s="3">
        <v>20070521</v>
      </c>
      <c r="K368">
        <v>2007</v>
      </c>
      <c r="L368">
        <v>4.4526000000000003</v>
      </c>
      <c r="M368">
        <v>1.1817800000000001</v>
      </c>
      <c r="N368">
        <v>0.55628999999999995</v>
      </c>
      <c r="O368">
        <v>7.2000000000000005E-4</v>
      </c>
      <c r="P368">
        <v>2.0000000000000001E-4</v>
      </c>
      <c r="Q368">
        <v>0</v>
      </c>
      <c r="R368">
        <v>1.1000000000000001E-3</v>
      </c>
      <c r="S368">
        <v>0</v>
      </c>
      <c r="T368">
        <v>1.61104</v>
      </c>
      <c r="U368">
        <v>9.1039999999999996E-2</v>
      </c>
      <c r="V368">
        <v>7.8947700000000003</v>
      </c>
      <c r="W368" t="s">
        <v>9</v>
      </c>
      <c r="X368">
        <v>63.676000000000002</v>
      </c>
      <c r="Y368">
        <v>33.572000000000003</v>
      </c>
      <c r="Z368">
        <v>7.4349999999999996</v>
      </c>
      <c r="AA368">
        <v>1.6E-2</v>
      </c>
      <c r="AB368">
        <v>1.4E-2</v>
      </c>
      <c r="AC368">
        <v>0</v>
      </c>
      <c r="AD368">
        <v>1.7999999999999999E-2</v>
      </c>
      <c r="AE368">
        <v>0</v>
      </c>
      <c r="AF368">
        <v>17.323</v>
      </c>
      <c r="AG368">
        <v>2.427</v>
      </c>
      <c r="AH368">
        <v>124.48099999999999</v>
      </c>
      <c r="AI368" t="s">
        <v>21</v>
      </c>
      <c r="AJ368">
        <v>1305</v>
      </c>
      <c r="AK368">
        <v>540</v>
      </c>
      <c r="AL368">
        <v>2200</v>
      </c>
      <c r="AM368">
        <v>5</v>
      </c>
      <c r="AN368">
        <v>12.5</v>
      </c>
      <c r="AO368">
        <v>0</v>
      </c>
      <c r="AP368">
        <v>0</v>
      </c>
      <c r="AQ368">
        <v>0</v>
      </c>
      <c r="AR368">
        <v>165</v>
      </c>
      <c r="AS368">
        <v>110</v>
      </c>
      <c r="AT368">
        <v>4337.5</v>
      </c>
      <c r="AU368" t="s">
        <v>35</v>
      </c>
    </row>
    <row r="369" spans="1:47" x14ac:dyDescent="0.2">
      <c r="A369">
        <v>387</v>
      </c>
      <c r="B369" t="s">
        <v>310</v>
      </c>
      <c r="C369">
        <v>16</v>
      </c>
      <c r="D369" t="s">
        <v>233</v>
      </c>
      <c r="G369" t="str">
        <f t="shared" si="5"/>
        <v>HLY070216SEC4</v>
      </c>
      <c r="H369">
        <v>61.928620000000002</v>
      </c>
      <c r="I369">
        <v>-172.215</v>
      </c>
      <c r="J369" s="3">
        <v>20070521</v>
      </c>
      <c r="K369">
        <v>2007</v>
      </c>
      <c r="L369">
        <v>3.1422699999999999</v>
      </c>
      <c r="M369">
        <v>5.3016899999999998</v>
      </c>
      <c r="N369">
        <v>1.66137</v>
      </c>
      <c r="O369">
        <v>0</v>
      </c>
      <c r="P369">
        <v>6.4000000000000005E-4</v>
      </c>
      <c r="Q369">
        <v>0</v>
      </c>
      <c r="R369">
        <v>0</v>
      </c>
      <c r="S369">
        <v>0</v>
      </c>
      <c r="T369">
        <v>0.53652</v>
      </c>
      <c r="U369">
        <v>1.4840000000000001E-2</v>
      </c>
      <c r="V369">
        <v>10.65733</v>
      </c>
      <c r="W369" t="s">
        <v>10</v>
      </c>
      <c r="X369">
        <v>46.872</v>
      </c>
      <c r="Y369">
        <v>181.41499999999999</v>
      </c>
      <c r="Z369">
        <v>22.65</v>
      </c>
      <c r="AA369">
        <v>0</v>
      </c>
      <c r="AB369">
        <v>4.5999999999999999E-2</v>
      </c>
      <c r="AC369">
        <v>0</v>
      </c>
      <c r="AD369">
        <v>0</v>
      </c>
      <c r="AE369">
        <v>0</v>
      </c>
      <c r="AF369">
        <v>5.7690000000000001</v>
      </c>
      <c r="AG369">
        <v>0.27200000000000002</v>
      </c>
      <c r="AH369">
        <v>257.024</v>
      </c>
      <c r="AI369" t="s">
        <v>22</v>
      </c>
      <c r="AJ369">
        <v>720</v>
      </c>
      <c r="AK369">
        <v>972.5</v>
      </c>
      <c r="AL369">
        <v>980</v>
      </c>
      <c r="AM369">
        <v>0</v>
      </c>
      <c r="AN369">
        <v>5</v>
      </c>
      <c r="AO369">
        <v>0</v>
      </c>
      <c r="AP369">
        <v>0</v>
      </c>
      <c r="AQ369">
        <v>0</v>
      </c>
      <c r="AR369">
        <v>12.5</v>
      </c>
      <c r="AS369">
        <v>85</v>
      </c>
      <c r="AT369">
        <v>2775</v>
      </c>
      <c r="AU369" t="s">
        <v>35</v>
      </c>
    </row>
    <row r="370" spans="1:47" x14ac:dyDescent="0.2">
      <c r="A370">
        <v>388</v>
      </c>
      <c r="B370" t="s">
        <v>310</v>
      </c>
      <c r="C370">
        <v>17</v>
      </c>
      <c r="D370" t="s">
        <v>234</v>
      </c>
      <c r="G370" t="str">
        <f t="shared" si="5"/>
        <v>HLY070217NEC4</v>
      </c>
      <c r="H370">
        <v>61.77064</v>
      </c>
      <c r="I370">
        <v>-171.31399999999999</v>
      </c>
      <c r="J370" s="3">
        <v>20070522</v>
      </c>
      <c r="K370">
        <v>2007</v>
      </c>
      <c r="L370">
        <v>1.2168000000000001</v>
      </c>
      <c r="M370">
        <v>1.64316</v>
      </c>
      <c r="N370">
        <v>0.65646000000000004</v>
      </c>
      <c r="O370">
        <v>0</v>
      </c>
      <c r="P370">
        <v>4.0000000000000003E-5</v>
      </c>
      <c r="Q370">
        <v>0</v>
      </c>
      <c r="R370">
        <v>0</v>
      </c>
      <c r="S370">
        <v>0</v>
      </c>
      <c r="T370">
        <v>0.40669</v>
      </c>
      <c r="U370">
        <v>2.069E-2</v>
      </c>
      <c r="V370">
        <v>3.9438399999999998</v>
      </c>
      <c r="W370" t="s">
        <v>10</v>
      </c>
      <c r="X370">
        <v>19.414000000000001</v>
      </c>
      <c r="Y370">
        <v>42.787999999999997</v>
      </c>
      <c r="Z370">
        <v>8.9969999999999999</v>
      </c>
      <c r="AA370">
        <v>0</v>
      </c>
      <c r="AB370">
        <v>3.0000000000000001E-3</v>
      </c>
      <c r="AC370">
        <v>0</v>
      </c>
      <c r="AD370">
        <v>0</v>
      </c>
      <c r="AE370">
        <v>0</v>
      </c>
      <c r="AF370">
        <v>4.3730000000000002</v>
      </c>
      <c r="AG370">
        <v>0.45800000000000002</v>
      </c>
      <c r="AH370">
        <v>76.033000000000001</v>
      </c>
      <c r="AI370" t="s">
        <v>22</v>
      </c>
      <c r="AJ370">
        <v>525</v>
      </c>
      <c r="AK370">
        <v>760</v>
      </c>
      <c r="AL370">
        <v>477.5</v>
      </c>
      <c r="AM370">
        <v>0</v>
      </c>
      <c r="AN370">
        <v>2.5</v>
      </c>
      <c r="AO370">
        <v>0</v>
      </c>
      <c r="AP370">
        <v>0</v>
      </c>
      <c r="AQ370">
        <v>0</v>
      </c>
      <c r="AR370">
        <v>2.5</v>
      </c>
      <c r="AS370">
        <v>22.5</v>
      </c>
      <c r="AT370">
        <v>1790</v>
      </c>
      <c r="AU370" t="s">
        <v>34</v>
      </c>
    </row>
    <row r="371" spans="1:47" x14ac:dyDescent="0.2">
      <c r="A371">
        <v>389</v>
      </c>
      <c r="B371" t="s">
        <v>310</v>
      </c>
      <c r="C371">
        <v>18</v>
      </c>
      <c r="D371" t="s">
        <v>255</v>
      </c>
      <c r="G371" t="str">
        <f t="shared" si="5"/>
        <v>HLY070218NEC3</v>
      </c>
      <c r="H371">
        <v>62.057189999999999</v>
      </c>
      <c r="I371">
        <v>-170.625</v>
      </c>
      <c r="J371" s="3">
        <v>20070522</v>
      </c>
      <c r="K371">
        <v>2007</v>
      </c>
      <c r="L371">
        <v>0.69599</v>
      </c>
      <c r="M371">
        <v>0.96333000000000002</v>
      </c>
      <c r="N371">
        <v>0.22026999999999999</v>
      </c>
      <c r="O371">
        <v>0</v>
      </c>
      <c r="P371">
        <v>6.0000000000000002E-5</v>
      </c>
      <c r="Q371">
        <v>0</v>
      </c>
      <c r="R371">
        <v>0</v>
      </c>
      <c r="S371">
        <v>0</v>
      </c>
      <c r="T371">
        <v>0</v>
      </c>
      <c r="U371">
        <v>9.7999999999999997E-4</v>
      </c>
      <c r="V371">
        <v>1.88063</v>
      </c>
      <c r="W371" t="s">
        <v>10</v>
      </c>
      <c r="X371">
        <v>10.843999999999999</v>
      </c>
      <c r="Y371">
        <v>24.49</v>
      </c>
      <c r="Z371">
        <v>3.0390000000000001</v>
      </c>
      <c r="AA371">
        <v>0</v>
      </c>
      <c r="AB371">
        <v>4.0000000000000001E-3</v>
      </c>
      <c r="AC371">
        <v>0</v>
      </c>
      <c r="AD371">
        <v>0</v>
      </c>
      <c r="AE371">
        <v>0</v>
      </c>
      <c r="AF371">
        <v>0</v>
      </c>
      <c r="AG371">
        <v>2.8000000000000001E-2</v>
      </c>
      <c r="AH371">
        <v>38.405000000000001</v>
      </c>
      <c r="AI371" t="s">
        <v>22</v>
      </c>
      <c r="AJ371">
        <v>562.5</v>
      </c>
      <c r="AK371">
        <v>1222.5</v>
      </c>
      <c r="AL371">
        <v>762.5</v>
      </c>
      <c r="AM371">
        <v>0</v>
      </c>
      <c r="AN371">
        <v>7.5</v>
      </c>
      <c r="AO371">
        <v>0</v>
      </c>
      <c r="AP371">
        <v>0</v>
      </c>
      <c r="AQ371">
        <v>0</v>
      </c>
      <c r="AR371">
        <v>0</v>
      </c>
      <c r="AS371">
        <v>5</v>
      </c>
      <c r="AT371">
        <v>2560</v>
      </c>
      <c r="AU371" t="s">
        <v>34</v>
      </c>
    </row>
    <row r="372" spans="1:47" x14ac:dyDescent="0.2">
      <c r="A372">
        <v>390</v>
      </c>
      <c r="B372" t="s">
        <v>310</v>
      </c>
      <c r="C372">
        <v>19</v>
      </c>
      <c r="D372" t="s">
        <v>254</v>
      </c>
      <c r="G372" t="str">
        <f t="shared" si="5"/>
        <v>HLY070219SEC3</v>
      </c>
      <c r="H372">
        <v>62.277450000000002</v>
      </c>
      <c r="I372">
        <v>-171.565</v>
      </c>
      <c r="J372" s="3">
        <v>20070522</v>
      </c>
      <c r="K372">
        <v>2007</v>
      </c>
      <c r="L372">
        <v>0.55078000000000005</v>
      </c>
      <c r="M372">
        <v>7.59483</v>
      </c>
      <c r="N372">
        <v>7.1410000000000001E-2</v>
      </c>
      <c r="O372">
        <v>0</v>
      </c>
      <c r="P372">
        <v>0</v>
      </c>
      <c r="Q372">
        <v>0</v>
      </c>
      <c r="R372">
        <v>0</v>
      </c>
      <c r="S372">
        <v>9.4950000000000007E-2</v>
      </c>
      <c r="T372">
        <v>0</v>
      </c>
      <c r="U372">
        <v>6.2E-4</v>
      </c>
      <c r="V372">
        <v>8.3125900000000001</v>
      </c>
      <c r="W372" t="s">
        <v>10</v>
      </c>
      <c r="X372">
        <v>8.07</v>
      </c>
      <c r="Y372">
        <v>253.73</v>
      </c>
      <c r="Z372">
        <v>1.0169999999999999</v>
      </c>
      <c r="AA372">
        <v>0</v>
      </c>
      <c r="AB372">
        <v>0</v>
      </c>
      <c r="AC372">
        <v>0</v>
      </c>
      <c r="AD372">
        <v>0</v>
      </c>
      <c r="AE372">
        <v>6.782</v>
      </c>
      <c r="AF372">
        <v>0</v>
      </c>
      <c r="AG372">
        <v>0.01</v>
      </c>
      <c r="AH372">
        <v>269.60899999999998</v>
      </c>
      <c r="AI372" t="s">
        <v>22</v>
      </c>
      <c r="AJ372">
        <v>352.5</v>
      </c>
      <c r="AK372">
        <v>1350</v>
      </c>
      <c r="AL372">
        <v>545</v>
      </c>
      <c r="AM372">
        <v>0</v>
      </c>
      <c r="AN372">
        <v>0</v>
      </c>
      <c r="AO372">
        <v>0</v>
      </c>
      <c r="AP372">
        <v>0</v>
      </c>
      <c r="AQ372">
        <v>17.5</v>
      </c>
      <c r="AR372">
        <v>0</v>
      </c>
      <c r="AS372">
        <v>10</v>
      </c>
      <c r="AT372">
        <v>2275</v>
      </c>
      <c r="AU372" t="s">
        <v>34</v>
      </c>
    </row>
    <row r="373" spans="1:47" x14ac:dyDescent="0.2">
      <c r="A373">
        <v>391</v>
      </c>
      <c r="B373" t="s">
        <v>310</v>
      </c>
      <c r="C373">
        <v>2</v>
      </c>
      <c r="D373" t="s">
        <v>240</v>
      </c>
      <c r="G373" t="str">
        <f t="shared" si="5"/>
        <v>HLY07022SEC5</v>
      </c>
      <c r="H373">
        <v>61.572760000000002</v>
      </c>
      <c r="I373">
        <v>-172.90600000000001</v>
      </c>
      <c r="J373" s="3">
        <v>20070518</v>
      </c>
      <c r="K373">
        <v>2007</v>
      </c>
      <c r="L373">
        <v>1.8077799999999999</v>
      </c>
      <c r="M373">
        <v>2.3164699999999998</v>
      </c>
      <c r="N373">
        <v>0.1087</v>
      </c>
      <c r="O373">
        <v>0</v>
      </c>
      <c r="P373">
        <v>6.4000000000000005E-4</v>
      </c>
      <c r="Q373">
        <v>0</v>
      </c>
      <c r="R373">
        <v>2.5000000000000001E-3</v>
      </c>
      <c r="S373">
        <v>0</v>
      </c>
      <c r="T373">
        <v>0.18991</v>
      </c>
      <c r="U373">
        <v>4.0299999999999997E-3</v>
      </c>
      <c r="V373">
        <v>4.4300300000000004</v>
      </c>
      <c r="W373" t="s">
        <v>10</v>
      </c>
      <c r="X373">
        <v>26.361000000000001</v>
      </c>
      <c r="Y373">
        <v>62.542999999999999</v>
      </c>
      <c r="Z373">
        <v>1.4410000000000001</v>
      </c>
      <c r="AA373">
        <v>0</v>
      </c>
      <c r="AB373">
        <v>4.5999999999999999E-2</v>
      </c>
      <c r="AC373">
        <v>0</v>
      </c>
      <c r="AD373">
        <v>4.1000000000000002E-2</v>
      </c>
      <c r="AE373">
        <v>0</v>
      </c>
      <c r="AF373">
        <v>2.0419999999999998</v>
      </c>
      <c r="AG373">
        <v>6.5000000000000002E-2</v>
      </c>
      <c r="AH373">
        <v>92.539000000000001</v>
      </c>
      <c r="AI373" t="s">
        <v>22</v>
      </c>
      <c r="AJ373">
        <v>512.5</v>
      </c>
      <c r="AK373">
        <v>305</v>
      </c>
      <c r="AL373">
        <v>92.5</v>
      </c>
      <c r="AM373">
        <v>0</v>
      </c>
      <c r="AN373">
        <v>55</v>
      </c>
      <c r="AO373">
        <v>0</v>
      </c>
      <c r="AP373">
        <v>0</v>
      </c>
      <c r="AQ373">
        <v>0</v>
      </c>
      <c r="AR373">
        <v>10</v>
      </c>
      <c r="AS373">
        <v>37.5</v>
      </c>
      <c r="AT373">
        <v>1012.5</v>
      </c>
      <c r="AU373" t="s">
        <v>33</v>
      </c>
    </row>
    <row r="374" spans="1:47" x14ac:dyDescent="0.2">
      <c r="A374">
        <v>392</v>
      </c>
      <c r="B374" t="s">
        <v>310</v>
      </c>
      <c r="C374">
        <v>20</v>
      </c>
      <c r="D374" t="s">
        <v>253</v>
      </c>
      <c r="G374" t="str">
        <f t="shared" si="5"/>
        <v>HLY070220SEC2.5</v>
      </c>
      <c r="H374">
        <v>62.499969999999998</v>
      </c>
      <c r="I374">
        <v>-171.84800000000001</v>
      </c>
      <c r="J374" s="3">
        <v>20070522</v>
      </c>
      <c r="K374">
        <v>2007</v>
      </c>
      <c r="L374">
        <v>0.62524000000000002</v>
      </c>
      <c r="M374">
        <v>14.32442</v>
      </c>
      <c r="N374">
        <v>0.31846999999999998</v>
      </c>
      <c r="O374">
        <v>0</v>
      </c>
      <c r="P374">
        <v>2.5000000000000001E-4</v>
      </c>
      <c r="Q374">
        <v>0</v>
      </c>
      <c r="R374">
        <v>2.2699999999999999E-3</v>
      </c>
      <c r="S374">
        <v>0.85697999999999996</v>
      </c>
      <c r="T374">
        <v>1.423E-2</v>
      </c>
      <c r="U374">
        <v>3.9879999999999999E-2</v>
      </c>
      <c r="V374">
        <v>16.181740000000001</v>
      </c>
      <c r="W374" t="s">
        <v>10</v>
      </c>
      <c r="X374">
        <v>8.9610000000000003</v>
      </c>
      <c r="Y374">
        <v>521.40800000000002</v>
      </c>
      <c r="Z374">
        <v>4.6070000000000002</v>
      </c>
      <c r="AA374">
        <v>0</v>
      </c>
      <c r="AB374">
        <v>1.7999999999999999E-2</v>
      </c>
      <c r="AC374">
        <v>0</v>
      </c>
      <c r="AD374">
        <v>5.1999999999999998E-2</v>
      </c>
      <c r="AE374">
        <v>61.186</v>
      </c>
      <c r="AF374">
        <v>0.153</v>
      </c>
      <c r="AG374">
        <v>0.64400000000000002</v>
      </c>
      <c r="AH374">
        <v>597.029</v>
      </c>
      <c r="AI374" t="s">
        <v>22</v>
      </c>
      <c r="AJ374">
        <v>607.5</v>
      </c>
      <c r="AK374">
        <v>2892.5</v>
      </c>
      <c r="AL374">
        <v>987.5</v>
      </c>
      <c r="AM374">
        <v>0</v>
      </c>
      <c r="AN374">
        <v>0</v>
      </c>
      <c r="AO374">
        <v>0</v>
      </c>
      <c r="AP374">
        <v>0</v>
      </c>
      <c r="AQ374">
        <v>42.5</v>
      </c>
      <c r="AR374">
        <v>15</v>
      </c>
      <c r="AS374">
        <v>32.5</v>
      </c>
      <c r="AT374">
        <v>4577.5</v>
      </c>
      <c r="AU374" t="s">
        <v>34</v>
      </c>
    </row>
    <row r="375" spans="1:47" x14ac:dyDescent="0.2">
      <c r="A375">
        <v>393</v>
      </c>
      <c r="B375" t="s">
        <v>310</v>
      </c>
      <c r="C375">
        <v>21</v>
      </c>
      <c r="D375" t="s">
        <v>252</v>
      </c>
      <c r="G375" t="str">
        <f t="shared" si="5"/>
        <v>HLY070221POP3A</v>
      </c>
      <c r="H375">
        <v>62.567300000000003</v>
      </c>
      <c r="I375">
        <v>-172.29</v>
      </c>
      <c r="J375" s="3">
        <v>20070523</v>
      </c>
      <c r="K375">
        <v>2007</v>
      </c>
      <c r="L375">
        <v>3.6759400000000002</v>
      </c>
      <c r="M375">
        <v>1.14781</v>
      </c>
      <c r="N375">
        <v>0.23091</v>
      </c>
      <c r="O375">
        <v>0</v>
      </c>
      <c r="P375">
        <v>0.10680000000000001</v>
      </c>
      <c r="Q375">
        <v>0</v>
      </c>
      <c r="R375">
        <v>7.2999999999999996E-4</v>
      </c>
      <c r="S375">
        <v>6.6430000000000003E-2</v>
      </c>
      <c r="T375">
        <v>0.14888999999999999</v>
      </c>
      <c r="U375">
        <v>0.25407000000000002</v>
      </c>
      <c r="V375">
        <v>5.6315799999999996</v>
      </c>
      <c r="W375" t="s">
        <v>9</v>
      </c>
      <c r="X375">
        <v>51.143000000000001</v>
      </c>
      <c r="Y375">
        <v>30.021999999999998</v>
      </c>
      <c r="Z375">
        <v>3.2349999999999999</v>
      </c>
      <c r="AA375">
        <v>0</v>
      </c>
      <c r="AB375">
        <v>7.6289999999999996</v>
      </c>
      <c r="AC375">
        <v>0</v>
      </c>
      <c r="AD375">
        <v>1.2E-2</v>
      </c>
      <c r="AE375">
        <v>4.7450000000000001</v>
      </c>
      <c r="AF375">
        <v>1.601</v>
      </c>
      <c r="AG375">
        <v>5.2469999999999999</v>
      </c>
      <c r="AH375">
        <v>103.634</v>
      </c>
      <c r="AI375" t="s">
        <v>21</v>
      </c>
      <c r="AJ375">
        <v>1072.5</v>
      </c>
      <c r="AK375">
        <v>1552.5</v>
      </c>
      <c r="AL375">
        <v>902.5</v>
      </c>
      <c r="AM375">
        <v>0</v>
      </c>
      <c r="AN375">
        <v>5</v>
      </c>
      <c r="AO375">
        <v>0</v>
      </c>
      <c r="AP375">
        <v>0</v>
      </c>
      <c r="AQ375">
        <v>2.5</v>
      </c>
      <c r="AR375">
        <v>47.5</v>
      </c>
      <c r="AS375">
        <v>125</v>
      </c>
      <c r="AT375">
        <v>3707.5</v>
      </c>
      <c r="AU375" t="s">
        <v>34</v>
      </c>
    </row>
    <row r="376" spans="1:47" x14ac:dyDescent="0.2">
      <c r="A376">
        <v>394</v>
      </c>
      <c r="B376" t="s">
        <v>310</v>
      </c>
      <c r="C376">
        <v>22</v>
      </c>
      <c r="D376" t="s">
        <v>235</v>
      </c>
      <c r="G376" t="str">
        <f t="shared" si="5"/>
        <v>HLY070222SIL3</v>
      </c>
      <c r="H376">
        <v>62.431310000000003</v>
      </c>
      <c r="I376">
        <v>-172.316</v>
      </c>
      <c r="J376" s="3">
        <v>20070523</v>
      </c>
      <c r="K376">
        <v>2007</v>
      </c>
      <c r="L376">
        <v>2.1880500000000001</v>
      </c>
      <c r="M376">
        <v>0.63002000000000002</v>
      </c>
      <c r="N376">
        <v>1.35371</v>
      </c>
      <c r="O376">
        <v>0</v>
      </c>
      <c r="P376">
        <v>6.9999999999999994E-5</v>
      </c>
      <c r="Q376">
        <v>0</v>
      </c>
      <c r="R376">
        <v>1.5900000000000001E-3</v>
      </c>
      <c r="S376">
        <v>0</v>
      </c>
      <c r="T376">
        <v>4.0460000000000003E-2</v>
      </c>
      <c r="U376">
        <v>1.6729999999999998E-2</v>
      </c>
      <c r="V376">
        <v>4.2306299999999997</v>
      </c>
      <c r="W376" t="s">
        <v>9</v>
      </c>
      <c r="X376">
        <v>31.341999999999999</v>
      </c>
      <c r="Y376">
        <v>18.298999999999999</v>
      </c>
      <c r="Z376">
        <v>19.664000000000001</v>
      </c>
      <c r="AA376">
        <v>0</v>
      </c>
      <c r="AB376">
        <v>5.0000000000000001E-3</v>
      </c>
      <c r="AC376">
        <v>0</v>
      </c>
      <c r="AD376">
        <v>2.5999999999999999E-2</v>
      </c>
      <c r="AE376">
        <v>0</v>
      </c>
      <c r="AF376">
        <v>0.435</v>
      </c>
      <c r="AG376">
        <v>0.53400000000000003</v>
      </c>
      <c r="AH376">
        <v>70.305000000000007</v>
      </c>
      <c r="AI376" t="s">
        <v>21</v>
      </c>
      <c r="AJ376">
        <v>692.5</v>
      </c>
      <c r="AK376">
        <v>1407.5</v>
      </c>
      <c r="AL376">
        <v>3205</v>
      </c>
      <c r="AM376">
        <v>0</v>
      </c>
      <c r="AN376">
        <v>5</v>
      </c>
      <c r="AO376">
        <v>0</v>
      </c>
      <c r="AP376">
        <v>0</v>
      </c>
      <c r="AQ376">
        <v>0</v>
      </c>
      <c r="AR376">
        <v>25</v>
      </c>
      <c r="AS376">
        <v>60</v>
      </c>
      <c r="AT376">
        <v>5395</v>
      </c>
      <c r="AU376" t="s">
        <v>35</v>
      </c>
    </row>
    <row r="377" spans="1:47" x14ac:dyDescent="0.2">
      <c r="A377">
        <v>395</v>
      </c>
      <c r="B377" t="s">
        <v>310</v>
      </c>
      <c r="C377">
        <v>23</v>
      </c>
      <c r="D377" t="s">
        <v>236</v>
      </c>
      <c r="G377" t="str">
        <f t="shared" si="5"/>
        <v>HLY070223POP4</v>
      </c>
      <c r="H377">
        <v>62.399180000000001</v>
      </c>
      <c r="I377">
        <v>-172.696</v>
      </c>
      <c r="J377" s="3">
        <v>20070523</v>
      </c>
      <c r="K377">
        <v>2007</v>
      </c>
      <c r="L377">
        <v>1.69781</v>
      </c>
      <c r="M377">
        <v>12.067769999999999</v>
      </c>
      <c r="N377">
        <v>0.17834</v>
      </c>
      <c r="O377">
        <v>1.3999999999999999E-4</v>
      </c>
      <c r="P377">
        <v>7.9869999999999997E-2</v>
      </c>
      <c r="Q377">
        <v>0</v>
      </c>
      <c r="R377">
        <v>1.7099999999999999E-3</v>
      </c>
      <c r="S377">
        <v>0</v>
      </c>
      <c r="T377">
        <v>2.33E-3</v>
      </c>
      <c r="U377">
        <v>6.8399999999999997E-3</v>
      </c>
      <c r="V377">
        <v>14.03481</v>
      </c>
      <c r="W377" t="s">
        <v>10</v>
      </c>
      <c r="X377">
        <v>25.350999999999999</v>
      </c>
      <c r="Y377">
        <v>445.11399999999998</v>
      </c>
      <c r="Z377">
        <v>2.4420000000000002</v>
      </c>
      <c r="AA377">
        <v>3.0000000000000001E-3</v>
      </c>
      <c r="AB377">
        <v>5.7050000000000001</v>
      </c>
      <c r="AC377">
        <v>0</v>
      </c>
      <c r="AD377">
        <v>2.8000000000000001E-2</v>
      </c>
      <c r="AE377">
        <v>0</v>
      </c>
      <c r="AF377">
        <v>2.5000000000000001E-2</v>
      </c>
      <c r="AG377">
        <v>0.14499999999999999</v>
      </c>
      <c r="AH377">
        <v>478.81299999999999</v>
      </c>
      <c r="AI377" t="s">
        <v>22</v>
      </c>
      <c r="AJ377">
        <v>832.5</v>
      </c>
      <c r="AK377">
        <v>1400</v>
      </c>
      <c r="AL377">
        <v>287.5</v>
      </c>
      <c r="AM377">
        <v>5</v>
      </c>
      <c r="AN377">
        <v>5</v>
      </c>
      <c r="AO377">
        <v>0</v>
      </c>
      <c r="AP377">
        <v>0</v>
      </c>
      <c r="AQ377">
        <v>0</v>
      </c>
      <c r="AR377">
        <v>5</v>
      </c>
      <c r="AS377">
        <v>50</v>
      </c>
      <c r="AT377">
        <v>2585</v>
      </c>
      <c r="AU377" t="s">
        <v>34</v>
      </c>
    </row>
    <row r="378" spans="1:47" x14ac:dyDescent="0.2">
      <c r="A378">
        <v>396</v>
      </c>
      <c r="B378" t="s">
        <v>310</v>
      </c>
      <c r="C378">
        <v>24</v>
      </c>
      <c r="D378" t="s">
        <v>238</v>
      </c>
      <c r="G378" t="str">
        <f t="shared" si="5"/>
        <v>HLY070224SWC3</v>
      </c>
      <c r="H378">
        <v>62.5779</v>
      </c>
      <c r="I378">
        <v>-173.08600000000001</v>
      </c>
      <c r="J378" s="3">
        <v>20070523</v>
      </c>
      <c r="K378">
        <v>2007</v>
      </c>
      <c r="L378">
        <v>2.5404200000000001</v>
      </c>
      <c r="M378">
        <v>9.7645499999999998</v>
      </c>
      <c r="N378">
        <v>0.14707999999999999</v>
      </c>
      <c r="O378">
        <v>9.0000000000000006E-5</v>
      </c>
      <c r="P378">
        <v>0.62107000000000001</v>
      </c>
      <c r="Q378">
        <v>0</v>
      </c>
      <c r="R378">
        <v>0</v>
      </c>
      <c r="S378">
        <v>0</v>
      </c>
      <c r="T378">
        <v>1.609E-2</v>
      </c>
      <c r="U378">
        <v>6.5490000000000007E-2</v>
      </c>
      <c r="V378">
        <v>13.15479</v>
      </c>
      <c r="W378" t="s">
        <v>10</v>
      </c>
      <c r="X378">
        <v>38.186999999999998</v>
      </c>
      <c r="Y378">
        <v>391.048</v>
      </c>
      <c r="Z378">
        <v>1.9159999999999999</v>
      </c>
      <c r="AA378">
        <v>2E-3</v>
      </c>
      <c r="AB378">
        <v>44.362000000000002</v>
      </c>
      <c r="AC378">
        <v>0</v>
      </c>
      <c r="AD378">
        <v>0</v>
      </c>
      <c r="AE378">
        <v>0</v>
      </c>
      <c r="AF378">
        <v>0.17299999999999999</v>
      </c>
      <c r="AG378">
        <v>2.8540000000000001</v>
      </c>
      <c r="AH378">
        <v>478.54199999999997</v>
      </c>
      <c r="AI378" t="s">
        <v>22</v>
      </c>
      <c r="AJ378">
        <v>502.5</v>
      </c>
      <c r="AK378">
        <v>1092.5</v>
      </c>
      <c r="AL378">
        <v>190</v>
      </c>
      <c r="AM378">
        <v>2.5</v>
      </c>
      <c r="AN378">
        <v>37.5</v>
      </c>
      <c r="AO378">
        <v>0</v>
      </c>
      <c r="AP378">
        <v>0</v>
      </c>
      <c r="AQ378">
        <v>0</v>
      </c>
      <c r="AR378">
        <v>10</v>
      </c>
      <c r="AS378">
        <v>102.5</v>
      </c>
      <c r="AT378">
        <v>1937.5</v>
      </c>
      <c r="AU378" t="s">
        <v>34</v>
      </c>
    </row>
    <row r="379" spans="1:47" x14ac:dyDescent="0.2">
      <c r="A379">
        <v>397</v>
      </c>
      <c r="B379" t="s">
        <v>310</v>
      </c>
      <c r="C379">
        <v>25</v>
      </c>
      <c r="D379" t="s">
        <v>241</v>
      </c>
      <c r="G379" t="str">
        <f t="shared" si="5"/>
        <v>HLY070225CD1</v>
      </c>
      <c r="H379">
        <v>62.500610000000002</v>
      </c>
      <c r="I379">
        <v>-171.85</v>
      </c>
      <c r="J379" s="3">
        <v>20070524</v>
      </c>
      <c r="K379">
        <v>2007</v>
      </c>
      <c r="L379">
        <v>2.9020600000000001</v>
      </c>
      <c r="M379">
        <v>21.528079999999999</v>
      </c>
      <c r="N379">
        <v>0.40185999999999999</v>
      </c>
      <c r="O379">
        <v>0.24881</v>
      </c>
      <c r="P379">
        <v>0.36091000000000001</v>
      </c>
      <c r="Q379">
        <v>0</v>
      </c>
      <c r="R379">
        <v>1.83E-3</v>
      </c>
      <c r="S379">
        <v>0</v>
      </c>
      <c r="T379">
        <v>8.6499999999999997E-3</v>
      </c>
      <c r="U379">
        <v>8.5870000000000002E-2</v>
      </c>
      <c r="V379">
        <v>25.538070000000001</v>
      </c>
      <c r="W379" t="s">
        <v>10</v>
      </c>
      <c r="X379">
        <v>42.722000000000001</v>
      </c>
      <c r="Y379">
        <v>734.947</v>
      </c>
      <c r="Z379">
        <v>5.0279999999999996</v>
      </c>
      <c r="AA379">
        <v>5.5289999999999999</v>
      </c>
      <c r="AB379">
        <v>25.779</v>
      </c>
      <c r="AC379">
        <v>0</v>
      </c>
      <c r="AD379">
        <v>0.03</v>
      </c>
      <c r="AE379">
        <v>0</v>
      </c>
      <c r="AF379">
        <v>9.2999999999999999E-2</v>
      </c>
      <c r="AG379">
        <v>2.0760000000000001</v>
      </c>
      <c r="AH379">
        <v>816.20399999999995</v>
      </c>
      <c r="AI379" t="s">
        <v>22</v>
      </c>
      <c r="AJ379">
        <v>485</v>
      </c>
      <c r="AK379">
        <v>1342.5</v>
      </c>
      <c r="AL379">
        <v>582.5</v>
      </c>
      <c r="AM379">
        <v>50</v>
      </c>
      <c r="AN379">
        <v>20</v>
      </c>
      <c r="AO379">
        <v>0</v>
      </c>
      <c r="AP379">
        <v>0</v>
      </c>
      <c r="AQ379">
        <v>0</v>
      </c>
      <c r="AR379">
        <v>22.5</v>
      </c>
      <c r="AS379">
        <v>70</v>
      </c>
      <c r="AT379">
        <v>2572.5</v>
      </c>
      <c r="AU379" t="s">
        <v>34</v>
      </c>
    </row>
    <row r="380" spans="1:47" x14ac:dyDescent="0.2">
      <c r="A380">
        <v>398</v>
      </c>
      <c r="B380" t="s">
        <v>310</v>
      </c>
      <c r="C380">
        <v>26</v>
      </c>
      <c r="D380" t="s">
        <v>242</v>
      </c>
      <c r="G380" t="str">
        <f t="shared" si="5"/>
        <v>HLY070226VNG4</v>
      </c>
      <c r="H380">
        <v>62.749429999999997</v>
      </c>
      <c r="I380">
        <v>-173.411</v>
      </c>
      <c r="J380" s="3">
        <v>20070524</v>
      </c>
      <c r="K380">
        <v>2007</v>
      </c>
      <c r="L380">
        <v>2.4954800000000001</v>
      </c>
      <c r="M380">
        <v>14.770300000000001</v>
      </c>
      <c r="N380">
        <v>0.43619000000000002</v>
      </c>
      <c r="O380">
        <v>1.8270000000000002E-2</v>
      </c>
      <c r="P380">
        <v>0.51254999999999995</v>
      </c>
      <c r="Q380">
        <v>0</v>
      </c>
      <c r="R380">
        <v>0</v>
      </c>
      <c r="S380">
        <v>0</v>
      </c>
      <c r="T380">
        <v>1.83433</v>
      </c>
      <c r="U380">
        <v>7.8359999999999999E-2</v>
      </c>
      <c r="V380">
        <v>20.145479999999999</v>
      </c>
      <c r="W380" t="s">
        <v>10</v>
      </c>
      <c r="X380">
        <v>38.265000000000001</v>
      </c>
      <c r="Y380">
        <v>482.60899999999998</v>
      </c>
      <c r="Z380">
        <v>5.0419999999999998</v>
      </c>
      <c r="AA380">
        <v>0.40600000000000003</v>
      </c>
      <c r="AB380">
        <v>36.610999999999997</v>
      </c>
      <c r="AC380">
        <v>0</v>
      </c>
      <c r="AD380">
        <v>0</v>
      </c>
      <c r="AE380">
        <v>0</v>
      </c>
      <c r="AF380">
        <v>19.724</v>
      </c>
      <c r="AG380">
        <v>1.7170000000000001</v>
      </c>
      <c r="AH380">
        <v>584.37400000000002</v>
      </c>
      <c r="AI380" t="s">
        <v>22</v>
      </c>
      <c r="AJ380">
        <v>417.5</v>
      </c>
      <c r="AK380">
        <v>1055</v>
      </c>
      <c r="AL380">
        <v>625</v>
      </c>
      <c r="AM380">
        <v>5</v>
      </c>
      <c r="AN380">
        <v>27.5</v>
      </c>
      <c r="AO380">
        <v>0</v>
      </c>
      <c r="AP380">
        <v>0</v>
      </c>
      <c r="AQ380">
        <v>0</v>
      </c>
      <c r="AR380">
        <v>52.5</v>
      </c>
      <c r="AS380">
        <v>65</v>
      </c>
      <c r="AT380">
        <v>2247.5</v>
      </c>
      <c r="AU380" t="s">
        <v>34</v>
      </c>
    </row>
    <row r="381" spans="1:47" x14ac:dyDescent="0.2">
      <c r="A381">
        <v>399</v>
      </c>
      <c r="B381" t="s">
        <v>310</v>
      </c>
      <c r="C381">
        <v>27</v>
      </c>
      <c r="D381" t="s">
        <v>243</v>
      </c>
      <c r="G381" t="str">
        <f t="shared" si="5"/>
        <v>HLY070227NWC3</v>
      </c>
      <c r="H381">
        <v>62.781680000000001</v>
      </c>
      <c r="I381">
        <v>-173.886</v>
      </c>
      <c r="J381" s="3">
        <v>20070524</v>
      </c>
      <c r="K381">
        <v>2007</v>
      </c>
      <c r="L381">
        <v>5.20458</v>
      </c>
      <c r="M381">
        <v>12.70337</v>
      </c>
      <c r="N381">
        <v>0.60846999999999996</v>
      </c>
      <c r="O381">
        <v>0</v>
      </c>
      <c r="P381">
        <v>0.38438</v>
      </c>
      <c r="Q381">
        <v>0</v>
      </c>
      <c r="R381">
        <v>0</v>
      </c>
      <c r="S381">
        <v>0</v>
      </c>
      <c r="T381">
        <v>0.60050000000000003</v>
      </c>
      <c r="U381">
        <v>1.0703400000000001</v>
      </c>
      <c r="V381">
        <v>20.571639999999999</v>
      </c>
      <c r="W381" t="s">
        <v>10</v>
      </c>
      <c r="X381">
        <v>91.956000000000003</v>
      </c>
      <c r="Y381">
        <v>351.39499999999998</v>
      </c>
      <c r="Z381">
        <v>7.5640000000000001</v>
      </c>
      <c r="AA381">
        <v>0</v>
      </c>
      <c r="AB381">
        <v>27.456</v>
      </c>
      <c r="AC381">
        <v>0</v>
      </c>
      <c r="AD381">
        <v>0</v>
      </c>
      <c r="AE381">
        <v>0</v>
      </c>
      <c r="AF381">
        <v>6.4569999999999999</v>
      </c>
      <c r="AG381">
        <v>24.343</v>
      </c>
      <c r="AH381">
        <v>509.17099999999999</v>
      </c>
      <c r="AI381" t="s">
        <v>22</v>
      </c>
      <c r="AJ381">
        <v>925</v>
      </c>
      <c r="AK381">
        <v>885</v>
      </c>
      <c r="AL381">
        <v>380</v>
      </c>
      <c r="AM381">
        <v>0</v>
      </c>
      <c r="AN381">
        <v>22.5</v>
      </c>
      <c r="AO381">
        <v>0</v>
      </c>
      <c r="AP381">
        <v>0</v>
      </c>
      <c r="AQ381">
        <v>0</v>
      </c>
      <c r="AR381">
        <v>55</v>
      </c>
      <c r="AS381">
        <v>50</v>
      </c>
      <c r="AT381">
        <v>2317.5</v>
      </c>
      <c r="AU381" t="s">
        <v>33</v>
      </c>
    </row>
    <row r="382" spans="1:47" x14ac:dyDescent="0.2">
      <c r="A382">
        <v>400</v>
      </c>
      <c r="B382" t="s">
        <v>310</v>
      </c>
      <c r="C382">
        <v>28</v>
      </c>
      <c r="D382" t="s">
        <v>244</v>
      </c>
      <c r="G382" t="str">
        <f t="shared" si="5"/>
        <v>HLY070228DLN3</v>
      </c>
      <c r="H382">
        <v>62.896450000000002</v>
      </c>
      <c r="I382">
        <v>-174.58699999999999</v>
      </c>
      <c r="J382" s="3">
        <v>20070524</v>
      </c>
      <c r="K382">
        <v>2007</v>
      </c>
      <c r="L382">
        <v>2.6733199999999999</v>
      </c>
      <c r="M382">
        <v>8.1844699999999992</v>
      </c>
      <c r="N382">
        <v>0.11898</v>
      </c>
      <c r="O382">
        <v>1.2334099999999999</v>
      </c>
      <c r="P382">
        <v>0.44722000000000001</v>
      </c>
      <c r="Q382">
        <v>0</v>
      </c>
      <c r="R382">
        <v>6.7000000000000002E-4</v>
      </c>
      <c r="S382">
        <v>0</v>
      </c>
      <c r="T382">
        <v>5.0200000000000002E-3</v>
      </c>
      <c r="U382">
        <v>0.12422</v>
      </c>
      <c r="V382">
        <v>12.78731</v>
      </c>
      <c r="W382" t="s">
        <v>10</v>
      </c>
      <c r="X382">
        <v>45.331000000000003</v>
      </c>
      <c r="Y382">
        <v>230.06700000000001</v>
      </c>
      <c r="Z382">
        <v>1.548</v>
      </c>
      <c r="AA382">
        <v>27.408999999999999</v>
      </c>
      <c r="AB382">
        <v>31.943999999999999</v>
      </c>
      <c r="AC382">
        <v>0</v>
      </c>
      <c r="AD382">
        <v>1.0999999999999999E-2</v>
      </c>
      <c r="AE382">
        <v>0</v>
      </c>
      <c r="AF382">
        <v>5.3999999999999999E-2</v>
      </c>
      <c r="AG382">
        <v>3.0459999999999998</v>
      </c>
      <c r="AH382">
        <v>339.41</v>
      </c>
      <c r="AI382" t="s">
        <v>22</v>
      </c>
      <c r="AJ382">
        <v>1152.5</v>
      </c>
      <c r="AK382">
        <v>627.5</v>
      </c>
      <c r="AL382">
        <v>87.5</v>
      </c>
      <c r="AM382">
        <v>2.5</v>
      </c>
      <c r="AN382">
        <v>35</v>
      </c>
      <c r="AO382">
        <v>0</v>
      </c>
      <c r="AP382">
        <v>0</v>
      </c>
      <c r="AQ382">
        <v>0</v>
      </c>
      <c r="AR382">
        <v>7.5</v>
      </c>
      <c r="AS382">
        <v>87.5</v>
      </c>
      <c r="AT382">
        <v>2000</v>
      </c>
      <c r="AU382" t="s">
        <v>33</v>
      </c>
    </row>
    <row r="383" spans="1:47" x14ac:dyDescent="0.2">
      <c r="A383">
        <v>401</v>
      </c>
      <c r="B383" t="s">
        <v>310</v>
      </c>
      <c r="C383">
        <v>29</v>
      </c>
      <c r="D383" t="s">
        <v>248</v>
      </c>
      <c r="G383" t="str">
        <f t="shared" si="5"/>
        <v>HLY070229DLN2</v>
      </c>
      <c r="H383">
        <v>63.273820000000001</v>
      </c>
      <c r="I383">
        <v>-173.751</v>
      </c>
      <c r="J383" s="3">
        <v>20070525</v>
      </c>
      <c r="K383">
        <v>2007</v>
      </c>
      <c r="L383">
        <v>3.4352100000000001</v>
      </c>
      <c r="M383">
        <v>7.0147899999999996</v>
      </c>
      <c r="N383">
        <v>2.0224899999999999</v>
      </c>
      <c r="O383">
        <v>2.6408299999999998</v>
      </c>
      <c r="P383">
        <v>0.48670999999999998</v>
      </c>
      <c r="Q383">
        <v>0</v>
      </c>
      <c r="R383">
        <v>3.7799999999999999E-3</v>
      </c>
      <c r="S383">
        <v>0</v>
      </c>
      <c r="T383">
        <v>1.3180000000000001</v>
      </c>
      <c r="U383">
        <v>0.19328999999999999</v>
      </c>
      <c r="V383">
        <v>17.115100000000002</v>
      </c>
      <c r="W383" t="s">
        <v>10</v>
      </c>
      <c r="X383">
        <v>54.86</v>
      </c>
      <c r="Y383">
        <v>187.886</v>
      </c>
      <c r="Z383">
        <v>26.882999999999999</v>
      </c>
      <c r="AA383">
        <v>58.685000000000002</v>
      </c>
      <c r="AB383">
        <v>34.765000000000001</v>
      </c>
      <c r="AC383">
        <v>0</v>
      </c>
      <c r="AD383">
        <v>6.2E-2</v>
      </c>
      <c r="AE383">
        <v>0</v>
      </c>
      <c r="AF383">
        <v>14.172000000000001</v>
      </c>
      <c r="AG383">
        <v>3.4969999999999999</v>
      </c>
      <c r="AH383">
        <v>380.81</v>
      </c>
      <c r="AI383" t="s">
        <v>22</v>
      </c>
      <c r="AJ383">
        <v>1550</v>
      </c>
      <c r="AK383">
        <v>290</v>
      </c>
      <c r="AL383">
        <v>682.5</v>
      </c>
      <c r="AM383">
        <v>12.5</v>
      </c>
      <c r="AN383">
        <v>57.5</v>
      </c>
      <c r="AO383">
        <v>0</v>
      </c>
      <c r="AP383">
        <v>0</v>
      </c>
      <c r="AQ383">
        <v>0</v>
      </c>
      <c r="AR383">
        <v>15</v>
      </c>
      <c r="AS383">
        <v>157.5</v>
      </c>
      <c r="AT383">
        <v>2765</v>
      </c>
      <c r="AU383" t="s">
        <v>33</v>
      </c>
    </row>
    <row r="384" spans="1:47" x14ac:dyDescent="0.2">
      <c r="A384">
        <v>402</v>
      </c>
      <c r="B384" t="s">
        <v>310</v>
      </c>
      <c r="C384">
        <v>3</v>
      </c>
      <c r="D384" t="s">
        <v>251</v>
      </c>
      <c r="G384" t="str">
        <f t="shared" si="5"/>
        <v>HLY07023SIL5</v>
      </c>
      <c r="H384">
        <v>61.724040000000002</v>
      </c>
      <c r="I384">
        <v>-173.60499999999999</v>
      </c>
      <c r="J384" s="3">
        <v>20070518</v>
      </c>
      <c r="K384">
        <v>2007</v>
      </c>
      <c r="L384">
        <v>2.3229799999999998</v>
      </c>
      <c r="M384">
        <v>9.3880800000000004</v>
      </c>
      <c r="N384">
        <v>0.49669999999999997</v>
      </c>
      <c r="O384">
        <v>7.11E-3</v>
      </c>
      <c r="P384">
        <v>2.1700000000000001E-3</v>
      </c>
      <c r="Q384">
        <v>0</v>
      </c>
      <c r="R384">
        <v>2.7499999999999998E-3</v>
      </c>
      <c r="S384">
        <v>0</v>
      </c>
      <c r="T384">
        <v>0.29937000000000002</v>
      </c>
      <c r="U384">
        <v>5.0970000000000001E-2</v>
      </c>
      <c r="V384">
        <v>12.570130000000001</v>
      </c>
      <c r="W384" t="s">
        <v>10</v>
      </c>
      <c r="X384">
        <v>34.472000000000001</v>
      </c>
      <c r="Y384">
        <v>291.76799999999997</v>
      </c>
      <c r="Z384">
        <v>6.21</v>
      </c>
      <c r="AA384">
        <v>0.158</v>
      </c>
      <c r="AB384">
        <v>0.155</v>
      </c>
      <c r="AC384">
        <v>0</v>
      </c>
      <c r="AD384">
        <v>4.4999999999999998E-2</v>
      </c>
      <c r="AE384">
        <v>0</v>
      </c>
      <c r="AF384">
        <v>3.2189999999999999</v>
      </c>
      <c r="AG384">
        <v>1.125</v>
      </c>
      <c r="AH384">
        <v>337.15199999999999</v>
      </c>
      <c r="AI384" t="s">
        <v>22</v>
      </c>
      <c r="AJ384">
        <v>1735</v>
      </c>
      <c r="AK384">
        <v>1252.5</v>
      </c>
      <c r="AL384">
        <v>877.5</v>
      </c>
      <c r="AM384">
        <v>2.5</v>
      </c>
      <c r="AN384">
        <v>102.5</v>
      </c>
      <c r="AO384">
        <v>0</v>
      </c>
      <c r="AP384">
        <v>0</v>
      </c>
      <c r="AQ384">
        <v>0</v>
      </c>
      <c r="AR384">
        <v>42.5</v>
      </c>
      <c r="AS384">
        <v>125</v>
      </c>
      <c r="AT384">
        <v>4137.5</v>
      </c>
      <c r="AU384" t="s">
        <v>33</v>
      </c>
    </row>
    <row r="385" spans="1:47" x14ac:dyDescent="0.2">
      <c r="A385">
        <v>403</v>
      </c>
      <c r="B385" t="s">
        <v>310</v>
      </c>
      <c r="C385">
        <v>30</v>
      </c>
      <c r="D385" t="s">
        <v>246</v>
      </c>
      <c r="G385" t="str">
        <f t="shared" si="5"/>
        <v>HLY070230NWC2.5</v>
      </c>
      <c r="H385">
        <v>63.039900000000003</v>
      </c>
      <c r="I385">
        <v>-173.43799999999999</v>
      </c>
      <c r="J385" s="3">
        <v>20070525</v>
      </c>
      <c r="K385">
        <v>2007</v>
      </c>
      <c r="L385">
        <v>4.7211499999999997</v>
      </c>
      <c r="M385">
        <v>11.354979999999999</v>
      </c>
      <c r="N385">
        <v>0.60026999999999997</v>
      </c>
      <c r="O385">
        <v>2.4314</v>
      </c>
      <c r="P385">
        <v>0.34975000000000001</v>
      </c>
      <c r="Q385">
        <v>0</v>
      </c>
      <c r="R385">
        <v>0</v>
      </c>
      <c r="S385">
        <v>0</v>
      </c>
      <c r="T385">
        <v>1.3664499999999999</v>
      </c>
      <c r="U385">
        <v>0.50046000000000002</v>
      </c>
      <c r="V385">
        <v>21.324459999999998</v>
      </c>
      <c r="W385" t="s">
        <v>10</v>
      </c>
      <c r="X385">
        <v>86.399000000000001</v>
      </c>
      <c r="Y385">
        <v>342.65600000000001</v>
      </c>
      <c r="Z385">
        <v>7.2919999999999998</v>
      </c>
      <c r="AA385">
        <v>54.030999999999999</v>
      </c>
      <c r="AB385">
        <v>24.981999999999999</v>
      </c>
      <c r="AC385">
        <v>0</v>
      </c>
      <c r="AD385">
        <v>0</v>
      </c>
      <c r="AE385">
        <v>0</v>
      </c>
      <c r="AF385">
        <v>14.693</v>
      </c>
      <c r="AG385">
        <v>10.361000000000001</v>
      </c>
      <c r="AH385">
        <v>540.41399999999999</v>
      </c>
      <c r="AI385" t="s">
        <v>22</v>
      </c>
      <c r="AJ385">
        <v>1545</v>
      </c>
      <c r="AK385">
        <v>1837.5</v>
      </c>
      <c r="AL385">
        <v>272.5</v>
      </c>
      <c r="AM385">
        <v>2.5</v>
      </c>
      <c r="AN385">
        <v>25</v>
      </c>
      <c r="AO385">
        <v>0</v>
      </c>
      <c r="AP385">
        <v>0</v>
      </c>
      <c r="AQ385">
        <v>0</v>
      </c>
      <c r="AR385">
        <v>27.5</v>
      </c>
      <c r="AS385">
        <v>102.5</v>
      </c>
      <c r="AT385">
        <v>3812.5</v>
      </c>
      <c r="AU385" t="s">
        <v>34</v>
      </c>
    </row>
    <row r="386" spans="1:47" x14ac:dyDescent="0.2">
      <c r="A386">
        <v>404</v>
      </c>
      <c r="B386" t="s">
        <v>310</v>
      </c>
      <c r="C386">
        <v>31</v>
      </c>
      <c r="D386" t="s">
        <v>247</v>
      </c>
      <c r="G386" t="str">
        <f t="shared" si="5"/>
        <v>HLY070231NWC2</v>
      </c>
      <c r="H386">
        <v>63.110190000000003</v>
      </c>
      <c r="I386">
        <v>-173.17500000000001</v>
      </c>
      <c r="J386" s="3">
        <v>20070525</v>
      </c>
      <c r="K386">
        <v>2007</v>
      </c>
      <c r="L386">
        <v>2.6642800000000002</v>
      </c>
      <c r="M386">
        <v>10.67557</v>
      </c>
      <c r="N386">
        <v>1.8804700000000001</v>
      </c>
      <c r="O386">
        <v>2.3000000000000001E-4</v>
      </c>
      <c r="P386">
        <v>0.26274999999999998</v>
      </c>
      <c r="Q386">
        <v>0</v>
      </c>
      <c r="R386">
        <v>0</v>
      </c>
      <c r="S386">
        <v>0</v>
      </c>
      <c r="T386">
        <v>1.0890299999999999</v>
      </c>
      <c r="U386">
        <v>0.23799999999999999</v>
      </c>
      <c r="V386">
        <v>16.81033</v>
      </c>
      <c r="W386" t="s">
        <v>10</v>
      </c>
      <c r="X386">
        <v>45.304000000000002</v>
      </c>
      <c r="Y386">
        <v>304.99200000000002</v>
      </c>
      <c r="Z386">
        <v>22.577999999999999</v>
      </c>
      <c r="AA386">
        <v>5.0000000000000001E-3</v>
      </c>
      <c r="AB386">
        <v>18.768000000000001</v>
      </c>
      <c r="AC386">
        <v>0</v>
      </c>
      <c r="AD386">
        <v>0</v>
      </c>
      <c r="AE386">
        <v>0</v>
      </c>
      <c r="AF386">
        <v>11.71</v>
      </c>
      <c r="AG386">
        <v>4.9249999999999998</v>
      </c>
      <c r="AH386">
        <v>408.28199999999998</v>
      </c>
      <c r="AI386" t="s">
        <v>22</v>
      </c>
      <c r="AJ386">
        <v>1065</v>
      </c>
      <c r="AK386">
        <v>3127.5</v>
      </c>
      <c r="AL386">
        <v>720</v>
      </c>
      <c r="AM386">
        <v>5</v>
      </c>
      <c r="AN386">
        <v>5</v>
      </c>
      <c r="AO386">
        <v>0</v>
      </c>
      <c r="AP386">
        <v>0</v>
      </c>
      <c r="AQ386">
        <v>0</v>
      </c>
      <c r="AR386">
        <v>15</v>
      </c>
      <c r="AS386">
        <v>205</v>
      </c>
      <c r="AT386">
        <v>5142.5</v>
      </c>
      <c r="AU386" t="s">
        <v>34</v>
      </c>
    </row>
    <row r="387" spans="1:47" x14ac:dyDescent="0.2">
      <c r="A387">
        <v>405</v>
      </c>
      <c r="B387" t="s">
        <v>310</v>
      </c>
      <c r="C387">
        <v>32</v>
      </c>
      <c r="D387" t="s">
        <v>249</v>
      </c>
      <c r="G387" t="str">
        <f t="shared" ref="G387:G450" si="6">CONCATENATE(B387,C387,D387)</f>
        <v>HLY070232VNG5</v>
      </c>
      <c r="H387">
        <v>62.964840000000002</v>
      </c>
      <c r="I387">
        <v>-173.02600000000001</v>
      </c>
      <c r="J387" s="3">
        <v>20070525</v>
      </c>
      <c r="K387">
        <v>2007</v>
      </c>
      <c r="L387">
        <v>1.52352</v>
      </c>
      <c r="M387">
        <v>26.513390000000001</v>
      </c>
      <c r="N387">
        <v>1.28962</v>
      </c>
      <c r="O387">
        <v>9.8999999999999999E-4</v>
      </c>
      <c r="P387">
        <v>0.65527000000000002</v>
      </c>
      <c r="Q387">
        <v>0</v>
      </c>
      <c r="R387">
        <v>0</v>
      </c>
      <c r="S387">
        <v>0</v>
      </c>
      <c r="T387">
        <v>5.7135499999999997</v>
      </c>
      <c r="U387">
        <v>4.8000000000000001E-2</v>
      </c>
      <c r="V387">
        <v>35.744340000000001</v>
      </c>
      <c r="W387" t="s">
        <v>10</v>
      </c>
      <c r="X387">
        <v>22.013999999999999</v>
      </c>
      <c r="Y387">
        <v>833.91200000000003</v>
      </c>
      <c r="Z387">
        <v>16.779</v>
      </c>
      <c r="AA387">
        <v>2.1999999999999999E-2</v>
      </c>
      <c r="AB387">
        <v>46.805</v>
      </c>
      <c r="AC387">
        <v>0</v>
      </c>
      <c r="AD387">
        <v>0</v>
      </c>
      <c r="AE387">
        <v>0</v>
      </c>
      <c r="AF387">
        <v>61.436</v>
      </c>
      <c r="AG387">
        <v>1.17</v>
      </c>
      <c r="AH387">
        <v>982.13800000000003</v>
      </c>
      <c r="AI387" t="s">
        <v>22</v>
      </c>
      <c r="AJ387">
        <v>260</v>
      </c>
      <c r="AK387">
        <v>1445</v>
      </c>
      <c r="AL387">
        <v>370</v>
      </c>
      <c r="AM387">
        <v>2.5</v>
      </c>
      <c r="AN387">
        <v>52.5</v>
      </c>
      <c r="AO387">
        <v>0</v>
      </c>
      <c r="AP387">
        <v>0</v>
      </c>
      <c r="AQ387">
        <v>0</v>
      </c>
      <c r="AR387">
        <v>40</v>
      </c>
      <c r="AS387">
        <v>90</v>
      </c>
      <c r="AT387">
        <v>2260</v>
      </c>
      <c r="AU387" t="s">
        <v>34</v>
      </c>
    </row>
    <row r="388" spans="1:47" x14ac:dyDescent="0.2">
      <c r="A388">
        <v>406</v>
      </c>
      <c r="B388" t="s">
        <v>310</v>
      </c>
      <c r="C388">
        <v>33</v>
      </c>
      <c r="D388" t="s">
        <v>250</v>
      </c>
      <c r="G388" t="str">
        <f t="shared" si="6"/>
        <v>HLY070233SWC3A</v>
      </c>
      <c r="H388">
        <v>62.753189999999996</v>
      </c>
      <c r="I388">
        <v>-172.71199999999999</v>
      </c>
      <c r="J388" s="3">
        <v>20070525</v>
      </c>
      <c r="K388">
        <v>2007</v>
      </c>
      <c r="L388">
        <v>3.8187799999999998</v>
      </c>
      <c r="M388">
        <v>7.6164399999999999</v>
      </c>
      <c r="N388">
        <v>0.31025000000000003</v>
      </c>
      <c r="O388">
        <v>5.5219999999999998E-2</v>
      </c>
      <c r="P388">
        <v>0.34742000000000001</v>
      </c>
      <c r="Q388">
        <v>0</v>
      </c>
      <c r="R388">
        <v>0</v>
      </c>
      <c r="S388">
        <v>0</v>
      </c>
      <c r="T388">
        <v>1.1273500000000001</v>
      </c>
      <c r="U388">
        <v>9.4270000000000007E-2</v>
      </c>
      <c r="V388">
        <v>13.369730000000001</v>
      </c>
      <c r="W388" t="s">
        <v>10</v>
      </c>
      <c r="X388">
        <v>57.7</v>
      </c>
      <c r="Y388">
        <v>213.124</v>
      </c>
      <c r="Z388">
        <v>4.0410000000000004</v>
      </c>
      <c r="AA388">
        <v>1.2270000000000001</v>
      </c>
      <c r="AB388">
        <v>24.815999999999999</v>
      </c>
      <c r="AC388">
        <v>0</v>
      </c>
      <c r="AD388">
        <v>0</v>
      </c>
      <c r="AE388">
        <v>0</v>
      </c>
      <c r="AF388">
        <v>12.122</v>
      </c>
      <c r="AG388">
        <v>4.13</v>
      </c>
      <c r="AH388">
        <v>317.16000000000003</v>
      </c>
      <c r="AI388" t="s">
        <v>22</v>
      </c>
      <c r="AJ388">
        <v>515</v>
      </c>
      <c r="AK388">
        <v>1332.5</v>
      </c>
      <c r="AL388">
        <v>385</v>
      </c>
      <c r="AM388">
        <v>10</v>
      </c>
      <c r="AN388">
        <v>12.5</v>
      </c>
      <c r="AO388">
        <v>0</v>
      </c>
      <c r="AP388">
        <v>0</v>
      </c>
      <c r="AQ388">
        <v>0</v>
      </c>
      <c r="AR388">
        <v>30</v>
      </c>
      <c r="AS388">
        <v>127.5</v>
      </c>
      <c r="AT388">
        <v>2412.5</v>
      </c>
      <c r="AU388" t="s">
        <v>34</v>
      </c>
    </row>
    <row r="389" spans="1:47" x14ac:dyDescent="0.2">
      <c r="A389">
        <v>407</v>
      </c>
      <c r="B389" t="s">
        <v>310</v>
      </c>
      <c r="C389">
        <v>34</v>
      </c>
      <c r="D389" t="s">
        <v>260</v>
      </c>
      <c r="G389" t="str">
        <f t="shared" si="6"/>
        <v>HLY070234SWC2</v>
      </c>
      <c r="H389">
        <v>62.92089</v>
      </c>
      <c r="I389">
        <v>-172.28800000000001</v>
      </c>
      <c r="J389" s="3">
        <v>20070526</v>
      </c>
      <c r="K389">
        <v>2007</v>
      </c>
      <c r="L389">
        <v>6.5967000000000002</v>
      </c>
      <c r="M389">
        <v>7.9225500000000002</v>
      </c>
      <c r="N389">
        <v>0.65083000000000002</v>
      </c>
      <c r="O389">
        <v>5.0400000000000002E-3</v>
      </c>
      <c r="P389">
        <v>0.37442999999999999</v>
      </c>
      <c r="Q389">
        <v>0</v>
      </c>
      <c r="R389">
        <v>0</v>
      </c>
      <c r="S389">
        <v>1.52928</v>
      </c>
      <c r="T389">
        <v>3.209E-2</v>
      </c>
      <c r="U389">
        <v>0.33490999999999999</v>
      </c>
      <c r="V389">
        <v>17.445830000000001</v>
      </c>
      <c r="W389" t="s">
        <v>10</v>
      </c>
      <c r="X389">
        <v>117.932</v>
      </c>
      <c r="Y389">
        <v>224.648</v>
      </c>
      <c r="Z389">
        <v>7.9029999999999996</v>
      </c>
      <c r="AA389">
        <v>0.112</v>
      </c>
      <c r="AB389">
        <v>26.745000000000001</v>
      </c>
      <c r="AC389">
        <v>0</v>
      </c>
      <c r="AD389">
        <v>0</v>
      </c>
      <c r="AE389">
        <v>109.23399999999999</v>
      </c>
      <c r="AF389">
        <v>0.34499999999999997</v>
      </c>
      <c r="AG389">
        <v>11.659000000000001</v>
      </c>
      <c r="AH389">
        <v>498.57799999999997</v>
      </c>
      <c r="AI389" t="s">
        <v>22</v>
      </c>
      <c r="AJ389">
        <v>1535</v>
      </c>
      <c r="AK389">
        <v>1050</v>
      </c>
      <c r="AL389">
        <v>550</v>
      </c>
      <c r="AM389">
        <v>15</v>
      </c>
      <c r="AN389">
        <v>22.5</v>
      </c>
      <c r="AO389">
        <v>0</v>
      </c>
      <c r="AP389">
        <v>0</v>
      </c>
      <c r="AQ389">
        <v>27.5</v>
      </c>
      <c r="AR389">
        <v>20</v>
      </c>
      <c r="AS389">
        <v>287.5</v>
      </c>
      <c r="AT389">
        <v>3507.5</v>
      </c>
      <c r="AU389" t="s">
        <v>33</v>
      </c>
    </row>
    <row r="390" spans="1:47" x14ac:dyDescent="0.2">
      <c r="A390">
        <v>408</v>
      </c>
      <c r="B390" t="s">
        <v>310</v>
      </c>
      <c r="C390">
        <v>35</v>
      </c>
      <c r="D390" t="s">
        <v>259</v>
      </c>
      <c r="G390" t="str">
        <f t="shared" si="6"/>
        <v>HLY070235SIL2</v>
      </c>
      <c r="H390">
        <v>62.754820000000002</v>
      </c>
      <c r="I390">
        <v>-171.67400000000001</v>
      </c>
      <c r="J390" s="3">
        <v>20070526</v>
      </c>
      <c r="K390">
        <v>2007</v>
      </c>
      <c r="L390">
        <v>2.6005400000000001</v>
      </c>
      <c r="M390">
        <v>10.46819</v>
      </c>
      <c r="N390">
        <v>0.12948999999999999</v>
      </c>
      <c r="O390">
        <v>0</v>
      </c>
      <c r="P390">
        <v>4.0000000000000003E-5</v>
      </c>
      <c r="Q390">
        <v>0</v>
      </c>
      <c r="R390">
        <v>2.4000000000000001E-4</v>
      </c>
      <c r="S390">
        <v>1.89161</v>
      </c>
      <c r="T390">
        <v>6.3200000000000001E-3</v>
      </c>
      <c r="U390">
        <v>3.4160000000000003E-2</v>
      </c>
      <c r="V390">
        <v>15.13059</v>
      </c>
      <c r="W390" t="s">
        <v>10</v>
      </c>
      <c r="X390">
        <v>41.024999999999999</v>
      </c>
      <c r="Y390">
        <v>269.78199999999998</v>
      </c>
      <c r="Z390">
        <v>1.744</v>
      </c>
      <c r="AA390">
        <v>0</v>
      </c>
      <c r="AB390">
        <v>3.0000000000000001E-3</v>
      </c>
      <c r="AC390">
        <v>0</v>
      </c>
      <c r="AD390">
        <v>4.0000000000000001E-3</v>
      </c>
      <c r="AE390">
        <v>110.389</v>
      </c>
      <c r="AF390">
        <v>6.8000000000000005E-2</v>
      </c>
      <c r="AG390">
        <v>0.54800000000000004</v>
      </c>
      <c r="AH390">
        <v>423.56299999999999</v>
      </c>
      <c r="AI390" t="s">
        <v>22</v>
      </c>
      <c r="AJ390">
        <v>1682.5</v>
      </c>
      <c r="AK390">
        <v>2775</v>
      </c>
      <c r="AL390">
        <v>1440</v>
      </c>
      <c r="AM390">
        <v>0</v>
      </c>
      <c r="AN390">
        <v>5</v>
      </c>
      <c r="AO390">
        <v>0</v>
      </c>
      <c r="AP390">
        <v>0</v>
      </c>
      <c r="AQ390">
        <v>240</v>
      </c>
      <c r="AR390">
        <v>17.5</v>
      </c>
      <c r="AS390">
        <v>75</v>
      </c>
      <c r="AT390">
        <v>6235</v>
      </c>
      <c r="AU390" t="s">
        <v>34</v>
      </c>
    </row>
    <row r="391" spans="1:47" x14ac:dyDescent="0.2">
      <c r="A391">
        <v>409</v>
      </c>
      <c r="B391" t="s">
        <v>310</v>
      </c>
      <c r="C391">
        <v>36</v>
      </c>
      <c r="D391" t="s">
        <v>258</v>
      </c>
      <c r="G391" t="str">
        <f t="shared" si="6"/>
        <v>HLY070236SEC2</v>
      </c>
      <c r="H391">
        <v>62.60774</v>
      </c>
      <c r="I391">
        <v>-170.94900000000001</v>
      </c>
      <c r="J391" s="3">
        <v>20070526</v>
      </c>
      <c r="K391">
        <v>2007</v>
      </c>
      <c r="L391">
        <v>1.29593</v>
      </c>
      <c r="M391">
        <v>7.1058899999999996</v>
      </c>
      <c r="N391">
        <v>0.23219000000000001</v>
      </c>
      <c r="O391">
        <v>0</v>
      </c>
      <c r="P391">
        <v>0</v>
      </c>
      <c r="Q391">
        <v>0</v>
      </c>
      <c r="R391">
        <v>0</v>
      </c>
      <c r="S391">
        <v>1.97133</v>
      </c>
      <c r="T391">
        <v>0</v>
      </c>
      <c r="U391">
        <v>8.1269999999999995E-2</v>
      </c>
      <c r="V391">
        <v>10.68661</v>
      </c>
      <c r="W391" t="s">
        <v>10</v>
      </c>
      <c r="X391">
        <v>18.602</v>
      </c>
      <c r="Y391">
        <v>186.346</v>
      </c>
      <c r="Z391">
        <v>3.3140000000000001</v>
      </c>
      <c r="AA391">
        <v>0</v>
      </c>
      <c r="AB391">
        <v>0</v>
      </c>
      <c r="AC391">
        <v>0</v>
      </c>
      <c r="AD391">
        <v>0</v>
      </c>
      <c r="AE391">
        <v>140.809</v>
      </c>
      <c r="AF391">
        <v>0</v>
      </c>
      <c r="AG391">
        <v>2.544</v>
      </c>
      <c r="AH391">
        <v>351.61500000000001</v>
      </c>
      <c r="AI391" t="s">
        <v>22</v>
      </c>
      <c r="AJ391">
        <v>575</v>
      </c>
      <c r="AK391">
        <v>1195</v>
      </c>
      <c r="AL391">
        <v>1802.5</v>
      </c>
      <c r="AM391">
        <v>0</v>
      </c>
      <c r="AN391">
        <v>0</v>
      </c>
      <c r="AO391">
        <v>0</v>
      </c>
      <c r="AP391">
        <v>0</v>
      </c>
      <c r="AQ391">
        <v>130</v>
      </c>
      <c r="AR391">
        <v>0</v>
      </c>
      <c r="AS391">
        <v>30</v>
      </c>
      <c r="AT391">
        <v>3732.5</v>
      </c>
      <c r="AU391" t="s">
        <v>35</v>
      </c>
    </row>
    <row r="392" spans="1:47" x14ac:dyDescent="0.2">
      <c r="A392">
        <v>410</v>
      </c>
      <c r="B392" t="s">
        <v>310</v>
      </c>
      <c r="C392">
        <v>37</v>
      </c>
      <c r="D392" t="s">
        <v>257</v>
      </c>
      <c r="G392" t="str">
        <f t="shared" si="6"/>
        <v>HLY070237NEC2.5</v>
      </c>
      <c r="H392">
        <v>62.470869999999998</v>
      </c>
      <c r="I392">
        <v>-170.965</v>
      </c>
      <c r="J392" s="3">
        <v>20070526</v>
      </c>
      <c r="K392">
        <v>2007</v>
      </c>
      <c r="L392">
        <v>1.13317</v>
      </c>
      <c r="M392">
        <v>3.5904199999999999</v>
      </c>
      <c r="N392">
        <v>0.18872</v>
      </c>
      <c r="O392">
        <v>0</v>
      </c>
      <c r="P392">
        <v>5.1700000000000003E-2</v>
      </c>
      <c r="Q392">
        <v>0</v>
      </c>
      <c r="R392">
        <v>0</v>
      </c>
      <c r="S392">
        <v>2.1352899999999999</v>
      </c>
      <c r="T392">
        <v>1.9000000000000001E-4</v>
      </c>
      <c r="U392">
        <v>0.13109999999999999</v>
      </c>
      <c r="V392">
        <v>7.2305900000000003</v>
      </c>
      <c r="W392" t="s">
        <v>10</v>
      </c>
      <c r="X392">
        <v>15.8</v>
      </c>
      <c r="Y392">
        <v>105.72799999999999</v>
      </c>
      <c r="Z392">
        <v>2.6560000000000001</v>
      </c>
      <c r="AA392">
        <v>0</v>
      </c>
      <c r="AB392">
        <v>3.6930000000000001</v>
      </c>
      <c r="AC392">
        <v>0</v>
      </c>
      <c r="AD392">
        <v>0</v>
      </c>
      <c r="AE392">
        <v>152.52099999999999</v>
      </c>
      <c r="AF392">
        <v>2E-3</v>
      </c>
      <c r="AG392">
        <v>5.7370000000000001</v>
      </c>
      <c r="AH392">
        <v>286.137</v>
      </c>
      <c r="AI392" t="s">
        <v>28</v>
      </c>
      <c r="AJ392">
        <v>495</v>
      </c>
      <c r="AK392">
        <v>1217.5</v>
      </c>
      <c r="AL392">
        <v>2360</v>
      </c>
      <c r="AM392">
        <v>0</v>
      </c>
      <c r="AN392">
        <v>7.5</v>
      </c>
      <c r="AO392">
        <v>0</v>
      </c>
      <c r="AP392">
        <v>0</v>
      </c>
      <c r="AQ392">
        <v>235</v>
      </c>
      <c r="AR392">
        <v>7.5</v>
      </c>
      <c r="AS392">
        <v>57.5</v>
      </c>
      <c r="AT392">
        <v>4380</v>
      </c>
      <c r="AU392" t="s">
        <v>35</v>
      </c>
    </row>
    <row r="393" spans="1:47" x14ac:dyDescent="0.2">
      <c r="A393">
        <v>411</v>
      </c>
      <c r="B393" t="s">
        <v>310</v>
      </c>
      <c r="C393">
        <v>38</v>
      </c>
      <c r="D393" t="s">
        <v>256</v>
      </c>
      <c r="G393" t="str">
        <f t="shared" si="6"/>
        <v>HLY070238NEC2</v>
      </c>
      <c r="H393">
        <v>62.428829999999998</v>
      </c>
      <c r="I393">
        <v>-170.05699999999999</v>
      </c>
      <c r="J393" s="3">
        <v>20070527</v>
      </c>
      <c r="K393">
        <v>2007</v>
      </c>
      <c r="L393">
        <v>0.70104</v>
      </c>
      <c r="M393">
        <v>0.78583999999999998</v>
      </c>
      <c r="N393">
        <v>0.47514000000000001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3.6639999999999999E-2</v>
      </c>
      <c r="U393">
        <v>7.9890000000000003E-2</v>
      </c>
      <c r="V393">
        <v>2.0785499999999999</v>
      </c>
      <c r="W393" t="s">
        <v>10</v>
      </c>
      <c r="X393">
        <v>9.8070000000000004</v>
      </c>
      <c r="Y393">
        <v>38.155999999999999</v>
      </c>
      <c r="Z393">
        <v>6.7750000000000004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0.39400000000000002</v>
      </c>
      <c r="AG393">
        <v>2.133</v>
      </c>
      <c r="AH393">
        <v>57.265000000000001</v>
      </c>
      <c r="AI393" t="s">
        <v>22</v>
      </c>
      <c r="AJ393">
        <v>777.5</v>
      </c>
      <c r="AK393">
        <v>1317.5</v>
      </c>
      <c r="AL393">
        <v>3912.5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27.5</v>
      </c>
      <c r="AS393">
        <v>47.5</v>
      </c>
      <c r="AT393">
        <v>6082.5</v>
      </c>
      <c r="AU393" t="s">
        <v>35</v>
      </c>
    </row>
    <row r="394" spans="1:47" x14ac:dyDescent="0.2">
      <c r="A394">
        <v>412</v>
      </c>
      <c r="B394" t="s">
        <v>310</v>
      </c>
      <c r="C394">
        <v>4</v>
      </c>
      <c r="D394" t="s">
        <v>261</v>
      </c>
      <c r="G394" t="str">
        <f t="shared" si="6"/>
        <v>HLY07024SWC5</v>
      </c>
      <c r="H394">
        <v>61.885089999999998</v>
      </c>
      <c r="I394">
        <v>-174.36799999999999</v>
      </c>
      <c r="J394" s="3">
        <v>20070519</v>
      </c>
      <c r="K394">
        <v>2007</v>
      </c>
      <c r="L394">
        <v>4.4104900000000002</v>
      </c>
      <c r="M394">
        <v>3.09091</v>
      </c>
      <c r="N394">
        <v>0.24163999999999999</v>
      </c>
      <c r="O394">
        <v>2.7000000000000001E-3</v>
      </c>
      <c r="P394">
        <v>0.16014999999999999</v>
      </c>
      <c r="Q394">
        <v>0</v>
      </c>
      <c r="R394">
        <v>1.538E-2</v>
      </c>
      <c r="S394">
        <v>0</v>
      </c>
      <c r="T394">
        <v>1.6210800000000001</v>
      </c>
      <c r="U394">
        <v>4.1750000000000002E-2</v>
      </c>
      <c r="V394">
        <v>9.5840999999999994</v>
      </c>
      <c r="W394" t="s">
        <v>9</v>
      </c>
      <c r="X394">
        <v>62.058999999999997</v>
      </c>
      <c r="Y394">
        <v>84.587000000000003</v>
      </c>
      <c r="Z394">
        <v>3.0880000000000001</v>
      </c>
      <c r="AA394">
        <v>0.06</v>
      </c>
      <c r="AB394">
        <v>11.439</v>
      </c>
      <c r="AC394">
        <v>0</v>
      </c>
      <c r="AD394">
        <v>0.252</v>
      </c>
      <c r="AE394">
        <v>0</v>
      </c>
      <c r="AF394">
        <v>17.431000000000001</v>
      </c>
      <c r="AG394">
        <v>0.67200000000000004</v>
      </c>
      <c r="AH394">
        <v>179.58799999999999</v>
      </c>
      <c r="AI394" t="s">
        <v>22</v>
      </c>
      <c r="AJ394">
        <v>827.5</v>
      </c>
      <c r="AK394">
        <v>2067.5</v>
      </c>
      <c r="AL394">
        <v>117.5</v>
      </c>
      <c r="AM394">
        <v>15</v>
      </c>
      <c r="AN394">
        <v>92.5</v>
      </c>
      <c r="AO394">
        <v>0</v>
      </c>
      <c r="AP394">
        <v>2.5</v>
      </c>
      <c r="AQ394">
        <v>0</v>
      </c>
      <c r="AR394">
        <v>60</v>
      </c>
      <c r="AS394">
        <v>170</v>
      </c>
      <c r="AT394">
        <v>3352.5</v>
      </c>
      <c r="AU394" t="s">
        <v>34</v>
      </c>
    </row>
    <row r="395" spans="1:47" x14ac:dyDescent="0.2">
      <c r="A395">
        <v>413</v>
      </c>
      <c r="B395" t="s">
        <v>310</v>
      </c>
      <c r="C395">
        <v>40</v>
      </c>
      <c r="D395" t="s">
        <v>305</v>
      </c>
      <c r="G395" t="str">
        <f t="shared" si="6"/>
        <v>HLY070240NEC1</v>
      </c>
      <c r="H395">
        <v>62.758189999999999</v>
      </c>
      <c r="I395">
        <v>-169.589</v>
      </c>
      <c r="J395" s="3">
        <v>20070527</v>
      </c>
      <c r="K395">
        <v>2007</v>
      </c>
      <c r="L395">
        <v>2.6031</v>
      </c>
      <c r="M395">
        <v>18.683630000000001</v>
      </c>
      <c r="N395">
        <v>0.19850999999999999</v>
      </c>
      <c r="O395">
        <v>0</v>
      </c>
      <c r="P395">
        <v>1.0000000000000001E-5</v>
      </c>
      <c r="Q395">
        <v>5.8540000000000002E-2</v>
      </c>
      <c r="R395">
        <v>2.6800000000000001E-3</v>
      </c>
      <c r="S395">
        <v>0.29808000000000001</v>
      </c>
      <c r="T395">
        <v>2.9950000000000001E-2</v>
      </c>
      <c r="U395">
        <v>0.23080999999999999</v>
      </c>
      <c r="V395">
        <v>22.105309999999999</v>
      </c>
      <c r="W395" t="s">
        <v>10</v>
      </c>
      <c r="X395">
        <v>37.335999999999999</v>
      </c>
      <c r="Y395">
        <v>578.72900000000004</v>
      </c>
      <c r="Z395">
        <v>2.69</v>
      </c>
      <c r="AA395">
        <v>0</v>
      </c>
      <c r="AB395">
        <v>1E-3</v>
      </c>
      <c r="AC395">
        <v>7.3179999999999996</v>
      </c>
      <c r="AD395">
        <v>4.3999999999999997E-2</v>
      </c>
      <c r="AE395">
        <v>21.291</v>
      </c>
      <c r="AF395">
        <v>0.32200000000000001</v>
      </c>
      <c r="AG395">
        <v>10.563000000000001</v>
      </c>
      <c r="AH395">
        <v>658.29399999999998</v>
      </c>
      <c r="AI395" t="s">
        <v>22</v>
      </c>
      <c r="AJ395">
        <v>832.5</v>
      </c>
      <c r="AK395">
        <v>1190</v>
      </c>
      <c r="AL395">
        <v>1935</v>
      </c>
      <c r="AM395">
        <v>0</v>
      </c>
      <c r="AN395">
        <v>0</v>
      </c>
      <c r="AO395">
        <v>2.5</v>
      </c>
      <c r="AP395">
        <v>2.5</v>
      </c>
      <c r="AQ395">
        <v>322.5</v>
      </c>
      <c r="AR395">
        <v>50</v>
      </c>
      <c r="AS395">
        <v>12.5</v>
      </c>
      <c r="AT395">
        <v>4347.5</v>
      </c>
      <c r="AU395" t="s">
        <v>35</v>
      </c>
    </row>
    <row r="396" spans="1:47" x14ac:dyDescent="0.2">
      <c r="A396">
        <v>414</v>
      </c>
      <c r="B396" t="s">
        <v>310</v>
      </c>
      <c r="C396">
        <v>41</v>
      </c>
      <c r="D396" t="s">
        <v>306</v>
      </c>
      <c r="G396" t="str">
        <f t="shared" si="6"/>
        <v>HLY070241UTN5=SEC1</v>
      </c>
      <c r="H396">
        <v>62.997210000000003</v>
      </c>
      <c r="I396">
        <v>-170.267</v>
      </c>
      <c r="J396" s="3">
        <v>20070527</v>
      </c>
      <c r="K396">
        <v>2007</v>
      </c>
      <c r="L396">
        <v>1.2205999999999999</v>
      </c>
      <c r="M396">
        <v>19.172219999999999</v>
      </c>
      <c r="N396">
        <v>0.19345000000000001</v>
      </c>
      <c r="O396">
        <v>2.4045800000000002</v>
      </c>
      <c r="P396">
        <v>0</v>
      </c>
      <c r="Q396">
        <v>0</v>
      </c>
      <c r="R396">
        <v>2.4459999999999999E-2</v>
      </c>
      <c r="S396">
        <v>0</v>
      </c>
      <c r="T396">
        <v>6.4999999999999997E-4</v>
      </c>
      <c r="U396">
        <v>6.7736900000000002</v>
      </c>
      <c r="V396">
        <v>29.789650000000002</v>
      </c>
      <c r="W396" t="s">
        <v>10</v>
      </c>
      <c r="X396">
        <v>18.114999999999998</v>
      </c>
      <c r="Y396">
        <v>548.428</v>
      </c>
      <c r="Z396">
        <v>2.3109999999999999</v>
      </c>
      <c r="AA396">
        <v>53.435000000000002</v>
      </c>
      <c r="AB396">
        <v>0</v>
      </c>
      <c r="AC396">
        <v>0</v>
      </c>
      <c r="AD396">
        <v>0.40100000000000002</v>
      </c>
      <c r="AE396">
        <v>0</v>
      </c>
      <c r="AF396">
        <v>7.0000000000000001E-3</v>
      </c>
      <c r="AG396">
        <v>133.24100000000001</v>
      </c>
      <c r="AH396">
        <v>755.93799999999999</v>
      </c>
      <c r="AI396" t="s">
        <v>22</v>
      </c>
      <c r="AJ396">
        <v>932.5</v>
      </c>
      <c r="AK396">
        <v>1182.5</v>
      </c>
      <c r="AL396">
        <v>417.5</v>
      </c>
      <c r="AM396">
        <v>72.5</v>
      </c>
      <c r="AN396">
        <v>0</v>
      </c>
      <c r="AO396">
        <v>0</v>
      </c>
      <c r="AP396">
        <v>0</v>
      </c>
      <c r="AQ396">
        <v>0</v>
      </c>
      <c r="AR396">
        <v>2.5</v>
      </c>
      <c r="AS396">
        <v>267.5</v>
      </c>
      <c r="AT396">
        <v>2875</v>
      </c>
      <c r="AU396" t="s">
        <v>34</v>
      </c>
    </row>
    <row r="397" spans="1:47" x14ac:dyDescent="0.2">
      <c r="A397">
        <v>415</v>
      </c>
      <c r="B397" t="s">
        <v>310</v>
      </c>
      <c r="C397">
        <v>48</v>
      </c>
      <c r="D397" t="s">
        <v>309</v>
      </c>
      <c r="G397" t="str">
        <f t="shared" si="6"/>
        <v>HLY070248NWC1</v>
      </c>
      <c r="H397">
        <v>63.498440000000002</v>
      </c>
      <c r="I397">
        <v>-172.37299999999999</v>
      </c>
      <c r="J397" s="3">
        <v>20070528</v>
      </c>
      <c r="K397">
        <v>2007</v>
      </c>
      <c r="L397">
        <v>3.0277099999999999</v>
      </c>
      <c r="M397">
        <v>5.1949899999999998</v>
      </c>
      <c r="N397">
        <v>1.00495</v>
      </c>
      <c r="O397">
        <v>1.8000000000000001E-4</v>
      </c>
      <c r="P397">
        <v>1.0000000000000001E-5</v>
      </c>
      <c r="Q397">
        <v>0</v>
      </c>
      <c r="R397">
        <v>0</v>
      </c>
      <c r="S397">
        <v>0</v>
      </c>
      <c r="T397">
        <v>8.9300000000000004E-3</v>
      </c>
      <c r="U397">
        <v>1.4250000000000001E-2</v>
      </c>
      <c r="V397">
        <v>9.2510200000000005</v>
      </c>
      <c r="W397" t="s">
        <v>10</v>
      </c>
      <c r="X397">
        <v>42.158000000000001</v>
      </c>
      <c r="Y397">
        <v>147.98099999999999</v>
      </c>
      <c r="Z397">
        <v>14.62</v>
      </c>
      <c r="AA397">
        <v>4.0000000000000001E-3</v>
      </c>
      <c r="AB397">
        <v>1E-3</v>
      </c>
      <c r="AC397">
        <v>0</v>
      </c>
      <c r="AD397">
        <v>0</v>
      </c>
      <c r="AE397">
        <v>0</v>
      </c>
      <c r="AF397">
        <v>9.6000000000000002E-2</v>
      </c>
      <c r="AG397">
        <v>0.23100000000000001</v>
      </c>
      <c r="AH397">
        <v>205.09100000000001</v>
      </c>
      <c r="AI397" t="s">
        <v>22</v>
      </c>
      <c r="AJ397">
        <v>1277.5</v>
      </c>
      <c r="AK397">
        <v>2015</v>
      </c>
      <c r="AL397">
        <v>8540</v>
      </c>
      <c r="AM397">
        <v>2.5</v>
      </c>
      <c r="AN397">
        <v>2.5</v>
      </c>
      <c r="AO397">
        <v>0</v>
      </c>
      <c r="AP397">
        <v>0</v>
      </c>
      <c r="AQ397">
        <v>0</v>
      </c>
      <c r="AR397">
        <v>7.5</v>
      </c>
      <c r="AS397">
        <v>62.5</v>
      </c>
      <c r="AT397">
        <v>11907.5</v>
      </c>
      <c r="AU397" t="s">
        <v>35</v>
      </c>
    </row>
    <row r="398" spans="1:47" x14ac:dyDescent="0.2">
      <c r="A398">
        <v>416</v>
      </c>
      <c r="B398" t="s">
        <v>310</v>
      </c>
      <c r="C398">
        <v>5</v>
      </c>
      <c r="D398" s="4" t="s">
        <v>551</v>
      </c>
      <c r="E398" s="4" t="s">
        <v>551</v>
      </c>
      <c r="F398" s="4" t="s">
        <v>268</v>
      </c>
      <c r="G398" t="str">
        <f t="shared" si="6"/>
        <v>HLY07025SLIP1</v>
      </c>
      <c r="H398">
        <v>62.017789999999998</v>
      </c>
      <c r="I398">
        <v>-175.06100000000001</v>
      </c>
      <c r="J398" s="3">
        <v>20070519</v>
      </c>
      <c r="K398">
        <v>2007</v>
      </c>
      <c r="L398">
        <v>6.1823899999999998</v>
      </c>
      <c r="M398">
        <v>7.5356699999999996</v>
      </c>
      <c r="N398">
        <v>0.12981999999999999</v>
      </c>
      <c r="O398">
        <v>2.4170000000000001E-2</v>
      </c>
      <c r="P398">
        <v>0.45482</v>
      </c>
      <c r="Q398">
        <v>0</v>
      </c>
      <c r="R398">
        <v>0</v>
      </c>
      <c r="S398">
        <v>2.9899999999999999E-2</v>
      </c>
      <c r="T398">
        <v>1.44875</v>
      </c>
      <c r="U398">
        <v>3.2930000000000001E-2</v>
      </c>
      <c r="V398">
        <v>15.83845</v>
      </c>
      <c r="W398" t="s">
        <v>10</v>
      </c>
      <c r="X398">
        <v>89.198999999999998</v>
      </c>
      <c r="Y398">
        <v>221.52099999999999</v>
      </c>
      <c r="Z398">
        <v>1.63</v>
      </c>
      <c r="AA398">
        <v>0.53700000000000003</v>
      </c>
      <c r="AB398">
        <v>32.487000000000002</v>
      </c>
      <c r="AC398">
        <v>0</v>
      </c>
      <c r="AD398">
        <v>0</v>
      </c>
      <c r="AE398">
        <v>2.1360000000000001</v>
      </c>
      <c r="AF398">
        <v>15.577999999999999</v>
      </c>
      <c r="AG398">
        <v>0.61699999999999999</v>
      </c>
      <c r="AH398">
        <v>363.70499999999998</v>
      </c>
      <c r="AI398" t="s">
        <v>22</v>
      </c>
      <c r="AJ398">
        <v>752.5</v>
      </c>
      <c r="AK398">
        <v>1892.5</v>
      </c>
      <c r="AL398">
        <v>185</v>
      </c>
      <c r="AM398">
        <v>45</v>
      </c>
      <c r="AN398">
        <v>297.5</v>
      </c>
      <c r="AO398">
        <v>0</v>
      </c>
      <c r="AP398">
        <v>0</v>
      </c>
      <c r="AQ398">
        <v>5</v>
      </c>
      <c r="AR398">
        <v>20</v>
      </c>
      <c r="AS398">
        <v>85</v>
      </c>
      <c r="AT398">
        <v>3282.5</v>
      </c>
      <c r="AU398" t="s">
        <v>34</v>
      </c>
    </row>
    <row r="399" spans="1:47" x14ac:dyDescent="0.2">
      <c r="A399">
        <v>417</v>
      </c>
      <c r="B399" t="s">
        <v>310</v>
      </c>
      <c r="C399">
        <v>52</v>
      </c>
      <c r="D399" t="s">
        <v>230</v>
      </c>
      <c r="G399" t="str">
        <f t="shared" si="6"/>
        <v>HLY070252DLN1</v>
      </c>
      <c r="H399">
        <v>63.506770000000003</v>
      </c>
      <c r="I399">
        <v>-172.58099999999999</v>
      </c>
      <c r="J399" s="3">
        <v>20070528</v>
      </c>
      <c r="K399">
        <v>2007</v>
      </c>
      <c r="L399">
        <v>3.1858499999999998</v>
      </c>
      <c r="M399">
        <v>7.3167</v>
      </c>
      <c r="N399">
        <v>5.0773700000000002</v>
      </c>
      <c r="O399">
        <v>0</v>
      </c>
      <c r="P399">
        <v>3.0000000000000001E-5</v>
      </c>
      <c r="Q399">
        <v>0</v>
      </c>
      <c r="R399">
        <v>6.0000000000000002E-5</v>
      </c>
      <c r="S399">
        <v>0</v>
      </c>
      <c r="T399">
        <v>1.3390000000000001E-2</v>
      </c>
      <c r="U399">
        <v>8.0599999999999995E-3</v>
      </c>
      <c r="V399">
        <v>15.601459999999999</v>
      </c>
      <c r="W399" t="s">
        <v>10</v>
      </c>
      <c r="X399">
        <v>45.543999999999997</v>
      </c>
      <c r="Y399">
        <v>211.71600000000001</v>
      </c>
      <c r="Z399">
        <v>74.203000000000003</v>
      </c>
      <c r="AA399">
        <v>0</v>
      </c>
      <c r="AB399">
        <v>2E-3</v>
      </c>
      <c r="AC399">
        <v>0</v>
      </c>
      <c r="AD399">
        <v>1E-3</v>
      </c>
      <c r="AE399">
        <v>0</v>
      </c>
      <c r="AF399">
        <v>0.14399999999999999</v>
      </c>
      <c r="AG399">
        <v>0.13</v>
      </c>
      <c r="AH399">
        <v>331.74</v>
      </c>
      <c r="AI399" t="s">
        <v>22</v>
      </c>
      <c r="AJ399">
        <v>1215</v>
      </c>
      <c r="AK399">
        <v>655</v>
      </c>
      <c r="AL399">
        <v>4152.5</v>
      </c>
      <c r="AM399">
        <v>0</v>
      </c>
      <c r="AN399">
        <v>2.5</v>
      </c>
      <c r="AO399">
        <v>0</v>
      </c>
      <c r="AP399">
        <v>0</v>
      </c>
      <c r="AQ399">
        <v>0</v>
      </c>
      <c r="AR399">
        <v>25</v>
      </c>
      <c r="AS399">
        <v>7.5</v>
      </c>
      <c r="AT399">
        <v>6057.5</v>
      </c>
      <c r="AU399" t="s">
        <v>35</v>
      </c>
    </row>
    <row r="400" spans="1:47" x14ac:dyDescent="0.2">
      <c r="A400">
        <v>418</v>
      </c>
      <c r="B400" t="s">
        <v>310</v>
      </c>
      <c r="C400">
        <v>56</v>
      </c>
      <c r="D400" t="s">
        <v>263</v>
      </c>
      <c r="G400" t="str">
        <f t="shared" si="6"/>
        <v>HLY070256KIV1</v>
      </c>
      <c r="H400">
        <v>64.224540000000005</v>
      </c>
      <c r="I400">
        <v>-170.858</v>
      </c>
      <c r="J400" s="3">
        <v>20070529</v>
      </c>
      <c r="K400">
        <v>2007</v>
      </c>
      <c r="L400">
        <v>0</v>
      </c>
      <c r="M400">
        <v>9.3819999999999997</v>
      </c>
      <c r="N400">
        <v>0</v>
      </c>
      <c r="O400">
        <v>0</v>
      </c>
      <c r="P400">
        <v>0</v>
      </c>
      <c r="Q400">
        <v>5.8639999999999999</v>
      </c>
      <c r="R400">
        <v>0</v>
      </c>
      <c r="S400">
        <v>0</v>
      </c>
      <c r="T400">
        <v>0</v>
      </c>
      <c r="U400">
        <v>0</v>
      </c>
      <c r="V400">
        <v>15.246</v>
      </c>
      <c r="W400" t="s">
        <v>10</v>
      </c>
      <c r="X400">
        <v>0</v>
      </c>
      <c r="Y400">
        <v>596</v>
      </c>
      <c r="Z400">
        <v>0</v>
      </c>
      <c r="AA400">
        <v>0</v>
      </c>
      <c r="AB400">
        <v>0</v>
      </c>
      <c r="AC400">
        <v>733</v>
      </c>
      <c r="AD400">
        <v>0</v>
      </c>
      <c r="AE400">
        <v>0</v>
      </c>
      <c r="AF400">
        <v>0</v>
      </c>
      <c r="AG400">
        <v>0</v>
      </c>
      <c r="AH400">
        <v>1329</v>
      </c>
      <c r="AI400" t="s">
        <v>26</v>
      </c>
      <c r="AJ400">
        <v>0</v>
      </c>
      <c r="AK400">
        <v>20</v>
      </c>
      <c r="AL400">
        <v>0</v>
      </c>
      <c r="AM400">
        <v>0</v>
      </c>
      <c r="AN400">
        <v>0</v>
      </c>
      <c r="AO400">
        <v>30</v>
      </c>
      <c r="AP400">
        <v>0</v>
      </c>
      <c r="AQ400">
        <v>0</v>
      </c>
      <c r="AR400">
        <v>0</v>
      </c>
      <c r="AS400">
        <v>0</v>
      </c>
      <c r="AT400">
        <v>50</v>
      </c>
      <c r="AU400" t="s">
        <v>38</v>
      </c>
    </row>
    <row r="401" spans="1:47" x14ac:dyDescent="0.2">
      <c r="A401">
        <v>419</v>
      </c>
      <c r="B401" t="s">
        <v>310</v>
      </c>
      <c r="C401">
        <v>58</v>
      </c>
      <c r="D401" t="s">
        <v>264</v>
      </c>
      <c r="G401" t="str">
        <f t="shared" si="6"/>
        <v>HLY070258KIV3</v>
      </c>
      <c r="H401">
        <v>64.126009999999994</v>
      </c>
      <c r="I401">
        <v>-169.34100000000001</v>
      </c>
      <c r="J401" s="3">
        <v>20070529</v>
      </c>
      <c r="K401">
        <v>2007</v>
      </c>
      <c r="L401">
        <v>1.47573</v>
      </c>
      <c r="M401">
        <v>2.1526700000000001</v>
      </c>
      <c r="N401">
        <v>4.1529999999999997E-2</v>
      </c>
      <c r="O401">
        <v>0</v>
      </c>
      <c r="P401">
        <v>0</v>
      </c>
      <c r="Q401">
        <v>0</v>
      </c>
      <c r="R401">
        <v>0.31402999999999998</v>
      </c>
      <c r="S401">
        <v>0</v>
      </c>
      <c r="T401">
        <v>0</v>
      </c>
      <c r="U401">
        <v>0</v>
      </c>
      <c r="V401">
        <v>3.9839600000000002</v>
      </c>
      <c r="W401" t="s">
        <v>10</v>
      </c>
      <c r="X401">
        <v>20.753</v>
      </c>
      <c r="Y401">
        <v>66.379000000000005</v>
      </c>
      <c r="Z401">
        <v>0.56599999999999995</v>
      </c>
      <c r="AA401">
        <v>0</v>
      </c>
      <c r="AB401">
        <v>0</v>
      </c>
      <c r="AC401">
        <v>0</v>
      </c>
      <c r="AD401">
        <v>5.1479999999999997</v>
      </c>
      <c r="AE401">
        <v>0</v>
      </c>
      <c r="AF401">
        <v>0</v>
      </c>
      <c r="AG401">
        <v>0</v>
      </c>
      <c r="AH401">
        <v>92.846000000000004</v>
      </c>
      <c r="AI401" t="s">
        <v>22</v>
      </c>
      <c r="AJ401">
        <v>807.5</v>
      </c>
      <c r="AK401">
        <v>117.5</v>
      </c>
      <c r="AL401">
        <v>292.5</v>
      </c>
      <c r="AM401">
        <v>0</v>
      </c>
      <c r="AN401">
        <v>0</v>
      </c>
      <c r="AO401">
        <v>0</v>
      </c>
      <c r="AP401">
        <v>7.5</v>
      </c>
      <c r="AQ401">
        <v>0</v>
      </c>
      <c r="AR401">
        <v>0</v>
      </c>
      <c r="AS401">
        <v>0</v>
      </c>
      <c r="AT401">
        <v>1225</v>
      </c>
      <c r="AU401" t="s">
        <v>33</v>
      </c>
    </row>
    <row r="402" spans="1:47" x14ac:dyDescent="0.2">
      <c r="A402">
        <v>420</v>
      </c>
      <c r="B402" t="s">
        <v>310</v>
      </c>
      <c r="C402">
        <v>59</v>
      </c>
      <c r="D402" t="s">
        <v>265</v>
      </c>
      <c r="G402" t="str">
        <f t="shared" si="6"/>
        <v>HLY070259KIV4</v>
      </c>
      <c r="H402">
        <v>64.066410000000005</v>
      </c>
      <c r="I402">
        <v>-168.61799999999999</v>
      </c>
      <c r="J402" s="3">
        <v>20070529</v>
      </c>
      <c r="K402">
        <v>2007</v>
      </c>
      <c r="L402">
        <v>4.5002599999999999</v>
      </c>
      <c r="M402">
        <v>2.73143</v>
      </c>
      <c r="N402">
        <v>1.3939900000000001</v>
      </c>
      <c r="O402">
        <v>0</v>
      </c>
      <c r="P402">
        <v>0</v>
      </c>
      <c r="Q402">
        <v>0.86670000000000003</v>
      </c>
      <c r="R402">
        <v>5.6849999999999998E-2</v>
      </c>
      <c r="S402">
        <v>0.10902000000000001</v>
      </c>
      <c r="T402">
        <v>3.2599999999999999E-3</v>
      </c>
      <c r="U402">
        <v>0.19836999999999999</v>
      </c>
      <c r="V402">
        <v>9.8598800000000004</v>
      </c>
      <c r="W402" t="s">
        <v>9</v>
      </c>
      <c r="X402">
        <v>62.622</v>
      </c>
      <c r="Y402">
        <v>107.88500000000001</v>
      </c>
      <c r="Z402">
        <v>19.841000000000001</v>
      </c>
      <c r="AA402">
        <v>0</v>
      </c>
      <c r="AB402">
        <v>0</v>
      </c>
      <c r="AC402">
        <v>108.22799999999999</v>
      </c>
      <c r="AD402">
        <v>0.93200000000000005</v>
      </c>
      <c r="AE402">
        <v>2.6589999999999998</v>
      </c>
      <c r="AF402">
        <v>3.5000000000000003E-2</v>
      </c>
      <c r="AG402">
        <v>3.2010000000000001</v>
      </c>
      <c r="AH402">
        <v>305.40300000000002</v>
      </c>
      <c r="AI402" t="s">
        <v>26</v>
      </c>
      <c r="AJ402">
        <v>2545</v>
      </c>
      <c r="AK402">
        <v>1440</v>
      </c>
      <c r="AL402">
        <v>4347.5</v>
      </c>
      <c r="AM402">
        <v>0</v>
      </c>
      <c r="AN402">
        <v>0</v>
      </c>
      <c r="AO402">
        <v>97.5</v>
      </c>
      <c r="AP402">
        <v>0</v>
      </c>
      <c r="AQ402">
        <v>5</v>
      </c>
      <c r="AR402">
        <v>20</v>
      </c>
      <c r="AS402">
        <v>67.5</v>
      </c>
      <c r="AT402">
        <v>8522.5</v>
      </c>
      <c r="AU402" t="s">
        <v>35</v>
      </c>
    </row>
    <row r="403" spans="1:47" x14ac:dyDescent="0.2">
      <c r="A403">
        <v>421</v>
      </c>
      <c r="B403" t="s">
        <v>310</v>
      </c>
      <c r="C403">
        <v>6</v>
      </c>
      <c r="D403" t="s">
        <v>279</v>
      </c>
      <c r="G403" t="str">
        <f t="shared" si="6"/>
        <v>HLY07026NWC5</v>
      </c>
      <c r="H403">
        <v>62.063130000000001</v>
      </c>
      <c r="I403">
        <v>-175.20699999999999</v>
      </c>
      <c r="J403" s="3">
        <v>20070519</v>
      </c>
      <c r="K403">
        <v>2007</v>
      </c>
      <c r="L403">
        <v>3.2220499999999999</v>
      </c>
      <c r="M403">
        <v>4.2666899999999996</v>
      </c>
      <c r="N403">
        <v>0.13222</v>
      </c>
      <c r="O403">
        <v>1.31E-3</v>
      </c>
      <c r="P403">
        <v>0.50773999999999997</v>
      </c>
      <c r="Q403">
        <v>0</v>
      </c>
      <c r="R403">
        <v>0</v>
      </c>
      <c r="S403">
        <v>0</v>
      </c>
      <c r="T403">
        <v>1.36273</v>
      </c>
      <c r="U403">
        <v>3.1460000000000002E-2</v>
      </c>
      <c r="V403">
        <v>9.5242000000000004</v>
      </c>
      <c r="W403" t="s">
        <v>10</v>
      </c>
      <c r="X403">
        <v>46.052999999999997</v>
      </c>
      <c r="Y403">
        <v>131.458</v>
      </c>
      <c r="Z403">
        <v>1.7430000000000001</v>
      </c>
      <c r="AA403">
        <v>2.9000000000000001E-2</v>
      </c>
      <c r="AB403">
        <v>36.267000000000003</v>
      </c>
      <c r="AC403">
        <v>0</v>
      </c>
      <c r="AD403">
        <v>0</v>
      </c>
      <c r="AE403">
        <v>0</v>
      </c>
      <c r="AF403">
        <v>14.653</v>
      </c>
      <c r="AG403">
        <v>0.60899999999999999</v>
      </c>
      <c r="AH403">
        <v>230.81200000000001</v>
      </c>
      <c r="AI403" t="s">
        <v>22</v>
      </c>
      <c r="AJ403">
        <v>330</v>
      </c>
      <c r="AK403">
        <v>1040</v>
      </c>
      <c r="AL403">
        <v>130</v>
      </c>
      <c r="AM403">
        <v>7.5</v>
      </c>
      <c r="AN403">
        <v>290</v>
      </c>
      <c r="AO403">
        <v>0</v>
      </c>
      <c r="AP403">
        <v>0</v>
      </c>
      <c r="AQ403">
        <v>0</v>
      </c>
      <c r="AR403">
        <v>12.5</v>
      </c>
      <c r="AS403">
        <v>62.5</v>
      </c>
      <c r="AT403">
        <v>1872.5</v>
      </c>
      <c r="AU403" t="s">
        <v>34</v>
      </c>
    </row>
    <row r="404" spans="1:47" x14ac:dyDescent="0.2">
      <c r="A404">
        <v>422</v>
      </c>
      <c r="B404" t="s">
        <v>310</v>
      </c>
      <c r="C404">
        <v>60</v>
      </c>
      <c r="D404" t="s">
        <v>266</v>
      </c>
      <c r="G404" t="str">
        <f t="shared" si="6"/>
        <v>HLY070260KIV5</v>
      </c>
      <c r="H404">
        <v>64.018879999999996</v>
      </c>
      <c r="I404">
        <v>-167.874</v>
      </c>
      <c r="J404" s="3">
        <v>20070530</v>
      </c>
      <c r="K404">
        <v>2007</v>
      </c>
      <c r="L404">
        <v>1.3415299999999999</v>
      </c>
      <c r="M404">
        <v>2.5661499999999999</v>
      </c>
      <c r="N404">
        <v>8.1629999999999994E-2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4.4240000000000002E-2</v>
      </c>
      <c r="V404">
        <v>4.03355</v>
      </c>
      <c r="W404" t="s">
        <v>10</v>
      </c>
      <c r="X404">
        <v>19.436</v>
      </c>
      <c r="Y404">
        <v>65.266000000000005</v>
      </c>
      <c r="Z404">
        <v>1.161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4.399</v>
      </c>
      <c r="AH404">
        <v>90.262</v>
      </c>
      <c r="AI404" t="s">
        <v>22</v>
      </c>
      <c r="AJ404">
        <v>300</v>
      </c>
      <c r="AK404">
        <v>785</v>
      </c>
      <c r="AL404">
        <v>635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2.5</v>
      </c>
      <c r="AT404">
        <v>1722.5</v>
      </c>
      <c r="AU404" t="s">
        <v>34</v>
      </c>
    </row>
    <row r="405" spans="1:47" x14ac:dyDescent="0.2">
      <c r="A405">
        <v>423</v>
      </c>
      <c r="B405" t="s">
        <v>310</v>
      </c>
      <c r="C405">
        <v>61</v>
      </c>
      <c r="D405" t="s">
        <v>267</v>
      </c>
      <c r="G405" t="str">
        <f t="shared" si="6"/>
        <v>HLY070261NOM5</v>
      </c>
      <c r="H405">
        <v>64.360619999999997</v>
      </c>
      <c r="I405">
        <v>-168.03299999999999</v>
      </c>
      <c r="J405" s="3">
        <v>20070530</v>
      </c>
      <c r="K405">
        <v>2007</v>
      </c>
      <c r="L405">
        <v>4.9920999999999998</v>
      </c>
      <c r="M405">
        <v>6.1268099999999999</v>
      </c>
      <c r="N405">
        <v>5.5805300000000004</v>
      </c>
      <c r="O405">
        <v>0</v>
      </c>
      <c r="P405">
        <v>2.8800000000000002E-3</v>
      </c>
      <c r="Q405">
        <v>2.4000000000000001E-4</v>
      </c>
      <c r="R405">
        <v>0</v>
      </c>
      <c r="S405">
        <v>1.6082099999999999</v>
      </c>
      <c r="T405">
        <v>2.8549999999999999E-2</v>
      </c>
      <c r="U405">
        <v>0.59087999999999996</v>
      </c>
      <c r="V405">
        <v>18.930199999999999</v>
      </c>
      <c r="W405" t="s">
        <v>10</v>
      </c>
      <c r="X405">
        <v>70.087000000000003</v>
      </c>
      <c r="Y405">
        <v>263.34100000000001</v>
      </c>
      <c r="Z405">
        <v>81.658000000000001</v>
      </c>
      <c r="AA405">
        <v>0</v>
      </c>
      <c r="AB405">
        <v>0.20599999999999999</v>
      </c>
      <c r="AC405">
        <v>2.1999999999999999E-2</v>
      </c>
      <c r="AD405">
        <v>0</v>
      </c>
      <c r="AE405">
        <v>114.872</v>
      </c>
      <c r="AF405">
        <v>0.307</v>
      </c>
      <c r="AG405">
        <v>27.875</v>
      </c>
      <c r="AH405">
        <v>558.36800000000005</v>
      </c>
      <c r="AI405" t="s">
        <v>22</v>
      </c>
      <c r="AJ405">
        <v>627.5</v>
      </c>
      <c r="AK405">
        <v>1280</v>
      </c>
      <c r="AL405">
        <v>13610</v>
      </c>
      <c r="AM405">
        <v>0</v>
      </c>
      <c r="AN405">
        <v>12.5</v>
      </c>
      <c r="AO405">
        <v>17.5</v>
      </c>
      <c r="AP405">
        <v>0</v>
      </c>
      <c r="AQ405">
        <v>25</v>
      </c>
      <c r="AR405">
        <v>10</v>
      </c>
      <c r="AS405">
        <v>15</v>
      </c>
      <c r="AT405">
        <v>15597.5</v>
      </c>
      <c r="AU405" t="s">
        <v>35</v>
      </c>
    </row>
    <row r="406" spans="1:47" x14ac:dyDescent="0.2">
      <c r="A406">
        <v>424</v>
      </c>
      <c r="B406" t="s">
        <v>310</v>
      </c>
      <c r="C406">
        <v>62</v>
      </c>
      <c r="D406" t="s">
        <v>269</v>
      </c>
      <c r="G406" t="str">
        <f t="shared" si="6"/>
        <v>HLY070262NOM4</v>
      </c>
      <c r="H406">
        <v>64.364009999999993</v>
      </c>
      <c r="I406">
        <v>-168.64400000000001</v>
      </c>
      <c r="J406" s="3">
        <v>20070530</v>
      </c>
      <c r="K406">
        <v>2007</v>
      </c>
      <c r="L406">
        <v>2.5018600000000002</v>
      </c>
      <c r="M406">
        <v>5.2564599999999997</v>
      </c>
      <c r="N406">
        <v>6.57538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14.3337</v>
      </c>
      <c r="W406" t="s">
        <v>11</v>
      </c>
      <c r="X406">
        <v>37.917000000000002</v>
      </c>
      <c r="Y406">
        <v>121.73</v>
      </c>
      <c r="Z406">
        <v>96.48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256.12700000000001</v>
      </c>
      <c r="AI406" t="s">
        <v>22</v>
      </c>
      <c r="AJ406">
        <v>1342.5</v>
      </c>
      <c r="AK406">
        <v>1855</v>
      </c>
      <c r="AL406">
        <v>3075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6272.5</v>
      </c>
      <c r="AU406" t="s">
        <v>35</v>
      </c>
    </row>
    <row r="407" spans="1:47" x14ac:dyDescent="0.2">
      <c r="A407">
        <v>425</v>
      </c>
      <c r="B407" t="s">
        <v>310</v>
      </c>
      <c r="C407">
        <v>63</v>
      </c>
      <c r="D407" t="s">
        <v>270</v>
      </c>
      <c r="G407" t="str">
        <f t="shared" si="6"/>
        <v>HLY070263NOM3</v>
      </c>
      <c r="H407">
        <v>64.379170000000002</v>
      </c>
      <c r="I407">
        <v>-169.286</v>
      </c>
      <c r="J407" s="3">
        <v>20070530</v>
      </c>
      <c r="K407">
        <v>2007</v>
      </c>
      <c r="L407">
        <v>1.575</v>
      </c>
      <c r="M407">
        <v>0.43130000000000002</v>
      </c>
      <c r="N407">
        <v>4.6460000000000001E-2</v>
      </c>
      <c r="O407">
        <v>0</v>
      </c>
      <c r="P407">
        <v>0</v>
      </c>
      <c r="Q407">
        <v>0</v>
      </c>
      <c r="R407">
        <v>0</v>
      </c>
      <c r="S407">
        <v>2.4389999999999998E-2</v>
      </c>
      <c r="T407">
        <v>1.9000000000000001E-4</v>
      </c>
      <c r="U407">
        <v>0</v>
      </c>
      <c r="V407">
        <v>2.07734</v>
      </c>
      <c r="W407" t="s">
        <v>9</v>
      </c>
      <c r="X407">
        <v>22.21</v>
      </c>
      <c r="Y407">
        <v>14.794</v>
      </c>
      <c r="Z407">
        <v>0.66400000000000003</v>
      </c>
      <c r="AA407">
        <v>0</v>
      </c>
      <c r="AB407">
        <v>0</v>
      </c>
      <c r="AC407">
        <v>0</v>
      </c>
      <c r="AD407">
        <v>0</v>
      </c>
      <c r="AE407">
        <v>1.742</v>
      </c>
      <c r="AF407">
        <v>2E-3</v>
      </c>
      <c r="AG407">
        <v>0</v>
      </c>
      <c r="AH407">
        <v>39.411999999999999</v>
      </c>
      <c r="AI407" t="s">
        <v>21</v>
      </c>
      <c r="AJ407">
        <v>402.5</v>
      </c>
      <c r="AK407">
        <v>175</v>
      </c>
      <c r="AL407">
        <v>687.5</v>
      </c>
      <c r="AM407">
        <v>0</v>
      </c>
      <c r="AN407">
        <v>0</v>
      </c>
      <c r="AO407">
        <v>0</v>
      </c>
      <c r="AP407">
        <v>0</v>
      </c>
      <c r="AQ407">
        <v>5</v>
      </c>
      <c r="AR407">
        <v>2.5</v>
      </c>
      <c r="AS407">
        <v>0</v>
      </c>
      <c r="AT407">
        <v>1272.5</v>
      </c>
      <c r="AU407" t="s">
        <v>35</v>
      </c>
    </row>
    <row r="408" spans="1:47" x14ac:dyDescent="0.2">
      <c r="A408">
        <v>426</v>
      </c>
      <c r="B408" t="s">
        <v>310</v>
      </c>
      <c r="C408">
        <v>64</v>
      </c>
      <c r="D408" t="s">
        <v>271</v>
      </c>
      <c r="G408" t="str">
        <f t="shared" si="6"/>
        <v>HLY070264NOM2</v>
      </c>
      <c r="H408">
        <v>64.422139999999999</v>
      </c>
      <c r="I408">
        <v>-170.072</v>
      </c>
      <c r="J408" s="3">
        <v>20070531</v>
      </c>
      <c r="K408">
        <v>2007</v>
      </c>
      <c r="L408">
        <v>3.3511799999999998</v>
      </c>
      <c r="M408">
        <v>9.0864600000000006</v>
      </c>
      <c r="N408">
        <v>0.39562000000000003</v>
      </c>
      <c r="O408">
        <v>9.0000000000000006E-5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3.1E-4</v>
      </c>
      <c r="V408">
        <v>12.83366</v>
      </c>
      <c r="W408" t="s">
        <v>10</v>
      </c>
      <c r="X408">
        <v>47.356999999999999</v>
      </c>
      <c r="Y408">
        <v>256.83800000000002</v>
      </c>
      <c r="Z408">
        <v>5.7320000000000002</v>
      </c>
      <c r="AA408">
        <v>2E-3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5.0000000000000001E-3</v>
      </c>
      <c r="AH408">
        <v>309.93400000000003</v>
      </c>
      <c r="AI408" t="s">
        <v>22</v>
      </c>
      <c r="AJ408">
        <v>652.5</v>
      </c>
      <c r="AK408">
        <v>2445</v>
      </c>
      <c r="AL408">
        <v>3057.5</v>
      </c>
      <c r="AM408">
        <v>2.5</v>
      </c>
      <c r="AN408">
        <v>5</v>
      </c>
      <c r="AO408">
        <v>0</v>
      </c>
      <c r="AP408">
        <v>0</v>
      </c>
      <c r="AQ408">
        <v>0</v>
      </c>
      <c r="AR408">
        <v>0</v>
      </c>
      <c r="AS408">
        <v>7.5</v>
      </c>
      <c r="AT408">
        <v>6170</v>
      </c>
      <c r="AU408" t="s">
        <v>35</v>
      </c>
    </row>
    <row r="409" spans="1:47" x14ac:dyDescent="0.2">
      <c r="A409">
        <v>427</v>
      </c>
      <c r="B409" t="s">
        <v>310</v>
      </c>
      <c r="C409">
        <v>65</v>
      </c>
      <c r="D409" t="s">
        <v>272</v>
      </c>
      <c r="G409" t="str">
        <f t="shared" si="6"/>
        <v>HLY070265NOM1</v>
      </c>
      <c r="H409">
        <v>64.471350000000001</v>
      </c>
      <c r="I409">
        <v>-170.84899999999999</v>
      </c>
      <c r="J409" s="3">
        <v>20070531</v>
      </c>
      <c r="K409">
        <v>2007</v>
      </c>
      <c r="L409">
        <v>1.54291</v>
      </c>
      <c r="M409">
        <v>0.25746000000000002</v>
      </c>
      <c r="N409">
        <v>0.21365999999999999</v>
      </c>
      <c r="O409">
        <v>2.7E-4</v>
      </c>
      <c r="P409">
        <v>3.0000000000000001E-5</v>
      </c>
      <c r="Q409">
        <v>7.4057599999999999</v>
      </c>
      <c r="R409">
        <v>0</v>
      </c>
      <c r="S409">
        <v>0</v>
      </c>
      <c r="T409">
        <v>2.213E-2</v>
      </c>
      <c r="U409">
        <v>2.3109999999999999E-2</v>
      </c>
      <c r="V409">
        <v>9.4653299999999998</v>
      </c>
      <c r="W409" t="s">
        <v>14</v>
      </c>
      <c r="X409">
        <v>21.69</v>
      </c>
      <c r="Y409">
        <v>8.9589999999999996</v>
      </c>
      <c r="Z409">
        <v>2.9239999999999999</v>
      </c>
      <c r="AA409">
        <v>6.0000000000000001E-3</v>
      </c>
      <c r="AB409">
        <v>2E-3</v>
      </c>
      <c r="AC409">
        <v>925.36800000000005</v>
      </c>
      <c r="AD409">
        <v>0</v>
      </c>
      <c r="AE409">
        <v>0</v>
      </c>
      <c r="AF409">
        <v>0.23799999999999999</v>
      </c>
      <c r="AG409">
        <v>0.89100000000000001</v>
      </c>
      <c r="AH409">
        <v>960.07799999999997</v>
      </c>
      <c r="AI409" t="s">
        <v>26</v>
      </c>
      <c r="AJ409">
        <v>725</v>
      </c>
      <c r="AK409">
        <v>105</v>
      </c>
      <c r="AL409">
        <v>770</v>
      </c>
      <c r="AM409">
        <v>2.5</v>
      </c>
      <c r="AN409">
        <v>2.5</v>
      </c>
      <c r="AO409">
        <v>420</v>
      </c>
      <c r="AP409">
        <v>0</v>
      </c>
      <c r="AQ409">
        <v>0</v>
      </c>
      <c r="AR409">
        <v>7.5</v>
      </c>
      <c r="AS409">
        <v>130</v>
      </c>
      <c r="AT409">
        <v>2162.5</v>
      </c>
      <c r="AU409" t="s">
        <v>35</v>
      </c>
    </row>
    <row r="410" spans="1:47" x14ac:dyDescent="0.2">
      <c r="A410">
        <v>428</v>
      </c>
      <c r="B410" t="s">
        <v>310</v>
      </c>
      <c r="C410">
        <v>66</v>
      </c>
      <c r="D410" t="s">
        <v>273</v>
      </c>
      <c r="G410" t="str">
        <f t="shared" si="6"/>
        <v>HLY070266RUS1</v>
      </c>
      <c r="H410">
        <v>64.692279999999997</v>
      </c>
      <c r="I410">
        <v>-170.58799999999999</v>
      </c>
      <c r="J410" s="3">
        <v>20070531</v>
      </c>
      <c r="K410">
        <v>2007</v>
      </c>
      <c r="L410">
        <v>3.04392</v>
      </c>
      <c r="M410">
        <v>15.64045</v>
      </c>
      <c r="N410">
        <v>0.77181999999999995</v>
      </c>
      <c r="O410">
        <v>0</v>
      </c>
      <c r="P410">
        <v>4.2000000000000002E-4</v>
      </c>
      <c r="Q410">
        <v>0</v>
      </c>
      <c r="R410">
        <v>5.0600000000000003E-3</v>
      </c>
      <c r="S410">
        <v>0</v>
      </c>
      <c r="T410">
        <v>0</v>
      </c>
      <c r="U410">
        <v>3.5E-4</v>
      </c>
      <c r="V410">
        <v>19.462019999999999</v>
      </c>
      <c r="W410" t="s">
        <v>10</v>
      </c>
      <c r="X410">
        <v>43.694000000000003</v>
      </c>
      <c r="Y410">
        <v>678.45799999999997</v>
      </c>
      <c r="Z410">
        <v>10.49</v>
      </c>
      <c r="AA410">
        <v>0</v>
      </c>
      <c r="AB410">
        <v>0.03</v>
      </c>
      <c r="AC410">
        <v>0</v>
      </c>
      <c r="AD410">
        <v>8.3000000000000004E-2</v>
      </c>
      <c r="AE410">
        <v>0</v>
      </c>
      <c r="AF410">
        <v>0</v>
      </c>
      <c r="AG410">
        <v>8.9999999999999993E-3</v>
      </c>
      <c r="AH410">
        <v>732.76400000000001</v>
      </c>
      <c r="AI410" t="s">
        <v>22</v>
      </c>
      <c r="AJ410">
        <v>215</v>
      </c>
      <c r="AK410">
        <v>2430</v>
      </c>
      <c r="AL410">
        <v>1645</v>
      </c>
      <c r="AM410">
        <v>0</v>
      </c>
      <c r="AN410">
        <v>2.5</v>
      </c>
      <c r="AO410">
        <v>0</v>
      </c>
      <c r="AP410">
        <v>2.5</v>
      </c>
      <c r="AQ410">
        <v>0</v>
      </c>
      <c r="AR410">
        <v>0</v>
      </c>
      <c r="AS410">
        <v>7.5</v>
      </c>
      <c r="AT410">
        <v>4302.5</v>
      </c>
      <c r="AU410" t="s">
        <v>34</v>
      </c>
    </row>
    <row r="411" spans="1:47" x14ac:dyDescent="0.2">
      <c r="A411">
        <v>429</v>
      </c>
      <c r="B411" t="s">
        <v>310</v>
      </c>
      <c r="C411">
        <v>67</v>
      </c>
      <c r="D411" t="s">
        <v>274</v>
      </c>
      <c r="G411" t="str">
        <f t="shared" si="6"/>
        <v>HLY070267RUS2</v>
      </c>
      <c r="H411">
        <v>64.661600000000007</v>
      </c>
      <c r="I411">
        <v>-169.941</v>
      </c>
      <c r="J411" s="3">
        <v>20070531</v>
      </c>
      <c r="K411">
        <v>2007</v>
      </c>
      <c r="L411">
        <v>94.034499999999994</v>
      </c>
      <c r="M411">
        <v>9.9964899999999997</v>
      </c>
      <c r="N411">
        <v>0.47288999999999998</v>
      </c>
      <c r="O411">
        <v>2.7130000000000001E-2</v>
      </c>
      <c r="P411">
        <v>6.9999999999999994E-5</v>
      </c>
      <c r="Q411">
        <v>0</v>
      </c>
      <c r="R411">
        <v>6.0879999999999997E-2</v>
      </c>
      <c r="S411">
        <v>1.4149</v>
      </c>
      <c r="T411">
        <v>2.2509999999999999E-2</v>
      </c>
      <c r="U411">
        <v>5.7389999999999997E-2</v>
      </c>
      <c r="V411">
        <v>106.08676</v>
      </c>
      <c r="W411" t="s">
        <v>9</v>
      </c>
      <c r="X411">
        <v>1361.627</v>
      </c>
      <c r="Y411">
        <v>283.94200000000001</v>
      </c>
      <c r="Z411">
        <v>6.5730000000000004</v>
      </c>
      <c r="AA411">
        <v>0.60299999999999998</v>
      </c>
      <c r="AB411">
        <v>5.0000000000000001E-3</v>
      </c>
      <c r="AC411">
        <v>0</v>
      </c>
      <c r="AD411">
        <v>0.998</v>
      </c>
      <c r="AE411">
        <v>95.379000000000005</v>
      </c>
      <c r="AF411">
        <v>0.24199999999999999</v>
      </c>
      <c r="AG411">
        <v>2.2210000000000001</v>
      </c>
      <c r="AH411">
        <v>1751.59</v>
      </c>
      <c r="AI411" t="s">
        <v>21</v>
      </c>
      <c r="AJ411">
        <v>2352.5</v>
      </c>
      <c r="AK411">
        <v>395</v>
      </c>
      <c r="AL411">
        <v>1575</v>
      </c>
      <c r="AM411">
        <v>85</v>
      </c>
      <c r="AN411">
        <v>2.5</v>
      </c>
      <c r="AO411">
        <v>0</v>
      </c>
      <c r="AP411">
        <v>0</v>
      </c>
      <c r="AQ411">
        <v>17.5</v>
      </c>
      <c r="AR411">
        <v>5</v>
      </c>
      <c r="AS411">
        <v>12.5</v>
      </c>
      <c r="AT411">
        <v>4445</v>
      </c>
      <c r="AU411" t="s">
        <v>33</v>
      </c>
    </row>
    <row r="412" spans="1:47" x14ac:dyDescent="0.2">
      <c r="A412">
        <v>430</v>
      </c>
      <c r="B412" t="s">
        <v>310</v>
      </c>
      <c r="C412">
        <v>68</v>
      </c>
      <c r="D412" s="4" t="s">
        <v>557</v>
      </c>
      <c r="E412" s="4" t="s">
        <v>557</v>
      </c>
      <c r="F412" s="4" t="s">
        <v>275</v>
      </c>
      <c r="G412" t="str">
        <f t="shared" si="6"/>
        <v>HLY070268UTBS2</v>
      </c>
      <c r="H412">
        <v>64.676329999999993</v>
      </c>
      <c r="I412">
        <v>-169.102</v>
      </c>
      <c r="J412" s="3">
        <v>20070601</v>
      </c>
      <c r="K412">
        <v>2007</v>
      </c>
      <c r="L412">
        <v>3.8555600000000001</v>
      </c>
      <c r="M412">
        <v>0.62697999999999998</v>
      </c>
      <c r="N412">
        <v>8.8683800000000002</v>
      </c>
      <c r="O412">
        <v>7.8300000000000002E-3</v>
      </c>
      <c r="P412">
        <v>0</v>
      </c>
      <c r="Q412">
        <v>0</v>
      </c>
      <c r="R412">
        <v>0.15848000000000001</v>
      </c>
      <c r="S412">
        <v>0.22828000000000001</v>
      </c>
      <c r="T412">
        <v>7.8310000000000005E-2</v>
      </c>
      <c r="U412">
        <v>4.6000000000000001E-4</v>
      </c>
      <c r="V412">
        <v>13.82428</v>
      </c>
      <c r="W412" t="s">
        <v>11</v>
      </c>
      <c r="X412">
        <v>54.314999999999998</v>
      </c>
      <c r="Y412">
        <v>18.396000000000001</v>
      </c>
      <c r="Z412">
        <v>129.57499999999999</v>
      </c>
      <c r="AA412">
        <v>0.17399999999999999</v>
      </c>
      <c r="AB412">
        <v>0</v>
      </c>
      <c r="AC412">
        <v>0</v>
      </c>
      <c r="AD412">
        <v>2.5979999999999999</v>
      </c>
      <c r="AE412">
        <v>8.0690000000000008</v>
      </c>
      <c r="AF412">
        <v>0.84199999999999997</v>
      </c>
      <c r="AG412">
        <v>4.5999999999999999E-2</v>
      </c>
      <c r="AH412">
        <v>214.01499999999999</v>
      </c>
      <c r="AI412" t="s">
        <v>23</v>
      </c>
      <c r="AJ412">
        <v>870</v>
      </c>
      <c r="AK412">
        <v>547.5</v>
      </c>
      <c r="AL412">
        <v>11590</v>
      </c>
      <c r="AM412">
        <v>15</v>
      </c>
      <c r="AN412">
        <v>0</v>
      </c>
      <c r="AO412">
        <v>0</v>
      </c>
      <c r="AP412">
        <v>0</v>
      </c>
      <c r="AQ412">
        <v>7.5</v>
      </c>
      <c r="AR412">
        <v>77.5</v>
      </c>
      <c r="AS412">
        <v>0</v>
      </c>
      <c r="AT412">
        <v>13107.5</v>
      </c>
      <c r="AU412" t="s">
        <v>35</v>
      </c>
    </row>
    <row r="413" spans="1:47" x14ac:dyDescent="0.2">
      <c r="A413">
        <v>431</v>
      </c>
      <c r="B413" t="s">
        <v>310</v>
      </c>
      <c r="C413">
        <v>69</v>
      </c>
      <c r="D413" t="s">
        <v>276</v>
      </c>
      <c r="G413" t="str">
        <f t="shared" si="6"/>
        <v>HLY070269RUS4</v>
      </c>
      <c r="H413">
        <v>64.646640000000005</v>
      </c>
      <c r="I413">
        <v>-168.12700000000001</v>
      </c>
      <c r="J413" s="3">
        <v>20070601</v>
      </c>
      <c r="K413">
        <v>2007</v>
      </c>
      <c r="L413">
        <v>3.5476100000000002</v>
      </c>
      <c r="M413">
        <v>2.4312900000000002</v>
      </c>
      <c r="N413">
        <v>3.5874999999999999</v>
      </c>
      <c r="O413">
        <v>8.4999999999999995E-4</v>
      </c>
      <c r="P413">
        <v>8.4000000000000003E-4</v>
      </c>
      <c r="Q413">
        <v>0</v>
      </c>
      <c r="R413">
        <v>0.79247000000000001</v>
      </c>
      <c r="S413">
        <v>3.6991900000000002</v>
      </c>
      <c r="T413">
        <v>8.2030000000000006E-2</v>
      </c>
      <c r="U413">
        <v>0.31170999999999999</v>
      </c>
      <c r="V413">
        <v>14.45349</v>
      </c>
      <c r="W413" t="s">
        <v>16</v>
      </c>
      <c r="X413">
        <v>52.140999999999998</v>
      </c>
      <c r="Y413">
        <v>53.805</v>
      </c>
      <c r="Z413">
        <v>52.112000000000002</v>
      </c>
      <c r="AA413">
        <v>1.9E-2</v>
      </c>
      <c r="AB413">
        <v>0.06</v>
      </c>
      <c r="AC413">
        <v>0</v>
      </c>
      <c r="AD413">
        <v>13.002000000000001</v>
      </c>
      <c r="AE413">
        <v>187.54</v>
      </c>
      <c r="AF413">
        <v>0.88200000000000001</v>
      </c>
      <c r="AG413">
        <v>11.922000000000001</v>
      </c>
      <c r="AH413">
        <v>371.483</v>
      </c>
      <c r="AI413" t="s">
        <v>28</v>
      </c>
      <c r="AJ413">
        <v>1555</v>
      </c>
      <c r="AK413">
        <v>1162.5</v>
      </c>
      <c r="AL413">
        <v>7762.5</v>
      </c>
      <c r="AM413">
        <v>2.5</v>
      </c>
      <c r="AN413">
        <v>15</v>
      </c>
      <c r="AO413">
        <v>0</v>
      </c>
      <c r="AP413">
        <v>5</v>
      </c>
      <c r="AQ413">
        <v>12.5</v>
      </c>
      <c r="AR413">
        <v>205</v>
      </c>
      <c r="AS413">
        <v>25</v>
      </c>
      <c r="AT413">
        <v>10745</v>
      </c>
      <c r="AU413" t="s">
        <v>35</v>
      </c>
    </row>
    <row r="414" spans="1:47" x14ac:dyDescent="0.2">
      <c r="A414">
        <v>432</v>
      </c>
      <c r="B414" t="s">
        <v>310</v>
      </c>
      <c r="C414">
        <v>7</v>
      </c>
      <c r="D414" t="s">
        <v>290</v>
      </c>
      <c r="G414" t="str">
        <f t="shared" si="6"/>
        <v>HLY07027DLN5</v>
      </c>
      <c r="H414">
        <v>62.148090000000003</v>
      </c>
      <c r="I414">
        <v>-176.02799999999999</v>
      </c>
      <c r="J414" s="3">
        <v>20070519</v>
      </c>
      <c r="K414">
        <v>2007</v>
      </c>
      <c r="L414">
        <v>1.6188100000000001</v>
      </c>
      <c r="M414">
        <v>2.8212999999999999</v>
      </c>
      <c r="N414">
        <v>5.3330000000000002E-2</v>
      </c>
      <c r="O414">
        <v>0</v>
      </c>
      <c r="P414">
        <v>0.29626999999999998</v>
      </c>
      <c r="Q414">
        <v>1E-4</v>
      </c>
      <c r="R414">
        <v>0</v>
      </c>
      <c r="S414">
        <v>0</v>
      </c>
      <c r="T414">
        <v>1.92919</v>
      </c>
      <c r="U414">
        <v>8.7190000000000004E-2</v>
      </c>
      <c r="V414">
        <v>6.80619</v>
      </c>
      <c r="W414" t="s">
        <v>10</v>
      </c>
      <c r="X414">
        <v>22.85</v>
      </c>
      <c r="Y414">
        <v>130.49600000000001</v>
      </c>
      <c r="Z414">
        <v>0.70399999999999996</v>
      </c>
      <c r="AA414">
        <v>0</v>
      </c>
      <c r="AB414">
        <v>21.161999999999999</v>
      </c>
      <c r="AC414">
        <v>8.9999999999999993E-3</v>
      </c>
      <c r="AD414">
        <v>0</v>
      </c>
      <c r="AE414">
        <v>0</v>
      </c>
      <c r="AF414">
        <v>20.744</v>
      </c>
      <c r="AG414">
        <v>1.821</v>
      </c>
      <c r="AH414">
        <v>197.786</v>
      </c>
      <c r="AI414" t="s">
        <v>22</v>
      </c>
      <c r="AJ414">
        <v>685</v>
      </c>
      <c r="AK414">
        <v>365</v>
      </c>
      <c r="AL414">
        <v>115</v>
      </c>
      <c r="AM414">
        <v>0</v>
      </c>
      <c r="AN414">
        <v>95</v>
      </c>
      <c r="AO414">
        <v>2.5</v>
      </c>
      <c r="AP414">
        <v>0</v>
      </c>
      <c r="AQ414">
        <v>0</v>
      </c>
      <c r="AR414">
        <v>15</v>
      </c>
      <c r="AS414">
        <v>40</v>
      </c>
      <c r="AT414">
        <v>1317.5</v>
      </c>
      <c r="AU414" t="s">
        <v>33</v>
      </c>
    </row>
    <row r="415" spans="1:47" x14ac:dyDescent="0.2">
      <c r="A415">
        <v>433</v>
      </c>
      <c r="B415" t="s">
        <v>310</v>
      </c>
      <c r="C415">
        <v>70</v>
      </c>
      <c r="D415" t="s">
        <v>283</v>
      </c>
      <c r="G415" t="str">
        <f t="shared" si="6"/>
        <v>HLY070270KNG3</v>
      </c>
      <c r="H415">
        <v>65.012640000000005</v>
      </c>
      <c r="I415">
        <v>-168.42</v>
      </c>
      <c r="J415" s="3">
        <v>20070601</v>
      </c>
      <c r="K415">
        <v>2007</v>
      </c>
      <c r="L415">
        <v>2.1932999999999998</v>
      </c>
      <c r="M415">
        <v>2.2472099999999999</v>
      </c>
      <c r="N415">
        <v>6.3808100000000003</v>
      </c>
      <c r="O415">
        <v>0</v>
      </c>
      <c r="P415">
        <v>0</v>
      </c>
      <c r="Q415">
        <v>0</v>
      </c>
      <c r="R415">
        <v>0.23375000000000001</v>
      </c>
      <c r="S415">
        <v>0.33643000000000001</v>
      </c>
      <c r="T415">
        <v>2.316E-2</v>
      </c>
      <c r="U415">
        <v>1.0020199999999999</v>
      </c>
      <c r="V415">
        <v>12.416679999999999</v>
      </c>
      <c r="W415" t="s">
        <v>11</v>
      </c>
      <c r="X415">
        <v>35.722000000000001</v>
      </c>
      <c r="Y415">
        <v>59.585999999999999</v>
      </c>
      <c r="Z415">
        <v>93.204999999999998</v>
      </c>
      <c r="AA415">
        <v>0</v>
      </c>
      <c r="AB415">
        <v>0</v>
      </c>
      <c r="AC415">
        <v>0</v>
      </c>
      <c r="AD415">
        <v>3.8319999999999999</v>
      </c>
      <c r="AE415">
        <v>16.797000000000001</v>
      </c>
      <c r="AF415">
        <v>0.249</v>
      </c>
      <c r="AG415">
        <v>47.718000000000004</v>
      </c>
      <c r="AH415">
        <v>257.10899999999998</v>
      </c>
      <c r="AI415" t="s">
        <v>23</v>
      </c>
      <c r="AJ415">
        <v>687.5</v>
      </c>
      <c r="AK415">
        <v>1572.5</v>
      </c>
      <c r="AL415">
        <v>12130</v>
      </c>
      <c r="AM415">
        <v>0</v>
      </c>
      <c r="AN415">
        <v>0</v>
      </c>
      <c r="AO415">
        <v>0</v>
      </c>
      <c r="AP415">
        <v>0</v>
      </c>
      <c r="AQ415">
        <v>15</v>
      </c>
      <c r="AR415">
        <v>50</v>
      </c>
      <c r="AS415">
        <v>7.5</v>
      </c>
      <c r="AT415">
        <v>14462.5</v>
      </c>
      <c r="AU415" t="s">
        <v>35</v>
      </c>
    </row>
    <row r="416" spans="1:47" x14ac:dyDescent="0.2">
      <c r="A416">
        <v>434</v>
      </c>
      <c r="B416" t="s">
        <v>310</v>
      </c>
      <c r="C416">
        <v>71</v>
      </c>
      <c r="D416" t="s">
        <v>277</v>
      </c>
      <c r="G416" t="str">
        <f t="shared" si="6"/>
        <v>HLY070271RUS4A</v>
      </c>
      <c r="H416">
        <v>64.804630000000003</v>
      </c>
      <c r="I416">
        <v>-169.02600000000001</v>
      </c>
      <c r="J416" s="3">
        <v>20070601</v>
      </c>
      <c r="K416">
        <v>2007</v>
      </c>
      <c r="L416">
        <v>1.9198900000000001</v>
      </c>
      <c r="M416">
        <v>4.2747900000000003</v>
      </c>
      <c r="N416">
        <v>10.10577</v>
      </c>
      <c r="O416">
        <v>7.11E-3</v>
      </c>
      <c r="P416">
        <v>8.3000000000000001E-4</v>
      </c>
      <c r="Q416">
        <v>0</v>
      </c>
      <c r="R416">
        <v>8.1099999999999992E-3</v>
      </c>
      <c r="S416">
        <v>9.955E-2</v>
      </c>
      <c r="T416">
        <v>3.3759999999999998E-2</v>
      </c>
      <c r="U416">
        <v>1.553E-2</v>
      </c>
      <c r="V416">
        <v>16.465340000000001</v>
      </c>
      <c r="W416" t="s">
        <v>11</v>
      </c>
      <c r="X416">
        <v>27.315999999999999</v>
      </c>
      <c r="Y416">
        <v>187.268</v>
      </c>
      <c r="Z416">
        <v>147.21</v>
      </c>
      <c r="AA416">
        <v>0.158</v>
      </c>
      <c r="AB416">
        <v>5.8999999999999997E-2</v>
      </c>
      <c r="AC416">
        <v>0</v>
      </c>
      <c r="AD416">
        <v>0.13300000000000001</v>
      </c>
      <c r="AE416">
        <v>2.4279999999999999</v>
      </c>
      <c r="AF416">
        <v>0.36299999999999999</v>
      </c>
      <c r="AG416">
        <v>1.5529999999999999</v>
      </c>
      <c r="AH416">
        <v>366.488</v>
      </c>
      <c r="AI416" t="s">
        <v>22</v>
      </c>
      <c r="AJ416">
        <v>565</v>
      </c>
      <c r="AK416">
        <v>497.5</v>
      </c>
      <c r="AL416">
        <v>8955</v>
      </c>
      <c r="AM416">
        <v>17.5</v>
      </c>
      <c r="AN416">
        <v>2.5</v>
      </c>
      <c r="AO416">
        <v>0</v>
      </c>
      <c r="AP416">
        <v>0</v>
      </c>
      <c r="AQ416">
        <v>2.5</v>
      </c>
      <c r="AR416">
        <v>47.5</v>
      </c>
      <c r="AS416">
        <v>0</v>
      </c>
      <c r="AT416">
        <v>10087.5</v>
      </c>
      <c r="AU416" t="s">
        <v>35</v>
      </c>
    </row>
    <row r="417" spans="1:47" x14ac:dyDescent="0.2">
      <c r="A417">
        <v>435</v>
      </c>
      <c r="B417" t="s">
        <v>310</v>
      </c>
      <c r="C417">
        <v>72</v>
      </c>
      <c r="D417" s="4" t="s">
        <v>179</v>
      </c>
      <c r="E417" s="4" t="s">
        <v>179</v>
      </c>
      <c r="F417" s="4" t="s">
        <v>281</v>
      </c>
      <c r="G417" t="str">
        <f t="shared" si="6"/>
        <v>HLY070272UTBS1</v>
      </c>
      <c r="H417">
        <v>64.991309999999999</v>
      </c>
      <c r="I417">
        <v>-169.13900000000001</v>
      </c>
      <c r="J417" s="3">
        <v>20070602</v>
      </c>
      <c r="K417">
        <v>2007</v>
      </c>
      <c r="L417">
        <v>1.9620899999999999</v>
      </c>
      <c r="M417">
        <v>7.4513400000000001</v>
      </c>
      <c r="N417">
        <v>9.7875200000000007</v>
      </c>
      <c r="O417">
        <v>0</v>
      </c>
      <c r="P417">
        <v>0</v>
      </c>
      <c r="Q417">
        <v>0</v>
      </c>
      <c r="R417">
        <v>0.51758000000000004</v>
      </c>
      <c r="S417">
        <v>1.2749999999999999E-2</v>
      </c>
      <c r="T417">
        <v>1.525E-2</v>
      </c>
      <c r="U417">
        <v>5.9999999999999995E-4</v>
      </c>
      <c r="V417">
        <v>19.747129999999999</v>
      </c>
      <c r="W417" t="s">
        <v>11</v>
      </c>
      <c r="X417">
        <v>27.114999999999998</v>
      </c>
      <c r="Y417">
        <v>241.86099999999999</v>
      </c>
      <c r="Z417">
        <v>143.40899999999999</v>
      </c>
      <c r="AA417">
        <v>0</v>
      </c>
      <c r="AB417">
        <v>0</v>
      </c>
      <c r="AC417">
        <v>0</v>
      </c>
      <c r="AD417">
        <v>8.4849999999999994</v>
      </c>
      <c r="AE417">
        <v>0.91100000000000003</v>
      </c>
      <c r="AF417">
        <v>0.16400000000000001</v>
      </c>
      <c r="AG417">
        <v>0.05</v>
      </c>
      <c r="AH417">
        <v>421.995</v>
      </c>
      <c r="AI417" t="s">
        <v>22</v>
      </c>
      <c r="AJ417">
        <v>595</v>
      </c>
      <c r="AK417">
        <v>687.5</v>
      </c>
      <c r="AL417">
        <v>8850</v>
      </c>
      <c r="AM417">
        <v>0</v>
      </c>
      <c r="AN417">
        <v>0</v>
      </c>
      <c r="AO417">
        <v>0</v>
      </c>
      <c r="AP417">
        <v>7.5</v>
      </c>
      <c r="AQ417">
        <v>2.5</v>
      </c>
      <c r="AR417">
        <v>30</v>
      </c>
      <c r="AS417">
        <v>17.5</v>
      </c>
      <c r="AT417">
        <v>10190</v>
      </c>
      <c r="AU417" t="s">
        <v>35</v>
      </c>
    </row>
    <row r="418" spans="1:47" x14ac:dyDescent="0.2">
      <c r="A418">
        <v>436</v>
      </c>
      <c r="B418" t="s">
        <v>310</v>
      </c>
      <c r="C418">
        <v>73</v>
      </c>
      <c r="D418" s="4" t="s">
        <v>558</v>
      </c>
      <c r="E418" s="4" t="s">
        <v>558</v>
      </c>
      <c r="F418" s="4" t="s">
        <v>278</v>
      </c>
      <c r="G418" t="str">
        <f t="shared" si="6"/>
        <v>HLY070273UTBS4</v>
      </c>
      <c r="H418">
        <v>64.955269999999999</v>
      </c>
      <c r="I418">
        <v>-169.886</v>
      </c>
      <c r="J418" s="3">
        <v>20070602</v>
      </c>
      <c r="K418">
        <v>2007</v>
      </c>
      <c r="L418">
        <v>2.3630300000000002</v>
      </c>
      <c r="M418">
        <v>4.1204200000000002</v>
      </c>
      <c r="N418">
        <v>0.58160000000000001</v>
      </c>
      <c r="O418">
        <v>8.591E-2</v>
      </c>
      <c r="P418">
        <v>0</v>
      </c>
      <c r="Q418">
        <v>0</v>
      </c>
      <c r="R418">
        <v>9.2910000000000006E-2</v>
      </c>
      <c r="S418">
        <v>0</v>
      </c>
      <c r="T418">
        <v>0</v>
      </c>
      <c r="U418">
        <v>0.37630000000000002</v>
      </c>
      <c r="V418">
        <v>7.6201699999999999</v>
      </c>
      <c r="W418" t="s">
        <v>10</v>
      </c>
      <c r="X418">
        <v>31.457999999999998</v>
      </c>
      <c r="Y418">
        <v>116.446</v>
      </c>
      <c r="Z418">
        <v>8.4969999999999999</v>
      </c>
      <c r="AA418">
        <v>1.909</v>
      </c>
      <c r="AB418">
        <v>0</v>
      </c>
      <c r="AC418">
        <v>0</v>
      </c>
      <c r="AD418">
        <v>1.5229999999999999</v>
      </c>
      <c r="AE418">
        <v>0</v>
      </c>
      <c r="AF418">
        <v>0</v>
      </c>
      <c r="AG418">
        <v>17.919</v>
      </c>
      <c r="AH418">
        <v>177.75200000000001</v>
      </c>
      <c r="AI418" t="s">
        <v>22</v>
      </c>
      <c r="AJ418">
        <v>340</v>
      </c>
      <c r="AK418">
        <v>267.5</v>
      </c>
      <c r="AL418">
        <v>415</v>
      </c>
      <c r="AM418">
        <v>20</v>
      </c>
      <c r="AN418">
        <v>0</v>
      </c>
      <c r="AO418">
        <v>0</v>
      </c>
      <c r="AP418">
        <v>5</v>
      </c>
      <c r="AQ418">
        <v>0</v>
      </c>
      <c r="AR418">
        <v>0</v>
      </c>
      <c r="AS418">
        <v>2.5</v>
      </c>
      <c r="AT418">
        <v>1050</v>
      </c>
      <c r="AU418" t="s">
        <v>35</v>
      </c>
    </row>
    <row r="419" spans="1:47" x14ac:dyDescent="0.2">
      <c r="A419">
        <v>437</v>
      </c>
      <c r="B419" t="s">
        <v>310</v>
      </c>
      <c r="C419">
        <v>74</v>
      </c>
      <c r="D419" t="s">
        <v>280</v>
      </c>
      <c r="G419" t="str">
        <f t="shared" si="6"/>
        <v>HLY070274CPW1</v>
      </c>
      <c r="H419">
        <v>65.181970000000007</v>
      </c>
      <c r="I419">
        <v>-169.66200000000001</v>
      </c>
      <c r="J419" s="3">
        <v>20070602</v>
      </c>
      <c r="K419">
        <v>2007</v>
      </c>
      <c r="L419">
        <v>3.29962</v>
      </c>
      <c r="M419">
        <v>1.2029700000000001</v>
      </c>
      <c r="N419">
        <v>5.1760000000000002</v>
      </c>
      <c r="O419">
        <v>1.7099999999999999E-3</v>
      </c>
      <c r="P419">
        <v>0</v>
      </c>
      <c r="Q419">
        <v>0</v>
      </c>
      <c r="R419">
        <v>6.3250000000000001E-2</v>
      </c>
      <c r="S419">
        <v>0</v>
      </c>
      <c r="T419">
        <v>2.4830000000000001E-2</v>
      </c>
      <c r="U419">
        <v>3.8129999999999997E-2</v>
      </c>
      <c r="V419">
        <v>9.8065099999999994</v>
      </c>
      <c r="W419" t="s">
        <v>11</v>
      </c>
      <c r="X419">
        <v>46.176000000000002</v>
      </c>
      <c r="Y419">
        <v>35.771000000000001</v>
      </c>
      <c r="Z419">
        <v>75.775999999999996</v>
      </c>
      <c r="AA419">
        <v>3.7999999999999999E-2</v>
      </c>
      <c r="AB419">
        <v>0</v>
      </c>
      <c r="AC419">
        <v>0</v>
      </c>
      <c r="AD419">
        <v>1.0369999999999999</v>
      </c>
      <c r="AE419">
        <v>0</v>
      </c>
      <c r="AF419">
        <v>0.26700000000000002</v>
      </c>
      <c r="AG419">
        <v>1.2789999999999999</v>
      </c>
      <c r="AH419">
        <v>160.34399999999999</v>
      </c>
      <c r="AI419" t="s">
        <v>23</v>
      </c>
      <c r="AJ419">
        <v>366.66699999999997</v>
      </c>
      <c r="AK419">
        <v>199.999</v>
      </c>
      <c r="AL419">
        <v>4903.3339999999998</v>
      </c>
      <c r="AM419">
        <v>6.6669999999999998</v>
      </c>
      <c r="AN419">
        <v>0</v>
      </c>
      <c r="AO419">
        <v>0</v>
      </c>
      <c r="AP419">
        <v>6.6669999999999998</v>
      </c>
      <c r="AQ419">
        <v>0</v>
      </c>
      <c r="AR419">
        <v>16.667000000000002</v>
      </c>
      <c r="AS419">
        <v>3.3330000000000002</v>
      </c>
      <c r="AT419">
        <v>5503.3339999999998</v>
      </c>
      <c r="AU419" t="s">
        <v>35</v>
      </c>
    </row>
    <row r="420" spans="1:47" x14ac:dyDescent="0.2">
      <c r="A420">
        <v>438</v>
      </c>
      <c r="B420" t="s">
        <v>310</v>
      </c>
      <c r="C420">
        <v>75</v>
      </c>
      <c r="D420" t="s">
        <v>282</v>
      </c>
      <c r="G420" t="str">
        <f t="shared" si="6"/>
        <v>HLY070275CPW2</v>
      </c>
      <c r="H420">
        <v>65.176320000000004</v>
      </c>
      <c r="I420">
        <v>-169.042</v>
      </c>
      <c r="J420" s="3">
        <v>20070602</v>
      </c>
      <c r="K420">
        <v>2007</v>
      </c>
      <c r="L420">
        <v>5.1503500000000004</v>
      </c>
      <c r="M420">
        <v>10.749090000000001</v>
      </c>
      <c r="N420">
        <v>8.1745699999999992</v>
      </c>
      <c r="O420">
        <v>1.3999999999999999E-4</v>
      </c>
      <c r="P420">
        <v>5.3200000000000001E-3</v>
      </c>
      <c r="Q420">
        <v>0</v>
      </c>
      <c r="R420">
        <v>0.32683000000000001</v>
      </c>
      <c r="S420">
        <v>0</v>
      </c>
      <c r="T420">
        <v>4.3799999999999999E-2</v>
      </c>
      <c r="U420">
        <v>6.2280000000000002E-2</v>
      </c>
      <c r="V420">
        <v>24.51238</v>
      </c>
      <c r="W420" t="s">
        <v>10</v>
      </c>
      <c r="X420">
        <v>73.456999999999994</v>
      </c>
      <c r="Y420">
        <v>291.58300000000003</v>
      </c>
      <c r="Z420">
        <v>119.6</v>
      </c>
      <c r="AA420">
        <v>3.0000000000000001E-3</v>
      </c>
      <c r="AB420">
        <v>0.38</v>
      </c>
      <c r="AC420">
        <v>0</v>
      </c>
      <c r="AD420">
        <v>5.3579999999999997</v>
      </c>
      <c r="AE420">
        <v>0</v>
      </c>
      <c r="AF420">
        <v>0.47099999999999997</v>
      </c>
      <c r="AG420">
        <v>2.9860000000000002</v>
      </c>
      <c r="AH420">
        <v>493.83800000000002</v>
      </c>
      <c r="AI420" t="s">
        <v>22</v>
      </c>
      <c r="AJ420">
        <v>650</v>
      </c>
      <c r="AK420">
        <v>935</v>
      </c>
      <c r="AL420">
        <v>7440</v>
      </c>
      <c r="AM420">
        <v>2.5</v>
      </c>
      <c r="AN420">
        <v>2.5</v>
      </c>
      <c r="AO420">
        <v>0</v>
      </c>
      <c r="AP420">
        <v>5</v>
      </c>
      <c r="AQ420">
        <v>0</v>
      </c>
      <c r="AR420">
        <v>27.5</v>
      </c>
      <c r="AS420">
        <v>2.5</v>
      </c>
      <c r="AT420">
        <v>9065</v>
      </c>
      <c r="AU420" t="s">
        <v>35</v>
      </c>
    </row>
    <row r="421" spans="1:47" x14ac:dyDescent="0.2">
      <c r="A421">
        <v>439</v>
      </c>
      <c r="B421" t="s">
        <v>310</v>
      </c>
      <c r="C421">
        <v>76</v>
      </c>
      <c r="D421" t="s">
        <v>284</v>
      </c>
      <c r="G421" t="str">
        <f t="shared" si="6"/>
        <v>HLY070276CPW3</v>
      </c>
      <c r="H421">
        <v>65.182289999999995</v>
      </c>
      <c r="I421">
        <v>-168.393</v>
      </c>
      <c r="J421" s="3">
        <v>20070602</v>
      </c>
      <c r="K421">
        <v>2007</v>
      </c>
      <c r="L421">
        <v>12.20979</v>
      </c>
      <c r="M421">
        <v>14.21025</v>
      </c>
      <c r="N421">
        <v>2.2760600000000002</v>
      </c>
      <c r="O421">
        <v>1.29573</v>
      </c>
      <c r="P421">
        <v>1.7000000000000001E-4</v>
      </c>
      <c r="Q421">
        <v>1.0000000000000001E-5</v>
      </c>
      <c r="R421">
        <v>1.05629</v>
      </c>
      <c r="S421">
        <v>1.2837499999999999</v>
      </c>
      <c r="T421">
        <v>1.05769</v>
      </c>
      <c r="U421">
        <v>6.10724</v>
      </c>
      <c r="V421">
        <v>39.496980000000001</v>
      </c>
      <c r="W421" t="s">
        <v>10</v>
      </c>
      <c r="X421">
        <v>175.17400000000001</v>
      </c>
      <c r="Y421">
        <v>482.17500000000001</v>
      </c>
      <c r="Z421">
        <v>32.987000000000002</v>
      </c>
      <c r="AA421">
        <v>28.794</v>
      </c>
      <c r="AB421">
        <v>1.2E-2</v>
      </c>
      <c r="AC421">
        <v>1E-3</v>
      </c>
      <c r="AD421">
        <v>19.916</v>
      </c>
      <c r="AE421">
        <v>90.58</v>
      </c>
      <c r="AF421">
        <v>11.372999999999999</v>
      </c>
      <c r="AG421">
        <v>290.68799999999999</v>
      </c>
      <c r="AH421">
        <v>1131.7</v>
      </c>
      <c r="AI421" t="s">
        <v>22</v>
      </c>
      <c r="AJ421">
        <v>2807.5</v>
      </c>
      <c r="AK421">
        <v>1400</v>
      </c>
      <c r="AL421">
        <v>2535</v>
      </c>
      <c r="AM421">
        <v>97.5</v>
      </c>
      <c r="AN421">
        <v>7.5</v>
      </c>
      <c r="AO421">
        <v>2.5</v>
      </c>
      <c r="AP421">
        <v>30</v>
      </c>
      <c r="AQ421">
        <v>42.5</v>
      </c>
      <c r="AR421">
        <v>62.5</v>
      </c>
      <c r="AS421">
        <v>30</v>
      </c>
      <c r="AT421">
        <v>7015</v>
      </c>
      <c r="AU421" t="s">
        <v>33</v>
      </c>
    </row>
    <row r="422" spans="1:47" x14ac:dyDescent="0.2">
      <c r="A422">
        <v>440</v>
      </c>
      <c r="B422" t="s">
        <v>310</v>
      </c>
      <c r="C422">
        <v>77</v>
      </c>
      <c r="D422" t="s">
        <v>285</v>
      </c>
      <c r="G422" t="str">
        <f t="shared" si="6"/>
        <v>HLY070277LDI2</v>
      </c>
      <c r="H422">
        <v>65.417730000000006</v>
      </c>
      <c r="I422">
        <v>-168.43</v>
      </c>
      <c r="J422" s="3">
        <v>20070603</v>
      </c>
      <c r="K422">
        <v>2007</v>
      </c>
      <c r="L422">
        <v>8.55898</v>
      </c>
      <c r="M422">
        <v>3.1446999999999998</v>
      </c>
      <c r="N422">
        <v>2.4195700000000002</v>
      </c>
      <c r="O422">
        <v>9.5899999999999996E-3</v>
      </c>
      <c r="P422">
        <v>2.479E-2</v>
      </c>
      <c r="Q422">
        <v>1.6650000000000002E-2</v>
      </c>
      <c r="R422">
        <v>2.6175099999999998</v>
      </c>
      <c r="S422">
        <v>2.6966800000000002</v>
      </c>
      <c r="T422">
        <v>0.21539</v>
      </c>
      <c r="U422">
        <v>1.05576</v>
      </c>
      <c r="V422">
        <v>20.759620000000002</v>
      </c>
      <c r="W422" t="s">
        <v>9</v>
      </c>
      <c r="X422">
        <v>123.627</v>
      </c>
      <c r="Y422">
        <v>110.974</v>
      </c>
      <c r="Z422">
        <v>34.335000000000001</v>
      </c>
      <c r="AA422">
        <v>0.21299999999999999</v>
      </c>
      <c r="AB422">
        <v>1.7709999999999999</v>
      </c>
      <c r="AC422">
        <v>2.081</v>
      </c>
      <c r="AD422">
        <v>42.91</v>
      </c>
      <c r="AE422">
        <v>192.62</v>
      </c>
      <c r="AF422">
        <v>2.3159999999999998</v>
      </c>
      <c r="AG422">
        <v>48.235999999999997</v>
      </c>
      <c r="AH422">
        <v>559.08299999999997</v>
      </c>
      <c r="AI422" t="s">
        <v>28</v>
      </c>
      <c r="AJ422">
        <v>1792.5</v>
      </c>
      <c r="AK422">
        <v>1080</v>
      </c>
      <c r="AL422">
        <v>6235</v>
      </c>
      <c r="AM422">
        <v>50</v>
      </c>
      <c r="AN422">
        <v>40</v>
      </c>
      <c r="AO422">
        <v>10</v>
      </c>
      <c r="AP422">
        <v>45</v>
      </c>
      <c r="AQ422">
        <v>412.5</v>
      </c>
      <c r="AR422">
        <v>42.5</v>
      </c>
      <c r="AS422">
        <v>65</v>
      </c>
      <c r="AT422">
        <v>9772.5</v>
      </c>
      <c r="AU422" t="s">
        <v>35</v>
      </c>
    </row>
    <row r="423" spans="1:47" x14ac:dyDescent="0.2">
      <c r="A423">
        <v>441</v>
      </c>
      <c r="B423" t="s">
        <v>310</v>
      </c>
      <c r="C423">
        <v>8</v>
      </c>
      <c r="D423" t="s">
        <v>245</v>
      </c>
      <c r="G423" t="str">
        <f t="shared" si="6"/>
        <v>HLY07028DLN4</v>
      </c>
      <c r="H423">
        <v>62.513170000000002</v>
      </c>
      <c r="I423">
        <v>-175.29599999999999</v>
      </c>
      <c r="J423" s="3">
        <v>20070520</v>
      </c>
      <c r="K423">
        <v>2007</v>
      </c>
      <c r="L423">
        <v>4.3609900000000001</v>
      </c>
      <c r="M423">
        <v>4.6181999999999999</v>
      </c>
      <c r="N423">
        <v>0.24182000000000001</v>
      </c>
      <c r="O423">
        <v>1.7591000000000001</v>
      </c>
      <c r="P423">
        <v>0.51280999999999999</v>
      </c>
      <c r="Q423">
        <v>0</v>
      </c>
      <c r="R423">
        <v>1.8000000000000001E-4</v>
      </c>
      <c r="S423">
        <v>0.41243999999999997</v>
      </c>
      <c r="T423">
        <v>0.77886999999999995</v>
      </c>
      <c r="U423">
        <v>0.65542</v>
      </c>
      <c r="V423">
        <v>13.339829999999999</v>
      </c>
      <c r="W423" t="s">
        <v>10</v>
      </c>
      <c r="X423">
        <v>61.094999999999999</v>
      </c>
      <c r="Y423">
        <v>126.276</v>
      </c>
      <c r="Z423">
        <v>2.9580000000000002</v>
      </c>
      <c r="AA423">
        <v>39.091000000000001</v>
      </c>
      <c r="AB423">
        <v>36.628999999999998</v>
      </c>
      <c r="AC423">
        <v>0</v>
      </c>
      <c r="AD423">
        <v>3.0000000000000001E-3</v>
      </c>
      <c r="AE423">
        <v>29.46</v>
      </c>
      <c r="AF423">
        <v>8.375</v>
      </c>
      <c r="AG423">
        <v>13.757</v>
      </c>
      <c r="AH423">
        <v>317.64400000000001</v>
      </c>
      <c r="AI423" t="s">
        <v>22</v>
      </c>
      <c r="AJ423">
        <v>1280</v>
      </c>
      <c r="AK423">
        <v>1265</v>
      </c>
      <c r="AL423">
        <v>485</v>
      </c>
      <c r="AM423">
        <v>15</v>
      </c>
      <c r="AN423">
        <v>70</v>
      </c>
      <c r="AO423">
        <v>0</v>
      </c>
      <c r="AP423">
        <v>0</v>
      </c>
      <c r="AQ423">
        <v>12.5</v>
      </c>
      <c r="AR423">
        <v>57.5</v>
      </c>
      <c r="AS423">
        <v>120</v>
      </c>
      <c r="AT423">
        <v>3305</v>
      </c>
      <c r="AU423" t="s">
        <v>33</v>
      </c>
    </row>
    <row r="424" spans="1:47" x14ac:dyDescent="0.2">
      <c r="A424">
        <v>442</v>
      </c>
      <c r="B424" t="s">
        <v>310</v>
      </c>
      <c r="C424">
        <v>9</v>
      </c>
      <c r="D424" s="4" t="s">
        <v>553</v>
      </c>
      <c r="E424" s="4" t="s">
        <v>553</v>
      </c>
      <c r="F424" s="4" t="s">
        <v>301</v>
      </c>
      <c r="G424" t="str">
        <f t="shared" si="6"/>
        <v>HLY07029SLIP3</v>
      </c>
      <c r="H424">
        <v>62.387729999999998</v>
      </c>
      <c r="I424">
        <v>-174.55366000000001</v>
      </c>
      <c r="J424" s="3">
        <v>20070520</v>
      </c>
      <c r="K424">
        <v>2007</v>
      </c>
      <c r="L424">
        <v>4.1109400000000003</v>
      </c>
      <c r="M424">
        <v>12.28464</v>
      </c>
      <c r="N424">
        <v>0.26799000000000001</v>
      </c>
      <c r="O424">
        <v>9.5399999999999999E-3</v>
      </c>
      <c r="P424">
        <v>0.58584000000000003</v>
      </c>
      <c r="Q424">
        <v>0</v>
      </c>
      <c r="R424">
        <v>0</v>
      </c>
      <c r="S424">
        <v>0</v>
      </c>
      <c r="T424">
        <v>4.5599999999999998E-3</v>
      </c>
      <c r="U424">
        <v>0.12087000000000001</v>
      </c>
      <c r="V424">
        <v>17.38438</v>
      </c>
      <c r="W424" t="s">
        <v>10</v>
      </c>
      <c r="X424">
        <v>57.771999999999998</v>
      </c>
      <c r="Y424">
        <v>541.57000000000005</v>
      </c>
      <c r="Z424">
        <v>3.536</v>
      </c>
      <c r="AA424">
        <v>0.21199999999999999</v>
      </c>
      <c r="AB424">
        <v>41.845999999999997</v>
      </c>
      <c r="AC424">
        <v>0</v>
      </c>
      <c r="AD424">
        <v>0</v>
      </c>
      <c r="AE424">
        <v>0</v>
      </c>
      <c r="AF424">
        <v>4.9000000000000002E-2</v>
      </c>
      <c r="AG424">
        <v>3.8919999999999999</v>
      </c>
      <c r="AH424">
        <v>648.87699999999995</v>
      </c>
      <c r="AI424" t="s">
        <v>22</v>
      </c>
      <c r="AJ424">
        <v>742.5</v>
      </c>
      <c r="AK424">
        <v>900</v>
      </c>
      <c r="AL424">
        <v>115</v>
      </c>
      <c r="AM424">
        <v>20</v>
      </c>
      <c r="AN424">
        <v>67.5</v>
      </c>
      <c r="AO424">
        <v>0</v>
      </c>
      <c r="AP424">
        <v>0</v>
      </c>
      <c r="AQ424">
        <v>0</v>
      </c>
      <c r="AR424">
        <v>7.5</v>
      </c>
      <c r="AS424">
        <v>140</v>
      </c>
      <c r="AT424">
        <v>1992.5</v>
      </c>
      <c r="AU424" t="s">
        <v>34</v>
      </c>
    </row>
    <row r="425" spans="1:47" x14ac:dyDescent="0.2">
      <c r="A425">
        <v>443</v>
      </c>
      <c r="B425" t="s">
        <v>310</v>
      </c>
      <c r="C425">
        <v>91</v>
      </c>
      <c r="D425" t="s">
        <v>298</v>
      </c>
      <c r="G425" t="str">
        <f t="shared" si="6"/>
        <v>HLY070291SPH6</v>
      </c>
      <c r="H425">
        <v>64.323030000000003</v>
      </c>
      <c r="I425">
        <v>-166.52199999999999</v>
      </c>
      <c r="J425" s="3">
        <v>20070604</v>
      </c>
      <c r="K425">
        <v>2007</v>
      </c>
      <c r="L425">
        <v>2.3830900000000002</v>
      </c>
      <c r="M425">
        <v>0.14505000000000001</v>
      </c>
      <c r="N425">
        <v>2.563E-2</v>
      </c>
      <c r="O425">
        <v>0</v>
      </c>
      <c r="P425">
        <v>3.6000000000000002E-4</v>
      </c>
      <c r="Q425">
        <v>0</v>
      </c>
      <c r="R425">
        <v>0</v>
      </c>
      <c r="S425">
        <v>4.0398399999999999</v>
      </c>
      <c r="T425">
        <v>4.4600000000000004E-3</v>
      </c>
      <c r="U425">
        <v>1.98E-3</v>
      </c>
      <c r="V425">
        <v>6.6004100000000001</v>
      </c>
      <c r="W425" t="s">
        <v>16</v>
      </c>
      <c r="X425">
        <v>38.137999999999998</v>
      </c>
      <c r="Y425">
        <v>4.3570000000000002</v>
      </c>
      <c r="Z425">
        <v>0.36199999999999999</v>
      </c>
      <c r="AA425">
        <v>0</v>
      </c>
      <c r="AB425">
        <v>2.5999999999999999E-2</v>
      </c>
      <c r="AC425">
        <v>0</v>
      </c>
      <c r="AD425">
        <v>0</v>
      </c>
      <c r="AE425">
        <v>288.56</v>
      </c>
      <c r="AF425">
        <v>4.8000000000000001E-2</v>
      </c>
      <c r="AG425">
        <v>3.2000000000000001E-2</v>
      </c>
      <c r="AH425">
        <v>331.52300000000002</v>
      </c>
      <c r="AI425" t="s">
        <v>28</v>
      </c>
      <c r="AJ425">
        <v>4750</v>
      </c>
      <c r="AK425">
        <v>300</v>
      </c>
      <c r="AL425">
        <v>330</v>
      </c>
      <c r="AM425">
        <v>0</v>
      </c>
      <c r="AN425">
        <v>30</v>
      </c>
      <c r="AO425">
        <v>0</v>
      </c>
      <c r="AP425">
        <v>0</v>
      </c>
      <c r="AQ425">
        <v>310</v>
      </c>
      <c r="AR425">
        <v>40</v>
      </c>
      <c r="AS425">
        <v>40</v>
      </c>
      <c r="AT425">
        <v>5800</v>
      </c>
      <c r="AU425" t="s">
        <v>33</v>
      </c>
    </row>
    <row r="426" spans="1:47" x14ac:dyDescent="0.2">
      <c r="A426">
        <v>444</v>
      </c>
      <c r="B426" t="s">
        <v>310</v>
      </c>
      <c r="C426">
        <v>94</v>
      </c>
      <c r="D426" t="s">
        <v>299</v>
      </c>
      <c r="G426" t="str">
        <f t="shared" si="6"/>
        <v>HLY070294SPH5</v>
      </c>
      <c r="H426">
        <v>64.199600000000004</v>
      </c>
      <c r="I426">
        <v>-166.797</v>
      </c>
      <c r="J426" s="3">
        <v>20070604</v>
      </c>
      <c r="K426">
        <v>2007</v>
      </c>
      <c r="L426">
        <v>5.5040800000000001</v>
      </c>
      <c r="M426">
        <v>0.91071000000000002</v>
      </c>
      <c r="N426">
        <v>0.18287</v>
      </c>
      <c r="O426">
        <v>0</v>
      </c>
      <c r="P426">
        <v>3.7499999999999999E-3</v>
      </c>
      <c r="Q426">
        <v>0</v>
      </c>
      <c r="R426">
        <v>0</v>
      </c>
      <c r="S426">
        <v>0</v>
      </c>
      <c r="T426">
        <v>0</v>
      </c>
      <c r="U426">
        <v>0.12789</v>
      </c>
      <c r="V426">
        <v>6.7293000000000003</v>
      </c>
      <c r="W426" t="s">
        <v>9</v>
      </c>
      <c r="X426">
        <v>78.025999999999996</v>
      </c>
      <c r="Y426">
        <v>25.265000000000001</v>
      </c>
      <c r="Z426">
        <v>2.5979999999999999</v>
      </c>
      <c r="AA426">
        <v>0</v>
      </c>
      <c r="AB426">
        <v>0.26800000000000002</v>
      </c>
      <c r="AC426">
        <v>0</v>
      </c>
      <c r="AD426">
        <v>0</v>
      </c>
      <c r="AE426">
        <v>0</v>
      </c>
      <c r="AF426">
        <v>0</v>
      </c>
      <c r="AG426">
        <v>4.2089999999999996</v>
      </c>
      <c r="AH426">
        <v>110.366</v>
      </c>
      <c r="AI426" t="s">
        <v>21</v>
      </c>
      <c r="AJ426">
        <v>2420</v>
      </c>
      <c r="AK426">
        <v>1640</v>
      </c>
      <c r="AL426">
        <v>1660</v>
      </c>
      <c r="AM426">
        <v>0</v>
      </c>
      <c r="AN426">
        <v>60</v>
      </c>
      <c r="AO426">
        <v>0</v>
      </c>
      <c r="AP426">
        <v>0</v>
      </c>
      <c r="AQ426">
        <v>0</v>
      </c>
      <c r="AR426">
        <v>0</v>
      </c>
      <c r="AS426">
        <v>150</v>
      </c>
      <c r="AT426">
        <v>5930</v>
      </c>
      <c r="AU426" t="s">
        <v>33</v>
      </c>
    </row>
    <row r="427" spans="1:47" x14ac:dyDescent="0.2">
      <c r="A427">
        <v>445</v>
      </c>
      <c r="B427" t="s">
        <v>310</v>
      </c>
      <c r="C427">
        <v>95</v>
      </c>
      <c r="D427" t="s">
        <v>300</v>
      </c>
      <c r="G427" t="str">
        <f t="shared" si="6"/>
        <v>HLY070295SPH4</v>
      </c>
      <c r="H427">
        <v>64.040210000000002</v>
      </c>
      <c r="I427">
        <v>-167.18299999999999</v>
      </c>
      <c r="J427" s="3">
        <v>20070604</v>
      </c>
      <c r="K427">
        <v>2007</v>
      </c>
      <c r="L427">
        <v>0.72436999999999996</v>
      </c>
      <c r="M427">
        <v>1.038E-2</v>
      </c>
      <c r="N427">
        <v>7.4099999999999999E-3</v>
      </c>
      <c r="O427">
        <v>0</v>
      </c>
      <c r="P427">
        <v>1.6100000000000001E-3</v>
      </c>
      <c r="Q427">
        <v>13.536</v>
      </c>
      <c r="R427">
        <v>1.2449999999999999E-2</v>
      </c>
      <c r="S427">
        <v>0</v>
      </c>
      <c r="T427">
        <v>0</v>
      </c>
      <c r="U427">
        <v>0</v>
      </c>
      <c r="V427">
        <v>14.29222</v>
      </c>
      <c r="W427" t="s">
        <v>14</v>
      </c>
      <c r="X427">
        <v>10.247999999999999</v>
      </c>
      <c r="Y427">
        <v>0.439</v>
      </c>
      <c r="Z427">
        <v>0.1</v>
      </c>
      <c r="AA427">
        <v>0</v>
      </c>
      <c r="AB427">
        <v>0.115</v>
      </c>
      <c r="AC427">
        <v>1692</v>
      </c>
      <c r="AD427">
        <v>0.20399999999999999</v>
      </c>
      <c r="AE427">
        <v>0</v>
      </c>
      <c r="AF427">
        <v>0</v>
      </c>
      <c r="AG427">
        <v>0</v>
      </c>
      <c r="AH427">
        <v>1703.106</v>
      </c>
      <c r="AI427" t="s">
        <v>26</v>
      </c>
      <c r="AJ427">
        <v>340</v>
      </c>
      <c r="AK427">
        <v>100</v>
      </c>
      <c r="AL427">
        <v>120</v>
      </c>
      <c r="AM427">
        <v>0</v>
      </c>
      <c r="AN427">
        <v>30</v>
      </c>
      <c r="AO427">
        <v>540</v>
      </c>
      <c r="AP427">
        <v>0</v>
      </c>
      <c r="AQ427">
        <v>0</v>
      </c>
      <c r="AR427">
        <v>0</v>
      </c>
      <c r="AS427">
        <v>0</v>
      </c>
      <c r="AT427">
        <v>1130</v>
      </c>
      <c r="AU427" t="s">
        <v>38</v>
      </c>
    </row>
    <row r="428" spans="1:47" x14ac:dyDescent="0.2">
      <c r="A428">
        <v>446</v>
      </c>
      <c r="B428" t="s">
        <v>310</v>
      </c>
      <c r="C428">
        <v>96</v>
      </c>
      <c r="D428" t="s">
        <v>302</v>
      </c>
      <c r="G428" t="str">
        <f t="shared" si="6"/>
        <v>HLY070296SPH3</v>
      </c>
      <c r="H428">
        <v>63.848840000000003</v>
      </c>
      <c r="I428">
        <v>-167.608</v>
      </c>
      <c r="J428" s="3">
        <v>20070604</v>
      </c>
      <c r="K428">
        <v>2007</v>
      </c>
      <c r="L428">
        <v>4.6080100000000002</v>
      </c>
      <c r="M428">
        <v>8.2977000000000007</v>
      </c>
      <c r="N428">
        <v>5.6329999999999998E-2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4.6620000000000002E-2</v>
      </c>
      <c r="V428">
        <v>13.008660000000001</v>
      </c>
      <c r="W428" t="s">
        <v>10</v>
      </c>
      <c r="X428">
        <v>68.611999999999995</v>
      </c>
      <c r="Y428">
        <v>216.453</v>
      </c>
      <c r="Z428">
        <v>0.66900000000000004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0.752</v>
      </c>
      <c r="AH428">
        <v>286.48599999999999</v>
      </c>
      <c r="AI428" t="s">
        <v>22</v>
      </c>
      <c r="AJ428">
        <v>450</v>
      </c>
      <c r="AK428">
        <v>1380</v>
      </c>
      <c r="AL428">
        <v>200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10</v>
      </c>
      <c r="AT428">
        <v>2040</v>
      </c>
      <c r="AU428" t="s">
        <v>34</v>
      </c>
    </row>
    <row r="429" spans="1:47" x14ac:dyDescent="0.2">
      <c r="A429">
        <v>2087</v>
      </c>
      <c r="B429" t="s">
        <v>788</v>
      </c>
      <c r="C429">
        <v>32</v>
      </c>
      <c r="D429" t="s">
        <v>551</v>
      </c>
      <c r="G429" t="str">
        <f t="shared" si="6"/>
        <v>SWL200732SLIP1</v>
      </c>
      <c r="H429">
        <v>62.014000000000003</v>
      </c>
      <c r="I429">
        <v>-175.0565</v>
      </c>
      <c r="J429" s="3">
        <v>20070714</v>
      </c>
      <c r="K429">
        <v>2007</v>
      </c>
      <c r="L429">
        <v>5.31691</v>
      </c>
      <c r="M429">
        <v>8.6211400000000005</v>
      </c>
      <c r="N429">
        <v>9.9140000000000006E-2</v>
      </c>
      <c r="O429">
        <v>7.2000000000000005E-4</v>
      </c>
      <c r="P429">
        <v>0.13880999999999999</v>
      </c>
      <c r="Q429">
        <v>0</v>
      </c>
      <c r="R429">
        <v>0</v>
      </c>
      <c r="S429">
        <v>0.10156</v>
      </c>
      <c r="T429">
        <v>2.14E-3</v>
      </c>
      <c r="U429">
        <v>3.3959999999999997E-2</v>
      </c>
      <c r="V429">
        <v>14.31438</v>
      </c>
      <c r="W429" t="s">
        <v>10</v>
      </c>
      <c r="X429">
        <v>75.994</v>
      </c>
      <c r="Y429">
        <v>246.887</v>
      </c>
      <c r="Z429">
        <v>1.284</v>
      </c>
      <c r="AA429">
        <v>1.6E-2</v>
      </c>
      <c r="AB429">
        <v>9.9149999999999991</v>
      </c>
      <c r="AC429">
        <v>0</v>
      </c>
      <c r="AD429">
        <v>0</v>
      </c>
      <c r="AE429">
        <v>7.2539999999999996</v>
      </c>
      <c r="AF429">
        <v>2.3E-2</v>
      </c>
      <c r="AG429">
        <v>0.71299999999999997</v>
      </c>
      <c r="AH429">
        <v>342.08600000000001</v>
      </c>
      <c r="AI429" t="s">
        <v>22</v>
      </c>
      <c r="AJ429">
        <v>922.5</v>
      </c>
      <c r="AK429">
        <v>1800</v>
      </c>
      <c r="AL429">
        <v>290</v>
      </c>
      <c r="AM429">
        <v>20</v>
      </c>
      <c r="AN429">
        <v>252.5</v>
      </c>
      <c r="AO429">
        <v>0</v>
      </c>
      <c r="AP429">
        <v>0</v>
      </c>
      <c r="AQ429">
        <v>5</v>
      </c>
      <c r="AR429">
        <v>15</v>
      </c>
      <c r="AS429">
        <v>155</v>
      </c>
      <c r="AT429">
        <v>3460</v>
      </c>
      <c r="AU429" t="s">
        <v>34</v>
      </c>
    </row>
    <row r="430" spans="1:47" x14ac:dyDescent="0.2">
      <c r="A430">
        <v>2088</v>
      </c>
      <c r="B430" t="s">
        <v>788</v>
      </c>
      <c r="C430">
        <v>33</v>
      </c>
      <c r="D430" t="s">
        <v>552</v>
      </c>
      <c r="G430" t="str">
        <f t="shared" si="6"/>
        <v>SWL200733SLIP2</v>
      </c>
      <c r="H430">
        <v>62.050666999999997</v>
      </c>
      <c r="I430">
        <v>-175.20500000000001</v>
      </c>
      <c r="J430" s="3">
        <v>20070714</v>
      </c>
      <c r="K430">
        <v>2007</v>
      </c>
      <c r="L430">
        <v>2.6646999999999998</v>
      </c>
      <c r="M430">
        <v>3.4395199999999999</v>
      </c>
      <c r="N430">
        <v>0.12042</v>
      </c>
      <c r="O430">
        <v>4.4999999999999999E-4</v>
      </c>
      <c r="P430">
        <v>0.23061000000000001</v>
      </c>
      <c r="Q430">
        <v>0</v>
      </c>
      <c r="R430">
        <v>0</v>
      </c>
      <c r="S430">
        <v>0</v>
      </c>
      <c r="T430">
        <v>1.24397</v>
      </c>
      <c r="U430">
        <v>5.0659999999999997E-2</v>
      </c>
      <c r="V430">
        <v>7.7503299999999999</v>
      </c>
      <c r="W430" t="s">
        <v>10</v>
      </c>
      <c r="X430">
        <v>38.668999999999997</v>
      </c>
      <c r="Y430">
        <v>131.154</v>
      </c>
      <c r="Z430">
        <v>1.5649999999999999</v>
      </c>
      <c r="AA430">
        <v>0.01</v>
      </c>
      <c r="AB430">
        <v>16.472000000000001</v>
      </c>
      <c r="AC430">
        <v>0</v>
      </c>
      <c r="AD430">
        <v>0</v>
      </c>
      <c r="AE430">
        <v>0</v>
      </c>
      <c r="AF430">
        <v>13.375999999999999</v>
      </c>
      <c r="AG430">
        <v>1.1040000000000001</v>
      </c>
      <c r="AH430">
        <v>202.35</v>
      </c>
      <c r="AI430" t="s">
        <v>22</v>
      </c>
      <c r="AJ430">
        <v>627.5</v>
      </c>
      <c r="AK430">
        <v>1205</v>
      </c>
      <c r="AL430">
        <v>207.5</v>
      </c>
      <c r="AM430">
        <v>20</v>
      </c>
      <c r="AN430">
        <v>87.5</v>
      </c>
      <c r="AO430">
        <v>0</v>
      </c>
      <c r="AP430">
        <v>0</v>
      </c>
      <c r="AQ430">
        <v>0</v>
      </c>
      <c r="AR430">
        <v>10</v>
      </c>
      <c r="AS430">
        <v>100</v>
      </c>
      <c r="AT430">
        <v>2257.5</v>
      </c>
      <c r="AU430" t="s">
        <v>34</v>
      </c>
    </row>
    <row r="431" spans="1:47" x14ac:dyDescent="0.2">
      <c r="A431">
        <v>2089</v>
      </c>
      <c r="B431" t="s">
        <v>788</v>
      </c>
      <c r="C431">
        <v>34</v>
      </c>
      <c r="D431" t="s">
        <v>553</v>
      </c>
      <c r="G431" t="str">
        <f t="shared" si="6"/>
        <v>SWL200734SLIP3</v>
      </c>
      <c r="H431">
        <v>62.393999999999998</v>
      </c>
      <c r="I431">
        <v>-174.569333</v>
      </c>
      <c r="J431" s="3">
        <v>20070714</v>
      </c>
      <c r="K431">
        <v>2007</v>
      </c>
      <c r="L431">
        <v>6.1133699999999997</v>
      </c>
      <c r="M431">
        <v>6.8452299999999999</v>
      </c>
      <c r="N431">
        <v>0.11423</v>
      </c>
      <c r="O431">
        <v>3.1615199999999999</v>
      </c>
      <c r="P431">
        <v>0.49528</v>
      </c>
      <c r="Q431">
        <v>0</v>
      </c>
      <c r="R431">
        <v>0</v>
      </c>
      <c r="S431">
        <v>12.500679999999999</v>
      </c>
      <c r="T431">
        <v>0.52461000000000002</v>
      </c>
      <c r="U431">
        <v>8.6510000000000004E-2</v>
      </c>
      <c r="V431">
        <v>29.841429999999999</v>
      </c>
      <c r="W431" t="s">
        <v>16</v>
      </c>
      <c r="X431">
        <v>87.593999999999994</v>
      </c>
      <c r="Y431">
        <v>277.09300000000002</v>
      </c>
      <c r="Z431">
        <v>1.43</v>
      </c>
      <c r="AA431">
        <v>70.256</v>
      </c>
      <c r="AB431">
        <v>35.377000000000002</v>
      </c>
      <c r="AC431">
        <v>0</v>
      </c>
      <c r="AD431">
        <v>0</v>
      </c>
      <c r="AE431">
        <v>317.17899999999997</v>
      </c>
      <c r="AF431">
        <v>5.641</v>
      </c>
      <c r="AG431">
        <v>2.0150000000000001</v>
      </c>
      <c r="AH431">
        <v>796.58500000000004</v>
      </c>
      <c r="AI431" t="s">
        <v>28</v>
      </c>
      <c r="AJ431">
        <v>1165</v>
      </c>
      <c r="AK431">
        <v>537.5</v>
      </c>
      <c r="AL431">
        <v>155</v>
      </c>
      <c r="AM431">
        <v>22.5</v>
      </c>
      <c r="AN431">
        <v>110</v>
      </c>
      <c r="AO431">
        <v>0</v>
      </c>
      <c r="AP431">
        <v>0</v>
      </c>
      <c r="AQ431">
        <v>10</v>
      </c>
      <c r="AR431">
        <v>12.5</v>
      </c>
      <c r="AS431">
        <v>100</v>
      </c>
      <c r="AT431">
        <v>2112.5</v>
      </c>
      <c r="AU431" t="s">
        <v>33</v>
      </c>
    </row>
    <row r="432" spans="1:47" x14ac:dyDescent="0.2">
      <c r="A432">
        <v>2090</v>
      </c>
      <c r="B432" t="s">
        <v>788</v>
      </c>
      <c r="C432">
        <v>35</v>
      </c>
      <c r="D432" t="s">
        <v>554</v>
      </c>
      <c r="G432" t="str">
        <f t="shared" si="6"/>
        <v>SWL200735SLIP5</v>
      </c>
      <c r="H432">
        <v>62.563116999999998</v>
      </c>
      <c r="I432">
        <v>-173.55404999999999</v>
      </c>
      <c r="J432" s="3">
        <v>20070714</v>
      </c>
      <c r="K432">
        <v>2007</v>
      </c>
      <c r="L432">
        <v>2.7627600000000001</v>
      </c>
      <c r="M432">
        <v>21.6999</v>
      </c>
      <c r="N432">
        <v>0.86248999999999998</v>
      </c>
      <c r="O432">
        <v>3.2000000000000003E-4</v>
      </c>
      <c r="P432">
        <v>0.27578999999999998</v>
      </c>
      <c r="Q432">
        <v>0</v>
      </c>
      <c r="R432">
        <v>0</v>
      </c>
      <c r="S432">
        <v>0</v>
      </c>
      <c r="T432">
        <v>0.21046000000000001</v>
      </c>
      <c r="U432">
        <v>3.8870000000000002E-2</v>
      </c>
      <c r="V432">
        <v>25.85059</v>
      </c>
      <c r="W432" t="s">
        <v>10</v>
      </c>
      <c r="X432">
        <v>48.29</v>
      </c>
      <c r="Y432">
        <v>727.07500000000005</v>
      </c>
      <c r="Z432">
        <v>11.503</v>
      </c>
      <c r="AA432">
        <v>7.0000000000000001E-3</v>
      </c>
      <c r="AB432">
        <v>19.699000000000002</v>
      </c>
      <c r="AC432">
        <v>0</v>
      </c>
      <c r="AD432">
        <v>0</v>
      </c>
      <c r="AE432">
        <v>0</v>
      </c>
      <c r="AF432">
        <v>2.2629999999999999</v>
      </c>
      <c r="AG432">
        <v>0.96199999999999997</v>
      </c>
      <c r="AH432">
        <v>809.79899999999998</v>
      </c>
      <c r="AI432" t="s">
        <v>22</v>
      </c>
      <c r="AJ432">
        <v>565</v>
      </c>
      <c r="AK432">
        <v>1870</v>
      </c>
      <c r="AL432">
        <v>237.5</v>
      </c>
      <c r="AM432">
        <v>7.5</v>
      </c>
      <c r="AN432">
        <v>10</v>
      </c>
      <c r="AO432">
        <v>0</v>
      </c>
      <c r="AP432">
        <v>0</v>
      </c>
      <c r="AQ432">
        <v>0</v>
      </c>
      <c r="AR432">
        <v>5</v>
      </c>
      <c r="AS432">
        <v>42.5</v>
      </c>
      <c r="AT432">
        <v>2737.5</v>
      </c>
      <c r="AU432" t="s">
        <v>34</v>
      </c>
    </row>
    <row r="433" spans="1:47" x14ac:dyDescent="0.2">
      <c r="A433">
        <v>2091</v>
      </c>
      <c r="B433" t="s">
        <v>788</v>
      </c>
      <c r="C433">
        <v>36</v>
      </c>
      <c r="D433" t="s">
        <v>555</v>
      </c>
      <c r="G433" t="str">
        <f t="shared" si="6"/>
        <v>SWL200736SLIP4</v>
      </c>
      <c r="H433">
        <v>63.028982999999997</v>
      </c>
      <c r="I433">
        <v>-173.45650000000001</v>
      </c>
      <c r="J433" s="3">
        <v>20070714</v>
      </c>
      <c r="K433">
        <v>2007</v>
      </c>
      <c r="L433">
        <v>3.13401</v>
      </c>
      <c r="M433">
        <v>14.7834</v>
      </c>
      <c r="N433">
        <v>0.73924999999999996</v>
      </c>
      <c r="O433">
        <v>0</v>
      </c>
      <c r="P433">
        <v>0.15869</v>
      </c>
      <c r="Q433">
        <v>0</v>
      </c>
      <c r="R433">
        <v>0</v>
      </c>
      <c r="S433">
        <v>0</v>
      </c>
      <c r="T433">
        <v>0.65564999999999996</v>
      </c>
      <c r="U433">
        <v>0.61816000000000004</v>
      </c>
      <c r="V433">
        <v>20.08916</v>
      </c>
      <c r="W433" t="s">
        <v>10</v>
      </c>
      <c r="X433">
        <v>61.067</v>
      </c>
      <c r="Y433">
        <v>417.07100000000003</v>
      </c>
      <c r="Z433">
        <v>8.6280000000000001</v>
      </c>
      <c r="AA433">
        <v>0</v>
      </c>
      <c r="AB433">
        <v>11.335000000000001</v>
      </c>
      <c r="AC433">
        <v>0</v>
      </c>
      <c r="AD433">
        <v>0</v>
      </c>
      <c r="AE433">
        <v>0</v>
      </c>
      <c r="AF433">
        <v>7.05</v>
      </c>
      <c r="AG433">
        <v>11.053000000000001</v>
      </c>
      <c r="AH433">
        <v>516.20399999999995</v>
      </c>
      <c r="AI433" t="s">
        <v>22</v>
      </c>
      <c r="AJ433">
        <v>1700</v>
      </c>
      <c r="AK433">
        <v>2082.5</v>
      </c>
      <c r="AL433">
        <v>372.5</v>
      </c>
      <c r="AM433">
        <v>0</v>
      </c>
      <c r="AN433">
        <v>17.5</v>
      </c>
      <c r="AO433">
        <v>0</v>
      </c>
      <c r="AP433">
        <v>0</v>
      </c>
      <c r="AQ433">
        <v>0</v>
      </c>
      <c r="AR433">
        <v>25</v>
      </c>
      <c r="AS433">
        <v>190</v>
      </c>
      <c r="AT433">
        <v>4387.5</v>
      </c>
      <c r="AU433" t="s">
        <v>34</v>
      </c>
    </row>
    <row r="434" spans="1:47" x14ac:dyDescent="0.2">
      <c r="A434">
        <v>2092</v>
      </c>
      <c r="B434" t="s">
        <v>788</v>
      </c>
      <c r="C434">
        <v>45</v>
      </c>
      <c r="D434" t="s">
        <v>556</v>
      </c>
      <c r="G434" t="str">
        <f t="shared" si="6"/>
        <v>SWL200745UTBS5</v>
      </c>
      <c r="H434">
        <v>64.666499999999999</v>
      </c>
      <c r="I434">
        <v>-169.921167</v>
      </c>
      <c r="J434" s="3">
        <v>20070715</v>
      </c>
      <c r="K434">
        <v>2007</v>
      </c>
      <c r="L434">
        <v>45.392440000000001</v>
      </c>
      <c r="M434">
        <v>10.33329</v>
      </c>
      <c r="N434">
        <v>0.52302000000000004</v>
      </c>
      <c r="O434">
        <v>0.34394000000000002</v>
      </c>
      <c r="P434">
        <v>4.0000000000000003E-5</v>
      </c>
      <c r="Q434">
        <v>0</v>
      </c>
      <c r="R434">
        <v>0</v>
      </c>
      <c r="S434">
        <v>0.24698999999999999</v>
      </c>
      <c r="T434">
        <v>0</v>
      </c>
      <c r="U434">
        <v>1.4630000000000001E-2</v>
      </c>
      <c r="V434">
        <v>56.854349999999997</v>
      </c>
      <c r="W434" t="s">
        <v>9</v>
      </c>
      <c r="X434">
        <v>655.87800000000004</v>
      </c>
      <c r="Y434">
        <v>300.48200000000003</v>
      </c>
      <c r="Z434">
        <v>7.016</v>
      </c>
      <c r="AA434">
        <v>7.6429999999999998</v>
      </c>
      <c r="AB434">
        <v>3.0000000000000001E-3</v>
      </c>
      <c r="AC434">
        <v>0</v>
      </c>
      <c r="AD434">
        <v>0</v>
      </c>
      <c r="AE434">
        <v>13.667</v>
      </c>
      <c r="AF434">
        <v>0</v>
      </c>
      <c r="AG434">
        <v>0.78300000000000003</v>
      </c>
      <c r="AH434">
        <v>985.47199999999998</v>
      </c>
      <c r="AI434" t="s">
        <v>21</v>
      </c>
      <c r="AJ434">
        <v>1360</v>
      </c>
      <c r="AK434">
        <v>755</v>
      </c>
      <c r="AL434">
        <v>2690</v>
      </c>
      <c r="AM434">
        <v>85</v>
      </c>
      <c r="AN434">
        <v>5</v>
      </c>
      <c r="AO434">
        <v>0</v>
      </c>
      <c r="AP434">
        <v>0</v>
      </c>
      <c r="AQ434">
        <v>22.5</v>
      </c>
      <c r="AR434">
        <v>0</v>
      </c>
      <c r="AS434">
        <v>77.5</v>
      </c>
      <c r="AT434">
        <v>4995</v>
      </c>
      <c r="AU434" t="s">
        <v>35</v>
      </c>
    </row>
    <row r="435" spans="1:47" x14ac:dyDescent="0.2">
      <c r="A435">
        <v>2093</v>
      </c>
      <c r="B435" t="s">
        <v>788</v>
      </c>
      <c r="C435">
        <v>46</v>
      </c>
      <c r="D435" t="s">
        <v>557</v>
      </c>
      <c r="G435" t="str">
        <f t="shared" si="6"/>
        <v>SWL200746UTBS2</v>
      </c>
      <c r="H435">
        <v>64.682833000000002</v>
      </c>
      <c r="I435">
        <v>-169.09899999999999</v>
      </c>
      <c r="J435" s="3">
        <v>20070715</v>
      </c>
      <c r="K435">
        <v>2007</v>
      </c>
      <c r="L435">
        <v>1.5479000000000001</v>
      </c>
      <c r="M435">
        <v>0.15515000000000001</v>
      </c>
      <c r="N435">
        <v>5.4611200000000002</v>
      </c>
      <c r="O435">
        <v>9.8999999999999999E-4</v>
      </c>
      <c r="P435">
        <v>0</v>
      </c>
      <c r="Q435">
        <v>0</v>
      </c>
      <c r="R435">
        <v>0</v>
      </c>
      <c r="S435">
        <v>0</v>
      </c>
      <c r="T435">
        <v>7.1599999999999997E-3</v>
      </c>
      <c r="U435">
        <v>1.312E-2</v>
      </c>
      <c r="V435">
        <v>7.1854399999999998</v>
      </c>
      <c r="W435" t="s">
        <v>11</v>
      </c>
      <c r="X435">
        <v>22.321000000000002</v>
      </c>
      <c r="Y435">
        <v>8.1739999999999995</v>
      </c>
      <c r="Z435">
        <v>79.927999999999997</v>
      </c>
      <c r="AA435">
        <v>2.1999999999999999E-2</v>
      </c>
      <c r="AB435">
        <v>0</v>
      </c>
      <c r="AC435">
        <v>0</v>
      </c>
      <c r="AD435">
        <v>0</v>
      </c>
      <c r="AE435">
        <v>0</v>
      </c>
      <c r="AF435">
        <v>7.6999999999999999E-2</v>
      </c>
      <c r="AG435">
        <v>1.2210000000000001</v>
      </c>
      <c r="AH435">
        <v>111.74299999999999</v>
      </c>
      <c r="AI435" t="s">
        <v>23</v>
      </c>
      <c r="AJ435">
        <v>335</v>
      </c>
      <c r="AK435">
        <v>420</v>
      </c>
      <c r="AL435">
        <v>6705</v>
      </c>
      <c r="AM435">
        <v>2.5</v>
      </c>
      <c r="AN435">
        <v>0</v>
      </c>
      <c r="AO435">
        <v>0</v>
      </c>
      <c r="AP435">
        <v>0</v>
      </c>
      <c r="AQ435">
        <v>0</v>
      </c>
      <c r="AR435">
        <v>20</v>
      </c>
      <c r="AS435">
        <v>12.5</v>
      </c>
      <c r="AT435">
        <v>7495</v>
      </c>
      <c r="AU435" t="s">
        <v>35</v>
      </c>
    </row>
    <row r="436" spans="1:47" x14ac:dyDescent="0.2">
      <c r="A436">
        <v>2094</v>
      </c>
      <c r="B436" t="s">
        <v>788</v>
      </c>
      <c r="C436">
        <v>47</v>
      </c>
      <c r="D436" t="s">
        <v>558</v>
      </c>
      <c r="G436" t="str">
        <f t="shared" si="6"/>
        <v>SWL200747UTBS4</v>
      </c>
      <c r="H436">
        <v>64.959333000000001</v>
      </c>
      <c r="I436">
        <v>-169.8845</v>
      </c>
      <c r="J436" s="3">
        <v>20070715</v>
      </c>
      <c r="K436">
        <v>2007</v>
      </c>
      <c r="L436">
        <v>1.7925</v>
      </c>
      <c r="M436">
        <v>3.7426499999999998</v>
      </c>
      <c r="N436">
        <v>0.78068000000000004</v>
      </c>
      <c r="O436">
        <v>2.7E-4</v>
      </c>
      <c r="P436">
        <v>0</v>
      </c>
      <c r="Q436">
        <v>0</v>
      </c>
      <c r="R436">
        <v>1.7569999999999999E-2</v>
      </c>
      <c r="S436">
        <v>0</v>
      </c>
      <c r="T436">
        <v>0</v>
      </c>
      <c r="U436">
        <v>1.4499999999999999E-3</v>
      </c>
      <c r="V436">
        <v>6.3351199999999999</v>
      </c>
      <c r="W436" t="s">
        <v>10</v>
      </c>
      <c r="X436">
        <v>24.898</v>
      </c>
      <c r="Y436">
        <v>96.733999999999995</v>
      </c>
      <c r="Z436">
        <v>11.368</v>
      </c>
      <c r="AA436">
        <v>6.0000000000000001E-3</v>
      </c>
      <c r="AB436">
        <v>0</v>
      </c>
      <c r="AC436">
        <v>0</v>
      </c>
      <c r="AD436">
        <v>0.28799999999999998</v>
      </c>
      <c r="AE436">
        <v>0</v>
      </c>
      <c r="AF436">
        <v>0</v>
      </c>
      <c r="AG436">
        <v>0.14299999999999999</v>
      </c>
      <c r="AH436">
        <v>133.43700000000001</v>
      </c>
      <c r="AI436" t="s">
        <v>22</v>
      </c>
      <c r="AJ436">
        <v>200</v>
      </c>
      <c r="AK436">
        <v>265</v>
      </c>
      <c r="AL436">
        <v>865</v>
      </c>
      <c r="AM436">
        <v>2.5</v>
      </c>
      <c r="AN436">
        <v>0</v>
      </c>
      <c r="AO436">
        <v>0</v>
      </c>
      <c r="AP436">
        <v>2.5</v>
      </c>
      <c r="AQ436">
        <v>0</v>
      </c>
      <c r="AR436">
        <v>0</v>
      </c>
      <c r="AS436">
        <v>2.5</v>
      </c>
      <c r="AT436">
        <v>1337.5</v>
      </c>
      <c r="AU436" t="s">
        <v>35</v>
      </c>
    </row>
    <row r="437" spans="1:47" x14ac:dyDescent="0.2">
      <c r="A437">
        <v>2095</v>
      </c>
      <c r="B437" t="s">
        <v>788</v>
      </c>
      <c r="C437">
        <v>48</v>
      </c>
      <c r="D437" t="s">
        <v>179</v>
      </c>
      <c r="G437" t="str">
        <f t="shared" si="6"/>
        <v>SWL200748UTBS1</v>
      </c>
      <c r="H437">
        <v>64.992000000000004</v>
      </c>
      <c r="I437">
        <v>-169.136167</v>
      </c>
      <c r="J437" s="3">
        <v>20070716</v>
      </c>
      <c r="K437">
        <v>2007</v>
      </c>
      <c r="L437">
        <v>2.4347400000000001</v>
      </c>
      <c r="M437">
        <v>6.4583199999999996</v>
      </c>
      <c r="N437">
        <v>6.9920999999999998</v>
      </c>
      <c r="O437">
        <v>8.4999999999999995E-4</v>
      </c>
      <c r="P437">
        <v>0</v>
      </c>
      <c r="Q437">
        <v>0</v>
      </c>
      <c r="R437">
        <v>0.60311000000000003</v>
      </c>
      <c r="S437">
        <v>3.3660000000000002E-2</v>
      </c>
      <c r="T437">
        <v>2.93E-2</v>
      </c>
      <c r="U437">
        <v>4.1099999999999999E-3</v>
      </c>
      <c r="V437">
        <v>16.556190000000001</v>
      </c>
      <c r="W437" t="s">
        <v>11</v>
      </c>
      <c r="X437">
        <v>34.241</v>
      </c>
      <c r="Y437">
        <v>306.07</v>
      </c>
      <c r="Z437">
        <v>102.291</v>
      </c>
      <c r="AA437">
        <v>1.9E-2</v>
      </c>
      <c r="AB437">
        <v>0</v>
      </c>
      <c r="AC437">
        <v>0</v>
      </c>
      <c r="AD437">
        <v>9.8870000000000005</v>
      </c>
      <c r="AE437">
        <v>2.4039999999999999</v>
      </c>
      <c r="AF437">
        <v>0.315</v>
      </c>
      <c r="AG437">
        <v>0.36799999999999999</v>
      </c>
      <c r="AH437">
        <v>455.59500000000003</v>
      </c>
      <c r="AI437" t="s">
        <v>22</v>
      </c>
      <c r="AJ437">
        <v>410</v>
      </c>
      <c r="AK437">
        <v>537.5</v>
      </c>
      <c r="AL437">
        <v>7162.5</v>
      </c>
      <c r="AM437">
        <v>5</v>
      </c>
      <c r="AN437">
        <v>0</v>
      </c>
      <c r="AO437">
        <v>0</v>
      </c>
      <c r="AP437">
        <v>5</v>
      </c>
      <c r="AQ437">
        <v>5</v>
      </c>
      <c r="AR437">
        <v>20</v>
      </c>
      <c r="AS437">
        <v>7.5</v>
      </c>
      <c r="AT437">
        <v>8152.5</v>
      </c>
      <c r="AU437" t="s">
        <v>35</v>
      </c>
    </row>
    <row r="438" spans="1:47" x14ac:dyDescent="0.2">
      <c r="A438">
        <v>2096</v>
      </c>
      <c r="B438" t="s">
        <v>788</v>
      </c>
      <c r="C438">
        <v>62</v>
      </c>
      <c r="D438" t="s">
        <v>559</v>
      </c>
      <c r="G438" t="str">
        <f t="shared" si="6"/>
        <v>SWL200762UTN1</v>
      </c>
      <c r="H438">
        <v>66.709166999999994</v>
      </c>
      <c r="I438">
        <v>-168.394667</v>
      </c>
      <c r="J438" s="3">
        <v>20070717</v>
      </c>
      <c r="K438">
        <v>2007</v>
      </c>
      <c r="L438">
        <v>0.74151</v>
      </c>
      <c r="M438">
        <v>1.6119999999999999E-2</v>
      </c>
      <c r="N438">
        <v>1.252E-2</v>
      </c>
      <c r="O438">
        <v>0</v>
      </c>
      <c r="P438">
        <v>0</v>
      </c>
      <c r="Q438">
        <v>10.962109999999999</v>
      </c>
      <c r="R438">
        <v>0.96855999999999998</v>
      </c>
      <c r="S438">
        <v>1.1237299999999999</v>
      </c>
      <c r="T438">
        <v>2.7999999999999998E-4</v>
      </c>
      <c r="U438">
        <v>0.46688000000000002</v>
      </c>
      <c r="V438">
        <v>14.29171</v>
      </c>
      <c r="W438" t="s">
        <v>14</v>
      </c>
      <c r="X438">
        <v>11.106</v>
      </c>
      <c r="Y438">
        <v>0.53600000000000003</v>
      </c>
      <c r="Z438">
        <v>0.17599999999999999</v>
      </c>
      <c r="AA438">
        <v>0</v>
      </c>
      <c r="AB438">
        <v>0</v>
      </c>
      <c r="AC438">
        <v>1370.2639999999999</v>
      </c>
      <c r="AD438">
        <v>15.878</v>
      </c>
      <c r="AE438">
        <v>27.408000000000001</v>
      </c>
      <c r="AF438">
        <v>3.0000000000000001E-3</v>
      </c>
      <c r="AG438">
        <v>33.972999999999999</v>
      </c>
      <c r="AH438">
        <v>1459.3440000000001</v>
      </c>
      <c r="AI438" t="s">
        <v>26</v>
      </c>
      <c r="AJ438">
        <v>507.5</v>
      </c>
      <c r="AK438">
        <v>77.5</v>
      </c>
      <c r="AL438">
        <v>127.5</v>
      </c>
      <c r="AM438">
        <v>0</v>
      </c>
      <c r="AN438">
        <v>0</v>
      </c>
      <c r="AO438">
        <v>205</v>
      </c>
      <c r="AP438">
        <v>15</v>
      </c>
      <c r="AQ438">
        <v>5</v>
      </c>
      <c r="AR438">
        <v>2.5</v>
      </c>
      <c r="AS438">
        <v>10</v>
      </c>
      <c r="AT438">
        <v>950</v>
      </c>
      <c r="AU438" t="s">
        <v>33</v>
      </c>
    </row>
    <row r="439" spans="1:47" x14ac:dyDescent="0.2">
      <c r="A439">
        <v>2097</v>
      </c>
      <c r="B439" t="s">
        <v>788</v>
      </c>
      <c r="C439">
        <v>63</v>
      </c>
      <c r="D439" t="s">
        <v>560</v>
      </c>
      <c r="G439" t="str">
        <f t="shared" si="6"/>
        <v>SWL200763UTN2</v>
      </c>
      <c r="H439">
        <v>67.051000000000002</v>
      </c>
      <c r="I439">
        <v>-168.394667</v>
      </c>
      <c r="J439" s="3">
        <v>20070717</v>
      </c>
      <c r="K439">
        <v>2007</v>
      </c>
      <c r="L439">
        <v>5.5013699999999996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1.05646</v>
      </c>
      <c r="S439">
        <v>0</v>
      </c>
      <c r="T439">
        <v>0</v>
      </c>
      <c r="U439">
        <v>0</v>
      </c>
      <c r="V439">
        <v>6.55783</v>
      </c>
      <c r="W439" t="s">
        <v>9</v>
      </c>
      <c r="X439">
        <v>77.465000000000003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17.318999999999999</v>
      </c>
      <c r="AE439">
        <v>0</v>
      </c>
      <c r="AF439">
        <v>0</v>
      </c>
      <c r="AG439">
        <v>0</v>
      </c>
      <c r="AH439">
        <v>94.784000000000006</v>
      </c>
      <c r="AI439" t="s">
        <v>21</v>
      </c>
      <c r="AJ439">
        <v>315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22.5</v>
      </c>
      <c r="AQ439">
        <v>0</v>
      </c>
      <c r="AR439">
        <v>0</v>
      </c>
      <c r="AS439">
        <v>0</v>
      </c>
      <c r="AT439">
        <v>337.5</v>
      </c>
      <c r="AU439" t="s">
        <v>33</v>
      </c>
    </row>
    <row r="440" spans="1:47" x14ac:dyDescent="0.2">
      <c r="A440">
        <v>2098</v>
      </c>
      <c r="B440" t="s">
        <v>788</v>
      </c>
      <c r="C440">
        <v>64</v>
      </c>
      <c r="D440" t="s">
        <v>561</v>
      </c>
      <c r="G440" t="str">
        <f t="shared" si="6"/>
        <v>SWL200764UTN3</v>
      </c>
      <c r="H440">
        <v>67.334333000000001</v>
      </c>
      <c r="I440">
        <v>-169</v>
      </c>
      <c r="J440" s="3">
        <v>20070717</v>
      </c>
      <c r="K440">
        <v>2007</v>
      </c>
      <c r="L440">
        <v>6.5112500000000004</v>
      </c>
      <c r="M440">
        <v>11.323829999999999</v>
      </c>
      <c r="N440">
        <v>0.89478999999999997</v>
      </c>
      <c r="O440">
        <v>0</v>
      </c>
      <c r="P440">
        <v>0</v>
      </c>
      <c r="Q440">
        <v>0</v>
      </c>
      <c r="R440">
        <v>2.2844500000000001</v>
      </c>
      <c r="S440">
        <v>0</v>
      </c>
      <c r="T440">
        <v>1.5223199999999999</v>
      </c>
      <c r="U440">
        <v>3.8600000000000001E-3</v>
      </c>
      <c r="V440">
        <v>22.540500000000002</v>
      </c>
      <c r="W440" t="s">
        <v>10</v>
      </c>
      <c r="X440">
        <v>94.209000000000003</v>
      </c>
      <c r="Y440">
        <v>319.33300000000003</v>
      </c>
      <c r="Z440">
        <v>10.134</v>
      </c>
      <c r="AA440">
        <v>0</v>
      </c>
      <c r="AB440">
        <v>0</v>
      </c>
      <c r="AC440">
        <v>0</v>
      </c>
      <c r="AD440">
        <v>37.450000000000003</v>
      </c>
      <c r="AE440">
        <v>0</v>
      </c>
      <c r="AF440">
        <v>16.369</v>
      </c>
      <c r="AG440">
        <v>0.17199999999999999</v>
      </c>
      <c r="AH440">
        <v>477.66699999999997</v>
      </c>
      <c r="AI440" t="s">
        <v>22</v>
      </c>
      <c r="AJ440">
        <v>867.5</v>
      </c>
      <c r="AK440">
        <v>620</v>
      </c>
      <c r="AL440">
        <v>2515</v>
      </c>
      <c r="AM440">
        <v>0</v>
      </c>
      <c r="AN440">
        <v>0</v>
      </c>
      <c r="AO440">
        <v>0</v>
      </c>
      <c r="AP440">
        <v>45</v>
      </c>
      <c r="AQ440">
        <v>0</v>
      </c>
      <c r="AR440">
        <v>2.5</v>
      </c>
      <c r="AS440">
        <v>32.5</v>
      </c>
      <c r="AT440">
        <v>4082.5</v>
      </c>
      <c r="AU440" t="s">
        <v>35</v>
      </c>
    </row>
    <row r="441" spans="1:47" x14ac:dyDescent="0.2">
      <c r="A441">
        <v>2099</v>
      </c>
      <c r="B441" t="s">
        <v>788</v>
      </c>
      <c r="C441">
        <v>65</v>
      </c>
      <c r="D441" t="s">
        <v>562</v>
      </c>
      <c r="G441" t="str">
        <f t="shared" si="6"/>
        <v>SWL200765UTN4</v>
      </c>
      <c r="H441">
        <v>67.500500000000002</v>
      </c>
      <c r="I441">
        <v>-168.907667</v>
      </c>
      <c r="J441" s="3">
        <v>20070717</v>
      </c>
      <c r="K441">
        <v>2007</v>
      </c>
      <c r="L441">
        <v>1.7990999999999999</v>
      </c>
      <c r="M441">
        <v>31.967980000000001</v>
      </c>
      <c r="N441">
        <v>2.8048299999999999</v>
      </c>
      <c r="O441">
        <v>0</v>
      </c>
      <c r="P441">
        <v>7.9020000000000007E-2</v>
      </c>
      <c r="Q441">
        <v>0</v>
      </c>
      <c r="R441">
        <v>2.2702399999999998</v>
      </c>
      <c r="S441">
        <v>0</v>
      </c>
      <c r="T441">
        <v>0</v>
      </c>
      <c r="U441">
        <v>4.5409999999999999E-2</v>
      </c>
      <c r="V441">
        <v>38.96658</v>
      </c>
      <c r="W441" t="s">
        <v>10</v>
      </c>
      <c r="X441">
        <v>28.303999999999998</v>
      </c>
      <c r="Y441">
        <v>910.51499999999999</v>
      </c>
      <c r="Z441">
        <v>30.908999999999999</v>
      </c>
      <c r="AA441">
        <v>0</v>
      </c>
      <c r="AB441">
        <v>5.6440000000000001</v>
      </c>
      <c r="AC441">
        <v>0</v>
      </c>
      <c r="AD441">
        <v>37.216999999999999</v>
      </c>
      <c r="AE441">
        <v>0</v>
      </c>
      <c r="AF441">
        <v>0</v>
      </c>
      <c r="AG441">
        <v>0.999</v>
      </c>
      <c r="AH441">
        <v>1013.588</v>
      </c>
      <c r="AI441" t="s">
        <v>22</v>
      </c>
      <c r="AJ441">
        <v>895</v>
      </c>
      <c r="AK441">
        <v>570</v>
      </c>
      <c r="AL441">
        <v>5905</v>
      </c>
      <c r="AM441">
        <v>0</v>
      </c>
      <c r="AN441">
        <v>10</v>
      </c>
      <c r="AO441">
        <v>0</v>
      </c>
      <c r="AP441">
        <v>35</v>
      </c>
      <c r="AQ441">
        <v>0</v>
      </c>
      <c r="AR441">
        <v>0</v>
      </c>
      <c r="AS441">
        <v>72.5</v>
      </c>
      <c r="AT441">
        <v>7487.5</v>
      </c>
      <c r="AU441" t="s">
        <v>35</v>
      </c>
    </row>
    <row r="442" spans="1:47" x14ac:dyDescent="0.2">
      <c r="A442">
        <v>2100</v>
      </c>
      <c r="B442" t="s">
        <v>788</v>
      </c>
      <c r="C442">
        <v>66</v>
      </c>
      <c r="D442" t="s">
        <v>306</v>
      </c>
      <c r="G442" t="str">
        <f t="shared" si="6"/>
        <v>SWL200766UTN5=SEC1</v>
      </c>
      <c r="H442">
        <v>67.670332999999999</v>
      </c>
      <c r="I442">
        <v>-168.95833300000001</v>
      </c>
      <c r="J442" s="3">
        <v>20070717</v>
      </c>
      <c r="K442">
        <v>2007</v>
      </c>
      <c r="L442">
        <v>1.8468599999999999</v>
      </c>
      <c r="M442">
        <v>64.497519999999994</v>
      </c>
      <c r="N442">
        <v>0.96043000000000001</v>
      </c>
      <c r="O442">
        <v>0</v>
      </c>
      <c r="P442">
        <v>7.1569999999999995E-2</v>
      </c>
      <c r="Q442">
        <v>0</v>
      </c>
      <c r="R442">
        <v>2.51613</v>
      </c>
      <c r="S442">
        <v>0</v>
      </c>
      <c r="T442">
        <v>0.84955999999999998</v>
      </c>
      <c r="U442">
        <v>0.19686999999999999</v>
      </c>
      <c r="V442">
        <v>70.938940000000002</v>
      </c>
      <c r="W442" t="s">
        <v>10</v>
      </c>
      <c r="X442">
        <v>24.244</v>
      </c>
      <c r="Y442">
        <v>1926.8610000000001</v>
      </c>
      <c r="Z442">
        <v>10.557</v>
      </c>
      <c r="AA442">
        <v>0</v>
      </c>
      <c r="AB442">
        <v>5.1120000000000001</v>
      </c>
      <c r="AC442">
        <v>0</v>
      </c>
      <c r="AD442">
        <v>41.247999999999998</v>
      </c>
      <c r="AE442">
        <v>0</v>
      </c>
      <c r="AF442">
        <v>9.1349999999999998</v>
      </c>
      <c r="AG442">
        <v>3.91</v>
      </c>
      <c r="AH442">
        <v>2021.067</v>
      </c>
      <c r="AI442" t="s">
        <v>22</v>
      </c>
      <c r="AJ442">
        <v>1062.5</v>
      </c>
      <c r="AK442">
        <v>1177.5</v>
      </c>
      <c r="AL442">
        <v>1735</v>
      </c>
      <c r="AM442">
        <v>0</v>
      </c>
      <c r="AN442">
        <v>7.5</v>
      </c>
      <c r="AO442">
        <v>0</v>
      </c>
      <c r="AP442">
        <v>60</v>
      </c>
      <c r="AQ442">
        <v>0</v>
      </c>
      <c r="AR442">
        <v>7.5</v>
      </c>
      <c r="AS442">
        <v>17.5</v>
      </c>
      <c r="AT442">
        <v>4067.5</v>
      </c>
      <c r="AU442" t="s">
        <v>35</v>
      </c>
    </row>
    <row r="443" spans="1:47" x14ac:dyDescent="0.2">
      <c r="A443">
        <v>2101</v>
      </c>
      <c r="B443" t="s">
        <v>788</v>
      </c>
      <c r="C443">
        <v>67</v>
      </c>
      <c r="D443" t="s">
        <v>563</v>
      </c>
      <c r="G443" t="str">
        <f t="shared" si="6"/>
        <v>SWL200767UTN6</v>
      </c>
      <c r="H443">
        <v>67.735833</v>
      </c>
      <c r="I443">
        <v>-168.437333</v>
      </c>
      <c r="J443" s="3">
        <v>20070718</v>
      </c>
      <c r="K443">
        <v>2007</v>
      </c>
      <c r="L443">
        <v>0.62563000000000002</v>
      </c>
      <c r="M443">
        <v>15.84187</v>
      </c>
      <c r="N443">
        <v>0.18113000000000001</v>
      </c>
      <c r="O443">
        <v>0</v>
      </c>
      <c r="P443">
        <v>9.7999999999999997E-4</v>
      </c>
      <c r="Q443">
        <v>0</v>
      </c>
      <c r="R443">
        <v>2.8580299999999998</v>
      </c>
      <c r="S443">
        <v>0</v>
      </c>
      <c r="T443">
        <v>0</v>
      </c>
      <c r="U443">
        <v>2.4000000000000001E-4</v>
      </c>
      <c r="V443">
        <v>19.50788</v>
      </c>
      <c r="W443" t="s">
        <v>10</v>
      </c>
      <c r="X443">
        <v>9.1319999999999997</v>
      </c>
      <c r="Y443">
        <v>440.45800000000003</v>
      </c>
      <c r="Z443">
        <v>2.0129999999999999</v>
      </c>
      <c r="AA443">
        <v>0</v>
      </c>
      <c r="AB443">
        <v>7.0000000000000007E-2</v>
      </c>
      <c r="AC443">
        <v>0</v>
      </c>
      <c r="AD443">
        <v>46.853000000000002</v>
      </c>
      <c r="AE443">
        <v>0</v>
      </c>
      <c r="AF443">
        <v>0</v>
      </c>
      <c r="AG443">
        <v>1.9E-2</v>
      </c>
      <c r="AH443">
        <v>498.54500000000002</v>
      </c>
      <c r="AI443" t="s">
        <v>22</v>
      </c>
      <c r="AJ443">
        <v>457.5</v>
      </c>
      <c r="AK443">
        <v>320</v>
      </c>
      <c r="AL443">
        <v>905</v>
      </c>
      <c r="AM443">
        <v>0</v>
      </c>
      <c r="AN443">
        <v>0</v>
      </c>
      <c r="AO443">
        <v>0</v>
      </c>
      <c r="AP443">
        <v>45</v>
      </c>
      <c r="AQ443">
        <v>0</v>
      </c>
      <c r="AR443">
        <v>0</v>
      </c>
      <c r="AS443">
        <v>2.5</v>
      </c>
      <c r="AT443">
        <v>1730</v>
      </c>
      <c r="AU443" t="s">
        <v>35</v>
      </c>
    </row>
    <row r="444" spans="1:47" x14ac:dyDescent="0.2">
      <c r="A444">
        <v>2102</v>
      </c>
      <c r="B444" t="s">
        <v>788</v>
      </c>
      <c r="C444">
        <v>68</v>
      </c>
      <c r="D444" t="s">
        <v>564</v>
      </c>
      <c r="G444" t="str">
        <f t="shared" si="6"/>
        <v>SWL200768UTN7</v>
      </c>
      <c r="H444">
        <v>67.999332999999993</v>
      </c>
      <c r="I444">
        <v>-168.93350000000001</v>
      </c>
      <c r="J444" s="3">
        <v>20070718</v>
      </c>
      <c r="K444">
        <v>2007</v>
      </c>
      <c r="L444">
        <v>0.23249</v>
      </c>
      <c r="M444">
        <v>16.494450000000001</v>
      </c>
      <c r="N444">
        <v>2.4870700000000001</v>
      </c>
      <c r="O444">
        <v>0</v>
      </c>
      <c r="P444">
        <v>5.5000000000000003E-4</v>
      </c>
      <c r="Q444">
        <v>0</v>
      </c>
      <c r="R444">
        <v>2.3857699999999999</v>
      </c>
      <c r="S444">
        <v>0</v>
      </c>
      <c r="T444">
        <v>1.9000000000000001E-4</v>
      </c>
      <c r="U444">
        <v>0.95577000000000001</v>
      </c>
      <c r="V444">
        <v>22.556290000000001</v>
      </c>
      <c r="W444" t="s">
        <v>10</v>
      </c>
      <c r="X444">
        <v>3.2839999999999998</v>
      </c>
      <c r="Y444">
        <v>528.08000000000004</v>
      </c>
      <c r="Z444">
        <v>27.102</v>
      </c>
      <c r="AA444">
        <v>0</v>
      </c>
      <c r="AB444">
        <v>3.9E-2</v>
      </c>
      <c r="AC444">
        <v>0</v>
      </c>
      <c r="AD444">
        <v>39.110999999999997</v>
      </c>
      <c r="AE444">
        <v>0</v>
      </c>
      <c r="AF444">
        <v>2E-3</v>
      </c>
      <c r="AG444">
        <v>18.882000000000001</v>
      </c>
      <c r="AH444">
        <v>616.5</v>
      </c>
      <c r="AI444" t="s">
        <v>22</v>
      </c>
      <c r="AJ444">
        <v>175</v>
      </c>
      <c r="AK444">
        <v>345</v>
      </c>
      <c r="AL444">
        <v>4772.5</v>
      </c>
      <c r="AM444">
        <v>0</v>
      </c>
      <c r="AN444">
        <v>2.5</v>
      </c>
      <c r="AO444">
        <v>0</v>
      </c>
      <c r="AP444">
        <v>32.5</v>
      </c>
      <c r="AQ444">
        <v>0</v>
      </c>
      <c r="AR444">
        <v>5</v>
      </c>
      <c r="AS444">
        <v>77.5</v>
      </c>
      <c r="AT444">
        <v>5410</v>
      </c>
      <c r="AU444" t="s">
        <v>35</v>
      </c>
    </row>
    <row r="445" spans="1:47" x14ac:dyDescent="0.2">
      <c r="A445">
        <v>2103</v>
      </c>
      <c r="B445" t="s">
        <v>788</v>
      </c>
      <c r="C445">
        <v>73</v>
      </c>
      <c r="D445" t="s">
        <v>789</v>
      </c>
      <c r="G445" t="str">
        <f t="shared" si="6"/>
        <v>SWL200773BC3(VV)</v>
      </c>
      <c r="H445">
        <v>71.589332999999996</v>
      </c>
      <c r="I445">
        <v>-155.98400000000001</v>
      </c>
      <c r="J445" s="3">
        <v>20070720</v>
      </c>
      <c r="K445">
        <v>2007</v>
      </c>
      <c r="L445">
        <v>2.14E-3</v>
      </c>
      <c r="M445">
        <v>0</v>
      </c>
      <c r="N445">
        <v>1.81E-3</v>
      </c>
      <c r="O445">
        <v>0</v>
      </c>
      <c r="P445">
        <v>3.1150000000000001E-2</v>
      </c>
      <c r="Q445">
        <v>0</v>
      </c>
      <c r="R445">
        <v>0</v>
      </c>
      <c r="S445">
        <v>0</v>
      </c>
      <c r="T445">
        <v>0</v>
      </c>
      <c r="U445">
        <v>1.294E-2</v>
      </c>
      <c r="V445">
        <v>4.8039999999999999E-2</v>
      </c>
      <c r="W445" t="s">
        <v>13</v>
      </c>
      <c r="X445">
        <v>2.5999999999999999E-2</v>
      </c>
      <c r="Y445">
        <v>0</v>
      </c>
      <c r="Z445">
        <v>2.5000000000000001E-2</v>
      </c>
      <c r="AA445">
        <v>0</v>
      </c>
      <c r="AB445">
        <v>2.2250000000000001</v>
      </c>
      <c r="AC445">
        <v>0</v>
      </c>
      <c r="AD445">
        <v>0</v>
      </c>
      <c r="AE445">
        <v>0</v>
      </c>
      <c r="AF445">
        <v>0</v>
      </c>
      <c r="AG445">
        <v>1.2689999999999999</v>
      </c>
      <c r="AH445">
        <v>3.5449999999999999</v>
      </c>
      <c r="AI445" t="s">
        <v>25</v>
      </c>
      <c r="AJ445">
        <v>13.332000000000001</v>
      </c>
      <c r="AK445">
        <v>0</v>
      </c>
      <c r="AL445">
        <v>3.3330000000000002</v>
      </c>
      <c r="AM445">
        <v>0</v>
      </c>
      <c r="AN445">
        <v>3.3330000000000002</v>
      </c>
      <c r="AO445">
        <v>0</v>
      </c>
      <c r="AP445">
        <v>0</v>
      </c>
      <c r="AQ445">
        <v>0</v>
      </c>
      <c r="AR445">
        <v>0</v>
      </c>
      <c r="AS445">
        <v>13.333</v>
      </c>
      <c r="AT445">
        <v>33.331000000000003</v>
      </c>
      <c r="AU445" t="s">
        <v>42</v>
      </c>
    </row>
    <row r="446" spans="1:47" x14ac:dyDescent="0.2">
      <c r="A446">
        <v>2104</v>
      </c>
      <c r="B446" t="s">
        <v>788</v>
      </c>
      <c r="C446">
        <v>74</v>
      </c>
      <c r="D446" t="s">
        <v>790</v>
      </c>
      <c r="G446" t="str">
        <f t="shared" si="6"/>
        <v>SWL200774BC4(VV)</v>
      </c>
      <c r="H446">
        <v>71.930000000000007</v>
      </c>
      <c r="I446">
        <v>-154.886167</v>
      </c>
      <c r="J446" s="3">
        <v>20070720</v>
      </c>
      <c r="K446">
        <v>2007</v>
      </c>
      <c r="L446">
        <v>1.3341099999999999</v>
      </c>
      <c r="M446">
        <v>0.23654</v>
      </c>
      <c r="N446">
        <v>0.26456000000000002</v>
      </c>
      <c r="O446">
        <v>0.86912999999999996</v>
      </c>
      <c r="P446">
        <v>3.0000000000000001E-5</v>
      </c>
      <c r="Q446">
        <v>0</v>
      </c>
      <c r="R446">
        <v>0</v>
      </c>
      <c r="S446">
        <v>4.7600000000000003E-3</v>
      </c>
      <c r="T446">
        <v>1.7760000000000001E-2</v>
      </c>
      <c r="U446">
        <v>0.30343999999999999</v>
      </c>
      <c r="V446">
        <v>3.0303300000000002</v>
      </c>
      <c r="W446" t="s">
        <v>9</v>
      </c>
      <c r="X446">
        <v>19.318000000000001</v>
      </c>
      <c r="Y446">
        <v>8.1059999999999999</v>
      </c>
      <c r="Z446">
        <v>3.3650000000000002</v>
      </c>
      <c r="AA446">
        <v>19.314</v>
      </c>
      <c r="AB446">
        <v>2E-3</v>
      </c>
      <c r="AC446">
        <v>0</v>
      </c>
      <c r="AD446">
        <v>0</v>
      </c>
      <c r="AE446">
        <v>0.34</v>
      </c>
      <c r="AF446">
        <v>0.191</v>
      </c>
      <c r="AG446">
        <v>22.242000000000001</v>
      </c>
      <c r="AH446">
        <v>72.878</v>
      </c>
      <c r="AI446" t="s">
        <v>30</v>
      </c>
      <c r="AJ446">
        <v>970</v>
      </c>
      <c r="AK446">
        <v>330</v>
      </c>
      <c r="AL446">
        <v>450</v>
      </c>
      <c r="AM446">
        <v>12.5</v>
      </c>
      <c r="AN446">
        <v>0</v>
      </c>
      <c r="AO446">
        <v>0</v>
      </c>
      <c r="AP446">
        <v>0</v>
      </c>
      <c r="AQ446">
        <v>2.5</v>
      </c>
      <c r="AR446">
        <v>7.5</v>
      </c>
      <c r="AS446">
        <v>65</v>
      </c>
      <c r="AT446">
        <v>1837.5</v>
      </c>
      <c r="AU446" t="s">
        <v>33</v>
      </c>
    </row>
    <row r="447" spans="1:47" x14ac:dyDescent="0.2">
      <c r="A447">
        <v>2105</v>
      </c>
      <c r="B447" t="s">
        <v>788</v>
      </c>
      <c r="C447">
        <v>75</v>
      </c>
      <c r="D447" t="s">
        <v>195</v>
      </c>
      <c r="G447" t="str">
        <f t="shared" si="6"/>
        <v>SWL200775BC5</v>
      </c>
      <c r="H447">
        <v>72</v>
      </c>
      <c r="I447">
        <v>-154.708</v>
      </c>
      <c r="J447" s="3">
        <v>20070720</v>
      </c>
      <c r="K447">
        <v>2007</v>
      </c>
      <c r="L447">
        <v>0.26561000000000001</v>
      </c>
      <c r="M447">
        <v>8.5100000000000002E-3</v>
      </c>
      <c r="N447">
        <v>1.891E-2</v>
      </c>
      <c r="O447">
        <v>5.3600000000000002E-3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8.5999999999999998E-4</v>
      </c>
      <c r="V447">
        <v>0.29925000000000002</v>
      </c>
      <c r="W447" t="s">
        <v>9</v>
      </c>
      <c r="X447">
        <v>3.82</v>
      </c>
      <c r="Y447">
        <v>0.29699999999999999</v>
      </c>
      <c r="Z447">
        <v>0.27200000000000002</v>
      </c>
      <c r="AA447">
        <v>0.11899999999999999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1.2E-2</v>
      </c>
      <c r="AH447">
        <v>4.5199999999999996</v>
      </c>
      <c r="AI447" t="s">
        <v>21</v>
      </c>
      <c r="AJ447">
        <v>170</v>
      </c>
      <c r="AK447">
        <v>225</v>
      </c>
      <c r="AL447">
        <v>35</v>
      </c>
      <c r="AM447">
        <v>25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10</v>
      </c>
      <c r="AT447">
        <v>465</v>
      </c>
      <c r="AU447" t="s">
        <v>34</v>
      </c>
    </row>
    <row r="448" spans="1:47" x14ac:dyDescent="0.2">
      <c r="A448">
        <v>38</v>
      </c>
      <c r="B448" t="s">
        <v>45</v>
      </c>
      <c r="C448">
        <v>1</v>
      </c>
      <c r="D448" t="s">
        <v>46</v>
      </c>
      <c r="G448" t="str">
        <f t="shared" si="6"/>
        <v>BLU08031BD001</v>
      </c>
      <c r="H448">
        <v>71.254999999999995</v>
      </c>
      <c r="I448">
        <v>-163.19800000000001</v>
      </c>
      <c r="J448" s="3">
        <v>20080921</v>
      </c>
      <c r="K448">
        <v>2008</v>
      </c>
      <c r="L448">
        <v>1.4915</v>
      </c>
      <c r="M448">
        <v>3.1730999999999998</v>
      </c>
      <c r="N448">
        <v>0.50256000000000001</v>
      </c>
      <c r="O448">
        <v>4.4999999999999999E-4</v>
      </c>
      <c r="P448">
        <v>1.26064</v>
      </c>
      <c r="Q448">
        <v>0</v>
      </c>
      <c r="R448">
        <v>0.30621999999999999</v>
      </c>
      <c r="S448">
        <v>0.36558000000000002</v>
      </c>
      <c r="T448">
        <v>0.24551999999999999</v>
      </c>
      <c r="U448">
        <v>0.24390000000000001</v>
      </c>
      <c r="V448">
        <v>7.5894700000000004</v>
      </c>
      <c r="W448" t="s">
        <v>10</v>
      </c>
      <c r="X448">
        <v>21.463999999999999</v>
      </c>
      <c r="Y448">
        <v>110.771</v>
      </c>
      <c r="Z448">
        <v>6.7569999999999997</v>
      </c>
      <c r="AA448">
        <v>0.01</v>
      </c>
      <c r="AB448">
        <v>90.046000000000006</v>
      </c>
      <c r="AC448">
        <v>0</v>
      </c>
      <c r="AD448">
        <v>5.0199999999999996</v>
      </c>
      <c r="AE448">
        <v>26.113</v>
      </c>
      <c r="AF448">
        <v>2.64</v>
      </c>
      <c r="AG448">
        <v>10.65</v>
      </c>
      <c r="AH448">
        <v>273.471</v>
      </c>
      <c r="AI448" t="s">
        <v>22</v>
      </c>
      <c r="AJ448">
        <v>339.99799999999999</v>
      </c>
      <c r="AK448">
        <v>223.334</v>
      </c>
      <c r="AL448">
        <v>1273.3330000000001</v>
      </c>
      <c r="AM448">
        <v>3.3330000000000002</v>
      </c>
      <c r="AN448">
        <v>233.333</v>
      </c>
      <c r="AO448">
        <v>0</v>
      </c>
      <c r="AP448">
        <v>3.3330000000000002</v>
      </c>
      <c r="AQ448">
        <v>3.3330000000000002</v>
      </c>
      <c r="AR448">
        <v>13.333</v>
      </c>
      <c r="AS448">
        <v>60</v>
      </c>
      <c r="AT448">
        <v>2153.33</v>
      </c>
      <c r="AU448" t="s">
        <v>35</v>
      </c>
    </row>
    <row r="449" spans="1:47" x14ac:dyDescent="0.2">
      <c r="A449">
        <v>39</v>
      </c>
      <c r="B449" t="s">
        <v>45</v>
      </c>
      <c r="C449">
        <v>2</v>
      </c>
      <c r="D449" t="s">
        <v>47</v>
      </c>
      <c r="G449" t="str">
        <f t="shared" si="6"/>
        <v>BLU08032BD002</v>
      </c>
      <c r="H449">
        <v>71.251000000000005</v>
      </c>
      <c r="I449">
        <v>-163.21199999999999</v>
      </c>
      <c r="J449" s="3">
        <v>20080915</v>
      </c>
      <c r="K449">
        <v>2008</v>
      </c>
      <c r="L449">
        <v>2.4893900000000002</v>
      </c>
      <c r="M449">
        <v>4.6526699999999996</v>
      </c>
      <c r="N449">
        <v>0.3221</v>
      </c>
      <c r="O449">
        <v>2.4897200000000002</v>
      </c>
      <c r="P449">
        <v>0.74624000000000001</v>
      </c>
      <c r="Q449">
        <v>0</v>
      </c>
      <c r="R449">
        <v>0.18543999999999999</v>
      </c>
      <c r="S449">
        <v>0</v>
      </c>
      <c r="T449">
        <v>0.42593999999999999</v>
      </c>
      <c r="U449">
        <v>4.2090000000000002E-2</v>
      </c>
      <c r="V449">
        <v>11.353590000000001</v>
      </c>
      <c r="W449" t="s">
        <v>10</v>
      </c>
      <c r="X449">
        <v>36.116999999999997</v>
      </c>
      <c r="Y449">
        <v>140.52199999999999</v>
      </c>
      <c r="Z449">
        <v>4.1029999999999998</v>
      </c>
      <c r="AA449">
        <v>55.326999999999998</v>
      </c>
      <c r="AB449">
        <v>53.302999999999997</v>
      </c>
      <c r="AC449">
        <v>0</v>
      </c>
      <c r="AD449">
        <v>3.04</v>
      </c>
      <c r="AE449">
        <v>0</v>
      </c>
      <c r="AF449">
        <v>4.58</v>
      </c>
      <c r="AG449">
        <v>0.85399999999999998</v>
      </c>
      <c r="AH449">
        <v>297.846</v>
      </c>
      <c r="AI449" t="s">
        <v>22</v>
      </c>
      <c r="AJ449">
        <v>416.66500000000002</v>
      </c>
      <c r="AK449">
        <v>303.334</v>
      </c>
      <c r="AL449">
        <v>1346.6669999999999</v>
      </c>
      <c r="AM449">
        <v>16.667000000000002</v>
      </c>
      <c r="AN449">
        <v>146.666</v>
      </c>
      <c r="AO449">
        <v>0</v>
      </c>
      <c r="AP449">
        <v>3.3330000000000002</v>
      </c>
      <c r="AQ449">
        <v>0</v>
      </c>
      <c r="AR449">
        <v>0</v>
      </c>
      <c r="AS449">
        <v>49.999000000000002</v>
      </c>
      <c r="AT449">
        <v>2283.3310000000001</v>
      </c>
      <c r="AU449" t="s">
        <v>35</v>
      </c>
    </row>
    <row r="450" spans="1:47" x14ac:dyDescent="0.2">
      <c r="A450">
        <v>40</v>
      </c>
      <c r="B450" t="s">
        <v>45</v>
      </c>
      <c r="C450">
        <v>3</v>
      </c>
      <c r="D450" t="s">
        <v>48</v>
      </c>
      <c r="G450" t="str">
        <f t="shared" si="6"/>
        <v>BLU08033BD003</v>
      </c>
      <c r="H450">
        <v>71.245999999999995</v>
      </c>
      <c r="I450">
        <v>-163.19800000000001</v>
      </c>
      <c r="J450" s="3">
        <v>20080921</v>
      </c>
      <c r="K450">
        <v>2008</v>
      </c>
      <c r="L450">
        <v>4.2875199999999998</v>
      </c>
      <c r="M450">
        <v>1.5720099999999999</v>
      </c>
      <c r="N450">
        <v>0.45389000000000002</v>
      </c>
      <c r="O450">
        <v>0.11317000000000001</v>
      </c>
      <c r="P450">
        <v>1.01017</v>
      </c>
      <c r="Q450">
        <v>0</v>
      </c>
      <c r="R450">
        <v>0.53417999999999999</v>
      </c>
      <c r="S450">
        <v>1.8000000000000001E-4</v>
      </c>
      <c r="T450">
        <v>1.367E-2</v>
      </c>
      <c r="U450">
        <v>9.4759999999999997E-2</v>
      </c>
      <c r="V450">
        <v>8.0795499999999993</v>
      </c>
      <c r="W450" t="s">
        <v>9</v>
      </c>
      <c r="X450">
        <v>59.664000000000001</v>
      </c>
      <c r="Y450">
        <v>53.78</v>
      </c>
      <c r="Z450">
        <v>5.984</v>
      </c>
      <c r="AA450">
        <v>2.5150000000000001</v>
      </c>
      <c r="AB450">
        <v>72.155000000000001</v>
      </c>
      <c r="AC450">
        <v>0</v>
      </c>
      <c r="AD450">
        <v>8.7569999999999997</v>
      </c>
      <c r="AE450">
        <v>1.2999999999999999E-2</v>
      </c>
      <c r="AF450">
        <v>0.14699999999999999</v>
      </c>
      <c r="AG450">
        <v>3.8330000000000002</v>
      </c>
      <c r="AH450">
        <v>206.84800000000001</v>
      </c>
      <c r="AI450" t="s">
        <v>25</v>
      </c>
      <c r="AJ450">
        <v>596.66600000000005</v>
      </c>
      <c r="AK450">
        <v>316.666</v>
      </c>
      <c r="AL450">
        <v>1653.3330000000001</v>
      </c>
      <c r="AM450">
        <v>13.334</v>
      </c>
      <c r="AN450">
        <v>173.333</v>
      </c>
      <c r="AO450">
        <v>0</v>
      </c>
      <c r="AP450">
        <v>10</v>
      </c>
      <c r="AQ450">
        <v>3.3330000000000002</v>
      </c>
      <c r="AR450">
        <v>20</v>
      </c>
      <c r="AS450">
        <v>53.332999999999998</v>
      </c>
      <c r="AT450">
        <v>2839.998</v>
      </c>
      <c r="AU450" t="s">
        <v>35</v>
      </c>
    </row>
    <row r="451" spans="1:47" x14ac:dyDescent="0.2">
      <c r="A451">
        <v>41</v>
      </c>
      <c r="B451" t="s">
        <v>45</v>
      </c>
      <c r="C451">
        <v>4</v>
      </c>
      <c r="D451" t="s">
        <v>49</v>
      </c>
      <c r="G451" t="str">
        <f t="shared" ref="G451:G514" si="7">CONCATENATE(B451,C451,D451)</f>
        <v>BLU08034BD004</v>
      </c>
      <c r="H451">
        <v>71.251000000000005</v>
      </c>
      <c r="I451">
        <v>-163.184</v>
      </c>
      <c r="J451" s="3">
        <v>20080921</v>
      </c>
      <c r="K451">
        <v>2008</v>
      </c>
      <c r="L451">
        <v>3.41615</v>
      </c>
      <c r="M451">
        <v>1.3660600000000001</v>
      </c>
      <c r="N451">
        <v>0.60045000000000004</v>
      </c>
      <c r="O451">
        <v>1.4536899999999999</v>
      </c>
      <c r="P451">
        <v>1.4832000000000001</v>
      </c>
      <c r="Q451">
        <v>0</v>
      </c>
      <c r="R451">
        <v>0</v>
      </c>
      <c r="S451">
        <v>0.16370000000000001</v>
      </c>
      <c r="T451">
        <v>4.3699999999999998E-3</v>
      </c>
      <c r="U451">
        <v>0.11262999999999999</v>
      </c>
      <c r="V451">
        <v>8.6002500000000008</v>
      </c>
      <c r="W451" t="s">
        <v>9</v>
      </c>
      <c r="X451">
        <v>49.276000000000003</v>
      </c>
      <c r="Y451">
        <v>49.031999999999996</v>
      </c>
      <c r="Z451">
        <v>8.0570000000000004</v>
      </c>
      <c r="AA451">
        <v>32.304000000000002</v>
      </c>
      <c r="AB451">
        <v>105.943</v>
      </c>
      <c r="AC451">
        <v>0</v>
      </c>
      <c r="AD451">
        <v>0</v>
      </c>
      <c r="AE451">
        <v>11.693</v>
      </c>
      <c r="AF451">
        <v>4.7E-2</v>
      </c>
      <c r="AG451">
        <v>4.5289999999999999</v>
      </c>
      <c r="AH451">
        <v>260.88099999999997</v>
      </c>
      <c r="AI451" t="s">
        <v>25</v>
      </c>
      <c r="AJ451">
        <v>529.99900000000002</v>
      </c>
      <c r="AK451">
        <v>233.333</v>
      </c>
      <c r="AL451">
        <v>1426.6659999999999</v>
      </c>
      <c r="AM451">
        <v>13.333</v>
      </c>
      <c r="AN451">
        <v>230</v>
      </c>
      <c r="AO451">
        <v>0</v>
      </c>
      <c r="AP451">
        <v>0</v>
      </c>
      <c r="AQ451">
        <v>3.3330000000000002</v>
      </c>
      <c r="AR451">
        <v>13.333</v>
      </c>
      <c r="AS451">
        <v>79.998999999999995</v>
      </c>
      <c r="AT451">
        <v>2529.9960000000001</v>
      </c>
      <c r="AU451" t="s">
        <v>35</v>
      </c>
    </row>
    <row r="452" spans="1:47" x14ac:dyDescent="0.2">
      <c r="A452">
        <v>42</v>
      </c>
      <c r="B452" t="s">
        <v>45</v>
      </c>
      <c r="C452">
        <v>5</v>
      </c>
      <c r="D452" t="s">
        <v>50</v>
      </c>
      <c r="G452" t="str">
        <f t="shared" si="7"/>
        <v>BLU08035BD005</v>
      </c>
      <c r="H452">
        <v>71.251000000000005</v>
      </c>
      <c r="I452">
        <v>-163.19800000000001</v>
      </c>
      <c r="J452" s="3">
        <v>20080915</v>
      </c>
      <c r="K452">
        <v>2008</v>
      </c>
      <c r="L452">
        <v>2.82653</v>
      </c>
      <c r="M452">
        <v>4.1302599999999998</v>
      </c>
      <c r="N452">
        <v>0.501</v>
      </c>
      <c r="O452">
        <v>2.5443099999999998</v>
      </c>
      <c r="P452">
        <v>1.01786</v>
      </c>
      <c r="Q452">
        <v>0</v>
      </c>
      <c r="R452">
        <v>6.5720000000000001E-2</v>
      </c>
      <c r="S452">
        <v>0</v>
      </c>
      <c r="T452">
        <v>0.44109999999999999</v>
      </c>
      <c r="U452">
        <v>6.2480000000000001E-2</v>
      </c>
      <c r="V452">
        <v>11.589259999999999</v>
      </c>
      <c r="W452" t="s">
        <v>10</v>
      </c>
      <c r="X452">
        <v>45.024000000000001</v>
      </c>
      <c r="Y452">
        <v>119.735</v>
      </c>
      <c r="Z452">
        <v>6.7480000000000002</v>
      </c>
      <c r="AA452">
        <v>56.54</v>
      </c>
      <c r="AB452">
        <v>72.703999999999994</v>
      </c>
      <c r="AC452">
        <v>0</v>
      </c>
      <c r="AD452">
        <v>1.643</v>
      </c>
      <c r="AE452">
        <v>0</v>
      </c>
      <c r="AF452">
        <v>4.7430000000000003</v>
      </c>
      <c r="AG452">
        <v>2.0859999999999999</v>
      </c>
      <c r="AH452">
        <v>309.22300000000001</v>
      </c>
      <c r="AI452" t="s">
        <v>22</v>
      </c>
      <c r="AJ452">
        <v>520</v>
      </c>
      <c r="AK452">
        <v>333.33199999999999</v>
      </c>
      <c r="AL452">
        <v>1853.3320000000001</v>
      </c>
      <c r="AM452">
        <v>36.667000000000002</v>
      </c>
      <c r="AN452">
        <v>200</v>
      </c>
      <c r="AO452">
        <v>0</v>
      </c>
      <c r="AP452">
        <v>3.3330000000000002</v>
      </c>
      <c r="AQ452">
        <v>0</v>
      </c>
      <c r="AR452">
        <v>20</v>
      </c>
      <c r="AS452">
        <v>20</v>
      </c>
      <c r="AT452">
        <v>2986.6640000000002</v>
      </c>
      <c r="AU452" t="s">
        <v>35</v>
      </c>
    </row>
    <row r="453" spans="1:47" x14ac:dyDescent="0.2">
      <c r="A453">
        <v>43</v>
      </c>
      <c r="B453" t="s">
        <v>45</v>
      </c>
      <c r="C453">
        <v>6</v>
      </c>
      <c r="D453" t="s">
        <v>51</v>
      </c>
      <c r="G453" t="str">
        <f t="shared" si="7"/>
        <v>BLU08036BF001</v>
      </c>
      <c r="H453">
        <v>71.12</v>
      </c>
      <c r="I453">
        <v>-163.803</v>
      </c>
      <c r="J453" s="3">
        <v>20080916</v>
      </c>
      <c r="K453">
        <v>2008</v>
      </c>
      <c r="L453">
        <v>6.1725599999999998</v>
      </c>
      <c r="M453">
        <v>4.8183100000000003</v>
      </c>
      <c r="N453">
        <v>0.16977999999999999</v>
      </c>
      <c r="O453">
        <v>1.108E-2</v>
      </c>
      <c r="P453">
        <v>1.3235600000000001</v>
      </c>
      <c r="Q453">
        <v>0</v>
      </c>
      <c r="R453">
        <v>4.6539999999999998E-2</v>
      </c>
      <c r="S453">
        <v>0</v>
      </c>
      <c r="T453">
        <v>2.632E-2</v>
      </c>
      <c r="U453">
        <v>9.9099999999999994E-2</v>
      </c>
      <c r="V453">
        <v>12.667249999999999</v>
      </c>
      <c r="W453" t="s">
        <v>9</v>
      </c>
      <c r="X453">
        <v>88.93</v>
      </c>
      <c r="Y453">
        <v>303.14800000000002</v>
      </c>
      <c r="Z453">
        <v>2.27</v>
      </c>
      <c r="AA453">
        <v>0.246</v>
      </c>
      <c r="AB453">
        <v>94.54</v>
      </c>
      <c r="AC453">
        <v>0</v>
      </c>
      <c r="AD453">
        <v>0.76300000000000001</v>
      </c>
      <c r="AE453">
        <v>0</v>
      </c>
      <c r="AF453">
        <v>0.28299999999999997</v>
      </c>
      <c r="AG453">
        <v>2.407</v>
      </c>
      <c r="AH453">
        <v>492.58699999999999</v>
      </c>
      <c r="AI453" t="s">
        <v>22</v>
      </c>
      <c r="AJ453">
        <v>626.66800000000001</v>
      </c>
      <c r="AK453">
        <v>260</v>
      </c>
      <c r="AL453">
        <v>863.33500000000004</v>
      </c>
      <c r="AM453">
        <v>13.333</v>
      </c>
      <c r="AN453">
        <v>223.334</v>
      </c>
      <c r="AO453">
        <v>0</v>
      </c>
      <c r="AP453">
        <v>6.6669999999999998</v>
      </c>
      <c r="AQ453">
        <v>0</v>
      </c>
      <c r="AR453">
        <v>10</v>
      </c>
      <c r="AS453">
        <v>63.334000000000003</v>
      </c>
      <c r="AT453">
        <v>2066.6709999999998</v>
      </c>
      <c r="AU453" t="s">
        <v>35</v>
      </c>
    </row>
    <row r="454" spans="1:47" x14ac:dyDescent="0.2">
      <c r="A454">
        <v>44</v>
      </c>
      <c r="B454" t="s">
        <v>45</v>
      </c>
      <c r="C454">
        <v>7</v>
      </c>
      <c r="D454" t="s">
        <v>52</v>
      </c>
      <c r="G454" t="str">
        <f t="shared" si="7"/>
        <v>BLU08037BF003</v>
      </c>
      <c r="H454">
        <v>71.113</v>
      </c>
      <c r="I454">
        <v>-163.036</v>
      </c>
      <c r="J454" s="3">
        <v>20080902</v>
      </c>
      <c r="K454">
        <v>2008</v>
      </c>
      <c r="L454">
        <v>7.4581</v>
      </c>
      <c r="M454">
        <v>2.3288700000000002</v>
      </c>
      <c r="N454">
        <v>0.16861999999999999</v>
      </c>
      <c r="O454">
        <v>3.0058699999999998</v>
      </c>
      <c r="P454">
        <v>1.2677499999999999</v>
      </c>
      <c r="Q454">
        <v>0</v>
      </c>
      <c r="R454">
        <v>0</v>
      </c>
      <c r="S454">
        <v>8.5059999999999997E-2</v>
      </c>
      <c r="T454">
        <v>5.3289999999999997E-2</v>
      </c>
      <c r="U454">
        <v>0.14426</v>
      </c>
      <c r="V454">
        <v>14.51182</v>
      </c>
      <c r="W454" t="s">
        <v>9</v>
      </c>
      <c r="X454">
        <v>106.85899999999999</v>
      </c>
      <c r="Y454">
        <v>80.257999999999996</v>
      </c>
      <c r="Z454">
        <v>2.2759999999999998</v>
      </c>
      <c r="AA454">
        <v>66.796999999999997</v>
      </c>
      <c r="AB454">
        <v>90.554000000000002</v>
      </c>
      <c r="AC454">
        <v>0</v>
      </c>
      <c r="AD454">
        <v>0</v>
      </c>
      <c r="AE454">
        <v>6.0759999999999996</v>
      </c>
      <c r="AF454">
        <v>0.57299999999999995</v>
      </c>
      <c r="AG454">
        <v>10.103999999999999</v>
      </c>
      <c r="AH454">
        <v>363.49700000000001</v>
      </c>
      <c r="AI454" t="s">
        <v>21</v>
      </c>
      <c r="AJ454">
        <v>593.33399999999995</v>
      </c>
      <c r="AK454">
        <v>230</v>
      </c>
      <c r="AL454">
        <v>349.99900000000002</v>
      </c>
      <c r="AM454">
        <v>36.667000000000002</v>
      </c>
      <c r="AN454">
        <v>140</v>
      </c>
      <c r="AO454">
        <v>0</v>
      </c>
      <c r="AP454">
        <v>0</v>
      </c>
      <c r="AQ454">
        <v>6.6660000000000004</v>
      </c>
      <c r="AR454">
        <v>13.333</v>
      </c>
      <c r="AS454">
        <v>113.334</v>
      </c>
      <c r="AT454">
        <v>1483.3330000000001</v>
      </c>
      <c r="AU454" t="s">
        <v>33</v>
      </c>
    </row>
    <row r="455" spans="1:47" x14ac:dyDescent="0.2">
      <c r="A455">
        <v>45</v>
      </c>
      <c r="B455" t="s">
        <v>45</v>
      </c>
      <c r="C455">
        <v>8</v>
      </c>
      <c r="D455" s="4" t="s">
        <v>784</v>
      </c>
      <c r="E455" s="4" t="s">
        <v>784</v>
      </c>
      <c r="F455" s="4" t="s">
        <v>53</v>
      </c>
      <c r="G455" t="str">
        <f t="shared" si="7"/>
        <v>BLU08038DBO4.2</v>
      </c>
      <c r="H455">
        <v>71.103999999999999</v>
      </c>
      <c r="I455">
        <v>-162.267</v>
      </c>
      <c r="J455" s="3">
        <v>20080920</v>
      </c>
      <c r="K455">
        <v>2008</v>
      </c>
      <c r="L455">
        <v>6.1398599999999997</v>
      </c>
      <c r="M455">
        <v>8.5933499999999992</v>
      </c>
      <c r="N455">
        <v>0.24417</v>
      </c>
      <c r="O455">
        <v>9.4060000000000005E-2</v>
      </c>
      <c r="P455">
        <v>1.6505000000000001</v>
      </c>
      <c r="Q455">
        <v>0</v>
      </c>
      <c r="R455">
        <v>0</v>
      </c>
      <c r="S455">
        <v>0</v>
      </c>
      <c r="T455">
        <v>4.4269999999999997E-2</v>
      </c>
      <c r="U455">
        <v>0.1226</v>
      </c>
      <c r="V455">
        <v>16.888809999999999</v>
      </c>
      <c r="W455" t="s">
        <v>10</v>
      </c>
      <c r="X455">
        <v>82.055000000000007</v>
      </c>
      <c r="Y455">
        <v>398.12700000000001</v>
      </c>
      <c r="Z455">
        <v>3.2690000000000001</v>
      </c>
      <c r="AA455">
        <v>2.09</v>
      </c>
      <c r="AB455">
        <v>117.893</v>
      </c>
      <c r="AC455">
        <v>0</v>
      </c>
      <c r="AD455">
        <v>0</v>
      </c>
      <c r="AE455">
        <v>0</v>
      </c>
      <c r="AF455">
        <v>0.47599999999999998</v>
      </c>
      <c r="AG455">
        <v>4.1139999999999999</v>
      </c>
      <c r="AH455">
        <v>608.024</v>
      </c>
      <c r="AI455" t="s">
        <v>22</v>
      </c>
      <c r="AJ455">
        <v>480</v>
      </c>
      <c r="AK455">
        <v>310.00099999999998</v>
      </c>
      <c r="AL455">
        <v>579.99900000000002</v>
      </c>
      <c r="AM455">
        <v>16.667000000000002</v>
      </c>
      <c r="AN455">
        <v>203.334</v>
      </c>
      <c r="AO455">
        <v>0</v>
      </c>
      <c r="AP455">
        <v>0</v>
      </c>
      <c r="AQ455">
        <v>0</v>
      </c>
      <c r="AR455">
        <v>6.6669999999999998</v>
      </c>
      <c r="AS455">
        <v>90</v>
      </c>
      <c r="AT455">
        <v>1686.6679999999999</v>
      </c>
      <c r="AU455" t="s">
        <v>35</v>
      </c>
    </row>
    <row r="456" spans="1:47" x14ac:dyDescent="0.2">
      <c r="A456">
        <v>46</v>
      </c>
      <c r="B456" t="s">
        <v>45</v>
      </c>
      <c r="C456">
        <v>9</v>
      </c>
      <c r="D456" t="s">
        <v>54</v>
      </c>
      <c r="G456" t="str">
        <f t="shared" si="7"/>
        <v>BLU08039BF007</v>
      </c>
      <c r="H456">
        <v>71.242000000000004</v>
      </c>
      <c r="I456">
        <v>-163.411</v>
      </c>
      <c r="J456" s="3">
        <v>20080916</v>
      </c>
      <c r="K456">
        <v>2008</v>
      </c>
      <c r="L456">
        <v>3.96285</v>
      </c>
      <c r="M456">
        <v>1.16476</v>
      </c>
      <c r="N456">
        <v>0.31974999999999998</v>
      </c>
      <c r="O456">
        <v>10.48415</v>
      </c>
      <c r="P456">
        <v>0.72126999999999997</v>
      </c>
      <c r="Q456">
        <v>0</v>
      </c>
      <c r="R456">
        <v>7.1980000000000002E-2</v>
      </c>
      <c r="S456">
        <v>7.4800000000000005E-2</v>
      </c>
      <c r="T456">
        <v>0.10509</v>
      </c>
      <c r="U456">
        <v>0.14612</v>
      </c>
      <c r="V456">
        <v>17.05077</v>
      </c>
      <c r="W456" t="s">
        <v>12</v>
      </c>
      <c r="X456">
        <v>52.183999999999997</v>
      </c>
      <c r="Y456">
        <v>48.290999999999997</v>
      </c>
      <c r="Z456">
        <v>4.1879999999999997</v>
      </c>
      <c r="AA456">
        <v>232.98099999999999</v>
      </c>
      <c r="AB456">
        <v>51.518999999999998</v>
      </c>
      <c r="AC456">
        <v>0</v>
      </c>
      <c r="AD456">
        <v>1.18</v>
      </c>
      <c r="AE456">
        <v>5.343</v>
      </c>
      <c r="AF456">
        <v>1.1299999999999999</v>
      </c>
      <c r="AG456">
        <v>4.9059999999999997</v>
      </c>
      <c r="AH456">
        <v>401.72199999999998</v>
      </c>
      <c r="AI456" t="s">
        <v>24</v>
      </c>
      <c r="AJ456">
        <v>356.66399999999999</v>
      </c>
      <c r="AK456">
        <v>210.001</v>
      </c>
      <c r="AL456">
        <v>1373.3340000000001</v>
      </c>
      <c r="AM456">
        <v>30</v>
      </c>
      <c r="AN456">
        <v>110</v>
      </c>
      <c r="AO456">
        <v>0</v>
      </c>
      <c r="AP456">
        <v>13.333</v>
      </c>
      <c r="AQ456">
        <v>3.3330000000000002</v>
      </c>
      <c r="AR456">
        <v>16.667000000000002</v>
      </c>
      <c r="AS456">
        <v>20</v>
      </c>
      <c r="AT456">
        <v>2133.3319999999999</v>
      </c>
      <c r="AU456" t="s">
        <v>35</v>
      </c>
    </row>
    <row r="457" spans="1:47" x14ac:dyDescent="0.2">
      <c r="A457">
        <v>47</v>
      </c>
      <c r="B457" t="s">
        <v>45</v>
      </c>
      <c r="C457">
        <v>10</v>
      </c>
      <c r="D457" s="4" t="s">
        <v>783</v>
      </c>
      <c r="E457" s="4" t="s">
        <v>783</v>
      </c>
      <c r="F457" s="4" t="s">
        <v>55</v>
      </c>
      <c r="G457" t="str">
        <f t="shared" si="7"/>
        <v>BLU080310DBO4.3</v>
      </c>
      <c r="H457">
        <v>71.233999999999995</v>
      </c>
      <c r="I457">
        <v>-162.636</v>
      </c>
      <c r="J457" s="3">
        <v>20080920</v>
      </c>
      <c r="K457">
        <v>2008</v>
      </c>
      <c r="L457">
        <v>0.82894999999999996</v>
      </c>
      <c r="M457">
        <v>1.5436399999999999</v>
      </c>
      <c r="N457">
        <v>0.46206000000000003</v>
      </c>
      <c r="O457">
        <v>4.6812199999999997</v>
      </c>
      <c r="P457">
        <v>0.80920000000000003</v>
      </c>
      <c r="Q457">
        <v>0</v>
      </c>
      <c r="R457">
        <v>0.48269000000000001</v>
      </c>
      <c r="S457">
        <v>0</v>
      </c>
      <c r="T457">
        <v>0.41543000000000002</v>
      </c>
      <c r="U457">
        <v>1.0019999999999999E-2</v>
      </c>
      <c r="V457">
        <v>9.2332099999999997</v>
      </c>
      <c r="W457" t="s">
        <v>12</v>
      </c>
      <c r="X457">
        <v>12.351000000000001</v>
      </c>
      <c r="Y457">
        <v>58.764000000000003</v>
      </c>
      <c r="Z457">
        <v>5.9740000000000002</v>
      </c>
      <c r="AA457">
        <v>104.027</v>
      </c>
      <c r="AB457">
        <v>57.8</v>
      </c>
      <c r="AC457">
        <v>0</v>
      </c>
      <c r="AD457">
        <v>7.9130000000000003</v>
      </c>
      <c r="AE457">
        <v>0</v>
      </c>
      <c r="AF457">
        <v>4.4669999999999996</v>
      </c>
      <c r="AG457">
        <v>0.255</v>
      </c>
      <c r="AH457">
        <v>251.55099999999999</v>
      </c>
      <c r="AI457" t="s">
        <v>24</v>
      </c>
      <c r="AJ457">
        <v>303.334</v>
      </c>
      <c r="AK457">
        <v>513.33500000000004</v>
      </c>
      <c r="AL457">
        <v>1143.3330000000001</v>
      </c>
      <c r="AM457">
        <v>23.334</v>
      </c>
      <c r="AN457">
        <v>110</v>
      </c>
      <c r="AO457">
        <v>0</v>
      </c>
      <c r="AP457">
        <v>6.6669999999999998</v>
      </c>
      <c r="AQ457">
        <v>0</v>
      </c>
      <c r="AR457">
        <v>23.332999999999998</v>
      </c>
      <c r="AS457">
        <v>23.334</v>
      </c>
      <c r="AT457">
        <v>2146.67</v>
      </c>
      <c r="AU457" t="s">
        <v>35</v>
      </c>
    </row>
    <row r="458" spans="1:47" x14ac:dyDescent="0.2">
      <c r="A458">
        <v>48</v>
      </c>
      <c r="B458" t="s">
        <v>45</v>
      </c>
      <c r="C458">
        <v>11</v>
      </c>
      <c r="D458" t="s">
        <v>56</v>
      </c>
      <c r="G458" t="str">
        <f t="shared" si="7"/>
        <v>BLU080311BF011</v>
      </c>
      <c r="H458">
        <v>71.369</v>
      </c>
      <c r="I458">
        <v>-163.78800000000001</v>
      </c>
      <c r="J458" s="3">
        <v>20080913</v>
      </c>
      <c r="K458">
        <v>2008</v>
      </c>
      <c r="L458">
        <v>3.8338000000000001</v>
      </c>
      <c r="M458">
        <v>1.4964999999999999</v>
      </c>
      <c r="N458">
        <v>2.35697</v>
      </c>
      <c r="O458">
        <v>3.5290400000000002</v>
      </c>
      <c r="P458">
        <v>1.1066199999999999</v>
      </c>
      <c r="Q458">
        <v>0</v>
      </c>
      <c r="R458">
        <v>0</v>
      </c>
      <c r="S458">
        <v>5.8799999999999998E-3</v>
      </c>
      <c r="T458">
        <v>2.0459999999999999E-2</v>
      </c>
      <c r="U458">
        <v>1.7930000000000001E-2</v>
      </c>
      <c r="V458">
        <v>12.3672</v>
      </c>
      <c r="W458" t="s">
        <v>9</v>
      </c>
      <c r="X458">
        <v>53.841999999999999</v>
      </c>
      <c r="Y458">
        <v>37.103999999999999</v>
      </c>
      <c r="Z458">
        <v>33.814999999999998</v>
      </c>
      <c r="AA458">
        <v>78.423000000000002</v>
      </c>
      <c r="AB458">
        <v>79.043999999999997</v>
      </c>
      <c r="AC458">
        <v>0</v>
      </c>
      <c r="AD458">
        <v>0</v>
      </c>
      <c r="AE458">
        <v>0.42</v>
      </c>
      <c r="AF458">
        <v>0.22</v>
      </c>
      <c r="AG458">
        <v>0.59</v>
      </c>
      <c r="AH458">
        <v>283.45800000000003</v>
      </c>
      <c r="AI458" t="s">
        <v>25</v>
      </c>
      <c r="AJ458">
        <v>2070</v>
      </c>
      <c r="AK458">
        <v>389.99900000000002</v>
      </c>
      <c r="AL458">
        <v>1603.3330000000001</v>
      </c>
      <c r="AM458">
        <v>13.333</v>
      </c>
      <c r="AN458">
        <v>136.666</v>
      </c>
      <c r="AO458">
        <v>0</v>
      </c>
      <c r="AP458">
        <v>0</v>
      </c>
      <c r="AQ458">
        <v>6.6669999999999998</v>
      </c>
      <c r="AR458">
        <v>3.3330000000000002</v>
      </c>
      <c r="AS458">
        <v>29.998999999999999</v>
      </c>
      <c r="AT458">
        <v>4253.33</v>
      </c>
      <c r="AU458" t="s">
        <v>33</v>
      </c>
    </row>
    <row r="459" spans="1:47" x14ac:dyDescent="0.2">
      <c r="A459">
        <v>49</v>
      </c>
      <c r="B459" t="s">
        <v>45</v>
      </c>
      <c r="C459">
        <v>12</v>
      </c>
      <c r="D459" s="4" t="s">
        <v>782</v>
      </c>
      <c r="E459" s="4" t="s">
        <v>782</v>
      </c>
      <c r="F459" s="4" t="s">
        <v>57</v>
      </c>
      <c r="G459" t="str">
        <f t="shared" si="7"/>
        <v>BLU080312DBO4.4</v>
      </c>
      <c r="H459">
        <v>71.363</v>
      </c>
      <c r="I459">
        <v>-163.01</v>
      </c>
      <c r="J459" s="3">
        <v>20080916</v>
      </c>
      <c r="K459">
        <v>2008</v>
      </c>
      <c r="L459">
        <v>8.2883600000000008</v>
      </c>
      <c r="M459">
        <v>5.1119000000000003</v>
      </c>
      <c r="N459">
        <v>0.72453999999999996</v>
      </c>
      <c r="O459">
        <v>4.2816200000000002</v>
      </c>
      <c r="P459">
        <v>0.79688000000000003</v>
      </c>
      <c r="Q459">
        <v>0</v>
      </c>
      <c r="R459">
        <v>0</v>
      </c>
      <c r="S459">
        <v>0</v>
      </c>
      <c r="T459">
        <v>0.22850000000000001</v>
      </c>
      <c r="U459">
        <v>2.179E-2</v>
      </c>
      <c r="V459">
        <v>19.453589999999998</v>
      </c>
      <c r="W459" t="s">
        <v>9</v>
      </c>
      <c r="X459">
        <v>114.502</v>
      </c>
      <c r="Y459">
        <v>208.82499999999999</v>
      </c>
      <c r="Z459">
        <v>10.172000000000001</v>
      </c>
      <c r="AA459">
        <v>95.147000000000006</v>
      </c>
      <c r="AB459">
        <v>56.92</v>
      </c>
      <c r="AC459">
        <v>0</v>
      </c>
      <c r="AD459">
        <v>0</v>
      </c>
      <c r="AE459">
        <v>0</v>
      </c>
      <c r="AF459">
        <v>2.4569999999999999</v>
      </c>
      <c r="AG459">
        <v>0.64</v>
      </c>
      <c r="AH459">
        <v>488.66300000000001</v>
      </c>
      <c r="AI459" t="s">
        <v>22</v>
      </c>
      <c r="AJ459">
        <v>7469.9979999999996</v>
      </c>
      <c r="AK459">
        <v>546.66800000000001</v>
      </c>
      <c r="AL459">
        <v>1966.665</v>
      </c>
      <c r="AM459">
        <v>53.334000000000003</v>
      </c>
      <c r="AN459">
        <v>206.666</v>
      </c>
      <c r="AO459">
        <v>0</v>
      </c>
      <c r="AP459">
        <v>0</v>
      </c>
      <c r="AQ459">
        <v>0</v>
      </c>
      <c r="AR459">
        <v>73.332999999999998</v>
      </c>
      <c r="AS459">
        <v>30</v>
      </c>
      <c r="AT459">
        <v>10346.664000000001</v>
      </c>
      <c r="AU459" t="s">
        <v>33</v>
      </c>
    </row>
    <row r="460" spans="1:47" x14ac:dyDescent="0.2">
      <c r="A460">
        <v>50</v>
      </c>
      <c r="B460" t="s">
        <v>45</v>
      </c>
      <c r="C460">
        <v>13</v>
      </c>
      <c r="D460" t="s">
        <v>58</v>
      </c>
      <c r="G460" t="str">
        <f t="shared" si="7"/>
        <v>BLU080313BF015</v>
      </c>
      <c r="H460">
        <v>71.352999999999994</v>
      </c>
      <c r="I460">
        <v>-162.232</v>
      </c>
      <c r="J460" s="3">
        <v>20080919</v>
      </c>
      <c r="K460">
        <v>2008</v>
      </c>
      <c r="L460">
        <v>2.8120699999999998</v>
      </c>
      <c r="M460">
        <v>8.1005500000000001</v>
      </c>
      <c r="N460">
        <v>0.95567000000000002</v>
      </c>
      <c r="O460">
        <v>4.1810900000000002</v>
      </c>
      <c r="P460">
        <v>0.82804</v>
      </c>
      <c r="Q460">
        <v>0</v>
      </c>
      <c r="R460">
        <v>0.59414</v>
      </c>
      <c r="S460">
        <v>0</v>
      </c>
      <c r="T460">
        <v>0.2046</v>
      </c>
      <c r="U460">
        <v>0.33298</v>
      </c>
      <c r="V460">
        <v>18.009139999999999</v>
      </c>
      <c r="W460" t="s">
        <v>10</v>
      </c>
      <c r="X460">
        <v>38.679000000000002</v>
      </c>
      <c r="Y460">
        <v>237.36699999999999</v>
      </c>
      <c r="Z460">
        <v>12.196999999999999</v>
      </c>
      <c r="AA460">
        <v>92.912999999999997</v>
      </c>
      <c r="AB460">
        <v>59.146000000000001</v>
      </c>
      <c r="AC460">
        <v>0</v>
      </c>
      <c r="AD460">
        <v>9.74</v>
      </c>
      <c r="AE460">
        <v>0</v>
      </c>
      <c r="AF460">
        <v>2.2000000000000002</v>
      </c>
      <c r="AG460">
        <v>7.39</v>
      </c>
      <c r="AH460">
        <v>459.63200000000001</v>
      </c>
      <c r="AI460" t="s">
        <v>22</v>
      </c>
      <c r="AJ460">
        <v>1003.333</v>
      </c>
      <c r="AK460">
        <v>1246.665</v>
      </c>
      <c r="AL460">
        <v>1753.3330000000001</v>
      </c>
      <c r="AM460">
        <v>10</v>
      </c>
      <c r="AN460">
        <v>146.667</v>
      </c>
      <c r="AO460">
        <v>0</v>
      </c>
      <c r="AP460">
        <v>6.6669999999999998</v>
      </c>
      <c r="AQ460">
        <v>0</v>
      </c>
      <c r="AR460">
        <v>16.667000000000002</v>
      </c>
      <c r="AS460">
        <v>53.332000000000001</v>
      </c>
      <c r="AT460">
        <v>4236.6639999999998</v>
      </c>
      <c r="AU460" t="s">
        <v>35</v>
      </c>
    </row>
    <row r="461" spans="1:47" x14ac:dyDescent="0.2">
      <c r="A461">
        <v>51</v>
      </c>
      <c r="B461" t="s">
        <v>45</v>
      </c>
      <c r="C461">
        <v>14</v>
      </c>
      <c r="D461" s="4" t="s">
        <v>781</v>
      </c>
      <c r="E461" s="4" t="s">
        <v>781</v>
      </c>
      <c r="F461" s="4" t="s">
        <v>59</v>
      </c>
      <c r="G461" t="str">
        <f t="shared" si="7"/>
        <v>BLU080314DBO4.5</v>
      </c>
      <c r="H461">
        <v>71.489999999999995</v>
      </c>
      <c r="I461">
        <v>-163.38900000000001</v>
      </c>
      <c r="J461" s="3">
        <v>20080912</v>
      </c>
      <c r="K461">
        <v>2008</v>
      </c>
      <c r="L461">
        <v>5.2645600000000004</v>
      </c>
      <c r="M461">
        <v>4.8289099999999996</v>
      </c>
      <c r="N461">
        <v>0.21967999999999999</v>
      </c>
      <c r="O461">
        <v>0.3609</v>
      </c>
      <c r="P461">
        <v>1.3741399999999999</v>
      </c>
      <c r="Q461">
        <v>0</v>
      </c>
      <c r="R461">
        <v>3.8400000000000001E-3</v>
      </c>
      <c r="S461">
        <v>0</v>
      </c>
      <c r="T461">
        <v>0.31899</v>
      </c>
      <c r="U461">
        <v>3.9986799999999998</v>
      </c>
      <c r="V461">
        <v>16.369700000000002</v>
      </c>
      <c r="W461" t="s">
        <v>9</v>
      </c>
      <c r="X461">
        <v>68.951999999999998</v>
      </c>
      <c r="Y461">
        <v>244.459</v>
      </c>
      <c r="Z461">
        <v>3.0449999999999999</v>
      </c>
      <c r="AA461">
        <v>8.02</v>
      </c>
      <c r="AB461">
        <v>98.153000000000006</v>
      </c>
      <c r="AC461">
        <v>0</v>
      </c>
      <c r="AD461">
        <v>6.3E-2</v>
      </c>
      <c r="AE461">
        <v>0</v>
      </c>
      <c r="AF461">
        <v>3.43</v>
      </c>
      <c r="AG461">
        <v>164.93600000000001</v>
      </c>
      <c r="AH461">
        <v>591.05799999999999</v>
      </c>
      <c r="AI461" t="s">
        <v>22</v>
      </c>
      <c r="AJ461">
        <v>1536.665</v>
      </c>
      <c r="AK461">
        <v>266.66699999999997</v>
      </c>
      <c r="AL461">
        <v>966.66499999999996</v>
      </c>
      <c r="AM461">
        <v>80</v>
      </c>
      <c r="AN461">
        <v>176.667</v>
      </c>
      <c r="AO461">
        <v>0</v>
      </c>
      <c r="AP461">
        <v>3.3330000000000002</v>
      </c>
      <c r="AQ461">
        <v>0</v>
      </c>
      <c r="AR461">
        <v>20</v>
      </c>
      <c r="AS461">
        <v>79.998999999999995</v>
      </c>
      <c r="AT461">
        <v>3129.9960000000001</v>
      </c>
      <c r="AU461" t="s">
        <v>33</v>
      </c>
    </row>
    <row r="462" spans="1:47" x14ac:dyDescent="0.2">
      <c r="A462">
        <v>52</v>
      </c>
      <c r="B462" t="s">
        <v>45</v>
      </c>
      <c r="C462">
        <v>15</v>
      </c>
      <c r="D462" t="s">
        <v>60</v>
      </c>
      <c r="G462" t="str">
        <f t="shared" si="7"/>
        <v>BLU080315BF019</v>
      </c>
      <c r="H462">
        <v>71.481999999999999</v>
      </c>
      <c r="I462">
        <v>-162.60499999999999</v>
      </c>
      <c r="J462" s="3">
        <v>20080919</v>
      </c>
      <c r="K462">
        <v>2008</v>
      </c>
      <c r="L462">
        <v>3.2391999999999999</v>
      </c>
      <c r="M462">
        <v>2.6731600000000002</v>
      </c>
      <c r="N462">
        <v>0.49756</v>
      </c>
      <c r="O462">
        <v>0.13261999999999999</v>
      </c>
      <c r="P462">
        <v>0.23096</v>
      </c>
      <c r="Q462">
        <v>0</v>
      </c>
      <c r="R462">
        <v>0.18709000000000001</v>
      </c>
      <c r="S462">
        <v>3.8000000000000002E-4</v>
      </c>
      <c r="T462">
        <v>0.15345</v>
      </c>
      <c r="U462">
        <v>3.6716000000000002</v>
      </c>
      <c r="V462">
        <v>10.786020000000001</v>
      </c>
      <c r="W462" t="s">
        <v>18</v>
      </c>
      <c r="X462">
        <v>45.024999999999999</v>
      </c>
      <c r="Y462">
        <v>75.724000000000004</v>
      </c>
      <c r="Z462">
        <v>6.798</v>
      </c>
      <c r="AA462">
        <v>2.9470000000000001</v>
      </c>
      <c r="AB462">
        <v>16.497</v>
      </c>
      <c r="AC462">
        <v>0</v>
      </c>
      <c r="AD462">
        <v>3.0670000000000002</v>
      </c>
      <c r="AE462">
        <v>2.7E-2</v>
      </c>
      <c r="AF462">
        <v>1.65</v>
      </c>
      <c r="AG462">
        <v>153.69499999999999</v>
      </c>
      <c r="AH462">
        <v>305.43</v>
      </c>
      <c r="AI462" t="s">
        <v>30</v>
      </c>
      <c r="AJ462">
        <v>2579.9989999999998</v>
      </c>
      <c r="AK462">
        <v>656.66600000000005</v>
      </c>
      <c r="AL462">
        <v>676.66499999999996</v>
      </c>
      <c r="AM462">
        <v>33.332999999999998</v>
      </c>
      <c r="AN462">
        <v>16.667000000000002</v>
      </c>
      <c r="AO462">
        <v>0</v>
      </c>
      <c r="AP462">
        <v>13.333</v>
      </c>
      <c r="AQ462">
        <v>6.6669999999999998</v>
      </c>
      <c r="AR462">
        <v>6.6669999999999998</v>
      </c>
      <c r="AS462">
        <v>176.666</v>
      </c>
      <c r="AT462">
        <v>4166.6629999999996</v>
      </c>
      <c r="AU462" t="s">
        <v>33</v>
      </c>
    </row>
    <row r="463" spans="1:47" x14ac:dyDescent="0.2">
      <c r="A463">
        <v>53</v>
      </c>
      <c r="B463" t="s">
        <v>45</v>
      </c>
      <c r="C463">
        <v>16</v>
      </c>
      <c r="D463" s="4" t="s">
        <v>780</v>
      </c>
      <c r="E463" s="4" t="s">
        <v>780</v>
      </c>
      <c r="F463" s="4" t="s">
        <v>61</v>
      </c>
      <c r="G463" t="str">
        <f t="shared" si="7"/>
        <v>BLU080316DBO4.6</v>
      </c>
      <c r="H463">
        <v>71.617999999999995</v>
      </c>
      <c r="I463">
        <v>-163.77199999999999</v>
      </c>
      <c r="J463" s="3">
        <v>20080913</v>
      </c>
      <c r="K463">
        <v>2008</v>
      </c>
      <c r="L463">
        <v>3.0622699999999998</v>
      </c>
      <c r="M463">
        <v>1.82972</v>
      </c>
      <c r="N463">
        <v>0.37846999999999997</v>
      </c>
      <c r="O463">
        <v>3.7499999999999999E-2</v>
      </c>
      <c r="P463">
        <v>0.64544000000000001</v>
      </c>
      <c r="Q463">
        <v>0</v>
      </c>
      <c r="R463">
        <v>2.4219999999999998E-2</v>
      </c>
      <c r="S463">
        <v>0</v>
      </c>
      <c r="T463">
        <v>8.9929999999999996E-2</v>
      </c>
      <c r="U463">
        <v>7.9409999999999994E-2</v>
      </c>
      <c r="V463">
        <v>6.14696</v>
      </c>
      <c r="W463" t="s">
        <v>9</v>
      </c>
      <c r="X463">
        <v>43.082999999999998</v>
      </c>
      <c r="Y463">
        <v>47.45</v>
      </c>
      <c r="Z463">
        <v>5.5279999999999996</v>
      </c>
      <c r="AA463">
        <v>0.83299999999999996</v>
      </c>
      <c r="AB463">
        <v>46.103000000000002</v>
      </c>
      <c r="AC463">
        <v>0</v>
      </c>
      <c r="AD463">
        <v>0.39700000000000002</v>
      </c>
      <c r="AE463">
        <v>0</v>
      </c>
      <c r="AF463">
        <v>0.96699999999999997</v>
      </c>
      <c r="AG463">
        <v>1.66</v>
      </c>
      <c r="AH463">
        <v>146.02099999999999</v>
      </c>
      <c r="AI463" t="s">
        <v>22</v>
      </c>
      <c r="AJ463">
        <v>743.33199999999999</v>
      </c>
      <c r="AK463">
        <v>206.667</v>
      </c>
      <c r="AL463">
        <v>269.99900000000002</v>
      </c>
      <c r="AM463">
        <v>16.667000000000002</v>
      </c>
      <c r="AN463">
        <v>63.332999999999998</v>
      </c>
      <c r="AO463">
        <v>0</v>
      </c>
      <c r="AP463">
        <v>3.3330000000000002</v>
      </c>
      <c r="AQ463">
        <v>0</v>
      </c>
      <c r="AR463">
        <v>6.6669999999999998</v>
      </c>
      <c r="AS463">
        <v>13.333</v>
      </c>
      <c r="AT463">
        <v>1323.3309999999999</v>
      </c>
      <c r="AU463" t="s">
        <v>33</v>
      </c>
    </row>
    <row r="464" spans="1:47" x14ac:dyDescent="0.2">
      <c r="A464">
        <v>54</v>
      </c>
      <c r="B464" t="s">
        <v>45</v>
      </c>
      <c r="C464">
        <v>17</v>
      </c>
      <c r="D464" t="s">
        <v>62</v>
      </c>
      <c r="G464" t="str">
        <f t="shared" si="7"/>
        <v>BLU080317BF023</v>
      </c>
      <c r="H464">
        <v>71.611000000000004</v>
      </c>
      <c r="I464">
        <v>-162.98400000000001</v>
      </c>
      <c r="J464" s="3">
        <v>20080918</v>
      </c>
      <c r="K464">
        <v>2008</v>
      </c>
      <c r="L464">
        <v>2.3418299999999999</v>
      </c>
      <c r="M464">
        <v>5.9481099999999998</v>
      </c>
      <c r="N464">
        <v>0.1769</v>
      </c>
      <c r="O464">
        <v>1.70564</v>
      </c>
      <c r="P464">
        <v>0.21657999999999999</v>
      </c>
      <c r="Q464">
        <v>0</v>
      </c>
      <c r="R464">
        <v>1.342E-2</v>
      </c>
      <c r="S464">
        <v>0</v>
      </c>
      <c r="T464">
        <v>3.1620000000000002E-2</v>
      </c>
      <c r="U464">
        <v>0.11158999999999999</v>
      </c>
      <c r="V464">
        <v>10.54569</v>
      </c>
      <c r="W464" t="s">
        <v>10</v>
      </c>
      <c r="X464">
        <v>33.234999999999999</v>
      </c>
      <c r="Y464">
        <v>213.30699999999999</v>
      </c>
      <c r="Z464">
        <v>2.5579999999999998</v>
      </c>
      <c r="AA464">
        <v>37.902999999999999</v>
      </c>
      <c r="AB464">
        <v>15.47</v>
      </c>
      <c r="AC464">
        <v>0</v>
      </c>
      <c r="AD464">
        <v>0.22</v>
      </c>
      <c r="AE464">
        <v>0</v>
      </c>
      <c r="AF464">
        <v>0.34</v>
      </c>
      <c r="AG464">
        <v>4.718</v>
      </c>
      <c r="AH464">
        <v>307.75099999999998</v>
      </c>
      <c r="AI464" t="s">
        <v>22</v>
      </c>
      <c r="AJ464">
        <v>963.33500000000004</v>
      </c>
      <c r="AK464">
        <v>270</v>
      </c>
      <c r="AL464">
        <v>269.99900000000002</v>
      </c>
      <c r="AM464">
        <v>36.667000000000002</v>
      </c>
      <c r="AN464">
        <v>10</v>
      </c>
      <c r="AO464">
        <v>0</v>
      </c>
      <c r="AP464">
        <v>3.3330000000000002</v>
      </c>
      <c r="AQ464">
        <v>0</v>
      </c>
      <c r="AR464">
        <v>10</v>
      </c>
      <c r="AS464">
        <v>49.999000000000002</v>
      </c>
      <c r="AT464">
        <v>1613.3330000000001</v>
      </c>
      <c r="AU464" t="s">
        <v>33</v>
      </c>
    </row>
    <row r="465" spans="1:47" x14ac:dyDescent="0.2">
      <c r="A465">
        <v>55</v>
      </c>
      <c r="B465" t="s">
        <v>45</v>
      </c>
      <c r="C465">
        <v>18</v>
      </c>
      <c r="D465" t="s">
        <v>63</v>
      </c>
      <c r="G465" t="str">
        <f t="shared" si="7"/>
        <v>BLU080318BF025</v>
      </c>
      <c r="H465">
        <v>71.600999999999999</v>
      </c>
      <c r="I465">
        <v>-162.19499999999999</v>
      </c>
      <c r="J465" s="3">
        <v>20080918</v>
      </c>
      <c r="K465">
        <v>2008</v>
      </c>
      <c r="L465">
        <v>2.7313100000000001</v>
      </c>
      <c r="M465">
        <v>11.23751</v>
      </c>
      <c r="N465">
        <v>1.2162999999999999</v>
      </c>
      <c r="O465">
        <v>2.0559999999999998E-2</v>
      </c>
      <c r="P465">
        <v>0</v>
      </c>
      <c r="Q465">
        <v>0</v>
      </c>
      <c r="R465">
        <v>0.26840000000000003</v>
      </c>
      <c r="S465">
        <v>1.08E-3</v>
      </c>
      <c r="T465">
        <v>0.11532000000000001</v>
      </c>
      <c r="U465">
        <v>4.8180000000000001E-2</v>
      </c>
      <c r="V465">
        <v>15.63866</v>
      </c>
      <c r="W465" t="s">
        <v>10</v>
      </c>
      <c r="X465">
        <v>37.661999999999999</v>
      </c>
      <c r="Y465">
        <v>309.20400000000001</v>
      </c>
      <c r="Z465">
        <v>17.478000000000002</v>
      </c>
      <c r="AA465">
        <v>0.45700000000000002</v>
      </c>
      <c r="AB465">
        <v>0</v>
      </c>
      <c r="AC465">
        <v>0</v>
      </c>
      <c r="AD465">
        <v>4.4000000000000004</v>
      </c>
      <c r="AE465">
        <v>7.6999999999999999E-2</v>
      </c>
      <c r="AF465">
        <v>1.24</v>
      </c>
      <c r="AG465">
        <v>1.7470000000000001</v>
      </c>
      <c r="AH465">
        <v>372.26499999999999</v>
      </c>
      <c r="AI465" t="s">
        <v>22</v>
      </c>
      <c r="AJ465">
        <v>1420</v>
      </c>
      <c r="AK465">
        <v>503.33300000000003</v>
      </c>
      <c r="AL465">
        <v>746.66600000000005</v>
      </c>
      <c r="AM465">
        <v>13.333</v>
      </c>
      <c r="AN465">
        <v>0</v>
      </c>
      <c r="AO465">
        <v>0</v>
      </c>
      <c r="AP465">
        <v>13.333</v>
      </c>
      <c r="AQ465">
        <v>3.3330000000000002</v>
      </c>
      <c r="AR465">
        <v>6.6669999999999998</v>
      </c>
      <c r="AS465">
        <v>30</v>
      </c>
      <c r="AT465">
        <v>2736.665</v>
      </c>
      <c r="AU465" t="s">
        <v>33</v>
      </c>
    </row>
    <row r="466" spans="1:47" x14ac:dyDescent="0.2">
      <c r="A466">
        <v>56</v>
      </c>
      <c r="B466" t="s">
        <v>45</v>
      </c>
      <c r="C466">
        <v>19</v>
      </c>
      <c r="D466" t="s">
        <v>64</v>
      </c>
      <c r="G466" t="str">
        <f t="shared" si="7"/>
        <v>BLU080319BN001</v>
      </c>
      <c r="H466">
        <v>71.037999999999997</v>
      </c>
      <c r="I466">
        <v>-163.82599999999999</v>
      </c>
      <c r="J466" s="3">
        <v>20080904</v>
      </c>
      <c r="K466">
        <v>2008</v>
      </c>
      <c r="L466">
        <v>6.5691300000000004</v>
      </c>
      <c r="M466">
        <v>2.00149</v>
      </c>
      <c r="N466">
        <v>0.12937000000000001</v>
      </c>
      <c r="O466">
        <v>0.83911999999999998</v>
      </c>
      <c r="P466">
        <v>0.42642000000000002</v>
      </c>
      <c r="Q466">
        <v>0</v>
      </c>
      <c r="R466">
        <v>0</v>
      </c>
      <c r="S466">
        <v>0</v>
      </c>
      <c r="T466">
        <v>0.86955000000000005</v>
      </c>
      <c r="U466">
        <v>3.1119999999999998E-2</v>
      </c>
      <c r="V466">
        <v>10.866199999999999</v>
      </c>
      <c r="W466" t="s">
        <v>9</v>
      </c>
      <c r="X466">
        <v>93.608999999999995</v>
      </c>
      <c r="Y466">
        <v>97.247</v>
      </c>
      <c r="Z466">
        <v>1.7230000000000001</v>
      </c>
      <c r="AA466">
        <v>18.646999999999998</v>
      </c>
      <c r="AB466">
        <v>30.459</v>
      </c>
      <c r="AC466">
        <v>0</v>
      </c>
      <c r="AD466">
        <v>0</v>
      </c>
      <c r="AE466">
        <v>0</v>
      </c>
      <c r="AF466">
        <v>9.35</v>
      </c>
      <c r="AG466">
        <v>0.97699999999999998</v>
      </c>
      <c r="AH466">
        <v>252.012</v>
      </c>
      <c r="AI466" t="s">
        <v>22</v>
      </c>
      <c r="AJ466">
        <v>596.66700000000003</v>
      </c>
      <c r="AK466">
        <v>159.999</v>
      </c>
      <c r="AL466">
        <v>350</v>
      </c>
      <c r="AM466">
        <v>6.6669999999999998</v>
      </c>
      <c r="AN466">
        <v>86.667000000000002</v>
      </c>
      <c r="AO466">
        <v>0</v>
      </c>
      <c r="AP466">
        <v>0</v>
      </c>
      <c r="AQ466">
        <v>0</v>
      </c>
      <c r="AR466">
        <v>16.667000000000002</v>
      </c>
      <c r="AS466">
        <v>50.000999999999998</v>
      </c>
      <c r="AT466">
        <v>1266.6679999999999</v>
      </c>
      <c r="AU466" t="s">
        <v>33</v>
      </c>
    </row>
    <row r="467" spans="1:47" x14ac:dyDescent="0.2">
      <c r="A467">
        <v>57</v>
      </c>
      <c r="B467" t="s">
        <v>45</v>
      </c>
      <c r="C467">
        <v>20</v>
      </c>
      <c r="D467" t="s">
        <v>65</v>
      </c>
      <c r="G467" t="str">
        <f t="shared" si="7"/>
        <v>BLU080320BR005</v>
      </c>
      <c r="H467">
        <v>71.587000000000003</v>
      </c>
      <c r="I467">
        <v>-163.065</v>
      </c>
      <c r="J467" s="3">
        <v>20080921</v>
      </c>
      <c r="K467">
        <v>2008</v>
      </c>
      <c r="L467">
        <v>4.0360899999999997</v>
      </c>
      <c r="M467">
        <v>3.9607199999999998</v>
      </c>
      <c r="N467">
        <v>0.99882000000000004</v>
      </c>
      <c r="O467">
        <v>0.27811000000000002</v>
      </c>
      <c r="P467">
        <v>0.23272000000000001</v>
      </c>
      <c r="Q467">
        <v>0</v>
      </c>
      <c r="R467">
        <v>1.0800000000000001E-2</v>
      </c>
      <c r="S467">
        <v>4.4400000000000004E-3</v>
      </c>
      <c r="T467">
        <v>9.4579999999999997E-2</v>
      </c>
      <c r="U467">
        <v>0.15196999999999999</v>
      </c>
      <c r="V467">
        <v>9.7682500000000001</v>
      </c>
      <c r="W467" t="s">
        <v>9</v>
      </c>
      <c r="X467">
        <v>56.738999999999997</v>
      </c>
      <c r="Y467">
        <v>112.837</v>
      </c>
      <c r="Z467">
        <v>14.483000000000001</v>
      </c>
      <c r="AA467">
        <v>6.18</v>
      </c>
      <c r="AB467">
        <v>16.623000000000001</v>
      </c>
      <c r="AC467">
        <v>0</v>
      </c>
      <c r="AD467">
        <v>0.17699999999999999</v>
      </c>
      <c r="AE467">
        <v>0.317</v>
      </c>
      <c r="AF467">
        <v>1.0169999999999999</v>
      </c>
      <c r="AG467">
        <v>4.1829999999999998</v>
      </c>
      <c r="AH467">
        <v>212.55600000000001</v>
      </c>
      <c r="AI467" t="s">
        <v>22</v>
      </c>
      <c r="AJ467">
        <v>1263.335</v>
      </c>
      <c r="AK467">
        <v>326.66699999999997</v>
      </c>
      <c r="AL467">
        <v>623.33100000000002</v>
      </c>
      <c r="AM467">
        <v>70</v>
      </c>
      <c r="AN467">
        <v>6.6669999999999998</v>
      </c>
      <c r="AO467">
        <v>0</v>
      </c>
      <c r="AP467">
        <v>3.3330000000000002</v>
      </c>
      <c r="AQ467">
        <v>3.3330000000000002</v>
      </c>
      <c r="AR467">
        <v>20</v>
      </c>
      <c r="AS467">
        <v>86.667000000000002</v>
      </c>
      <c r="AT467">
        <v>2403.3330000000001</v>
      </c>
      <c r="AU467" t="s">
        <v>33</v>
      </c>
    </row>
    <row r="468" spans="1:47" x14ac:dyDescent="0.2">
      <c r="A468">
        <v>58</v>
      </c>
      <c r="B468" t="s">
        <v>45</v>
      </c>
      <c r="C468">
        <v>21</v>
      </c>
      <c r="D468" t="s">
        <v>66</v>
      </c>
      <c r="G468" t="str">
        <f t="shared" si="7"/>
        <v>BLU080321BR016</v>
      </c>
      <c r="H468">
        <v>71.536000000000001</v>
      </c>
      <c r="I468">
        <v>-162.91300000000001</v>
      </c>
      <c r="J468" s="3">
        <v>20080918</v>
      </c>
      <c r="K468">
        <v>2008</v>
      </c>
      <c r="L468">
        <v>3.3749899999999999</v>
      </c>
      <c r="M468">
        <v>7.3509000000000002</v>
      </c>
      <c r="N468">
        <v>1.99861</v>
      </c>
      <c r="O468">
        <v>6.9430000000000006E-2</v>
      </c>
      <c r="P468">
        <v>0.52864</v>
      </c>
      <c r="Q468">
        <v>0</v>
      </c>
      <c r="R468">
        <v>0</v>
      </c>
      <c r="S468">
        <v>0</v>
      </c>
      <c r="T468">
        <v>0.64570000000000005</v>
      </c>
      <c r="U468">
        <v>3.11388</v>
      </c>
      <c r="V468">
        <v>17.082149999999999</v>
      </c>
      <c r="W468" t="s">
        <v>10</v>
      </c>
      <c r="X468">
        <v>48.988999999999997</v>
      </c>
      <c r="Y468">
        <v>218.05</v>
      </c>
      <c r="Z468">
        <v>28.539000000000001</v>
      </c>
      <c r="AA468">
        <v>1.5429999999999999</v>
      </c>
      <c r="AB468">
        <v>37.76</v>
      </c>
      <c r="AC468">
        <v>0</v>
      </c>
      <c r="AD468">
        <v>0</v>
      </c>
      <c r="AE468">
        <v>0</v>
      </c>
      <c r="AF468">
        <v>6.9429999999999996</v>
      </c>
      <c r="AG468">
        <v>71.852999999999994</v>
      </c>
      <c r="AH468">
        <v>413.67700000000002</v>
      </c>
      <c r="AI468" t="s">
        <v>22</v>
      </c>
      <c r="AJ468">
        <v>1363.3330000000001</v>
      </c>
      <c r="AK468">
        <v>613.33299999999997</v>
      </c>
      <c r="AL468">
        <v>569.99900000000002</v>
      </c>
      <c r="AM468">
        <v>16.667000000000002</v>
      </c>
      <c r="AN468">
        <v>13.333</v>
      </c>
      <c r="AO468">
        <v>0</v>
      </c>
      <c r="AP468">
        <v>0</v>
      </c>
      <c r="AQ468">
        <v>0</v>
      </c>
      <c r="AR468">
        <v>56.667000000000002</v>
      </c>
      <c r="AS468">
        <v>83.331999999999994</v>
      </c>
      <c r="AT468">
        <v>2716.6640000000002</v>
      </c>
      <c r="AU468" t="s">
        <v>33</v>
      </c>
    </row>
    <row r="469" spans="1:47" x14ac:dyDescent="0.2">
      <c r="A469">
        <v>59</v>
      </c>
      <c r="B469" t="s">
        <v>45</v>
      </c>
      <c r="C469">
        <v>22</v>
      </c>
      <c r="D469" t="s">
        <v>67</v>
      </c>
      <c r="G469" t="str">
        <f t="shared" si="7"/>
        <v>BLU080322BR020</v>
      </c>
      <c r="H469">
        <v>71.528000000000006</v>
      </c>
      <c r="I469">
        <v>-162.285</v>
      </c>
      <c r="J469" s="3">
        <v>20080919</v>
      </c>
      <c r="K469">
        <v>2008</v>
      </c>
      <c r="L469">
        <v>2.4482499999999998</v>
      </c>
      <c r="M469">
        <v>6.8731900000000001</v>
      </c>
      <c r="N469">
        <v>2.5849899999999999</v>
      </c>
      <c r="O469">
        <v>0.42917</v>
      </c>
      <c r="P469">
        <v>0.39245999999999998</v>
      </c>
      <c r="Q469">
        <v>0</v>
      </c>
      <c r="R469">
        <v>4.1660000000000003E-2</v>
      </c>
      <c r="S469">
        <v>1.61E-2</v>
      </c>
      <c r="T469">
        <v>0.30941000000000002</v>
      </c>
      <c r="U469">
        <v>0.54866999999999999</v>
      </c>
      <c r="V469">
        <v>13.6439</v>
      </c>
      <c r="W469" t="s">
        <v>10</v>
      </c>
      <c r="X469">
        <v>34.558999999999997</v>
      </c>
      <c r="Y469">
        <v>214.72900000000001</v>
      </c>
      <c r="Z469">
        <v>37.683</v>
      </c>
      <c r="AA469">
        <v>9.5370000000000008</v>
      </c>
      <c r="AB469">
        <v>28.033000000000001</v>
      </c>
      <c r="AC469">
        <v>0</v>
      </c>
      <c r="AD469">
        <v>0.68300000000000005</v>
      </c>
      <c r="AE469">
        <v>1.1499999999999999</v>
      </c>
      <c r="AF469">
        <v>3.327</v>
      </c>
      <c r="AG469">
        <v>21.664000000000001</v>
      </c>
      <c r="AH469">
        <v>351.36500000000001</v>
      </c>
      <c r="AI469" t="s">
        <v>22</v>
      </c>
      <c r="AJ469">
        <v>1360.001</v>
      </c>
      <c r="AK469">
        <v>486.666</v>
      </c>
      <c r="AL469">
        <v>1763.3340000000001</v>
      </c>
      <c r="AM469">
        <v>76.667000000000002</v>
      </c>
      <c r="AN469">
        <v>10</v>
      </c>
      <c r="AO469">
        <v>0</v>
      </c>
      <c r="AP469">
        <v>6.6669999999999998</v>
      </c>
      <c r="AQ469">
        <v>3.3330000000000002</v>
      </c>
      <c r="AR469">
        <v>50</v>
      </c>
      <c r="AS469">
        <v>96.668000000000006</v>
      </c>
      <c r="AT469">
        <v>3853.3359999999998</v>
      </c>
      <c r="AU469" t="s">
        <v>35</v>
      </c>
    </row>
    <row r="470" spans="1:47" x14ac:dyDescent="0.2">
      <c r="A470">
        <v>60</v>
      </c>
      <c r="B470" t="s">
        <v>45</v>
      </c>
      <c r="C470">
        <v>23</v>
      </c>
      <c r="D470" t="s">
        <v>68</v>
      </c>
      <c r="G470" t="str">
        <f t="shared" si="7"/>
        <v>BLU080323BR032</v>
      </c>
      <c r="H470">
        <v>71.441999999999993</v>
      </c>
      <c r="I470">
        <v>-163.55000000000001</v>
      </c>
      <c r="J470" s="3">
        <v>20080914</v>
      </c>
      <c r="K470">
        <v>2008</v>
      </c>
      <c r="L470">
        <v>10.088419999999999</v>
      </c>
      <c r="M470">
        <v>4.3884400000000001</v>
      </c>
      <c r="N470">
        <v>0.15156</v>
      </c>
      <c r="O470">
        <v>9.4391999999999996</v>
      </c>
      <c r="P470">
        <v>0.70489999999999997</v>
      </c>
      <c r="Q470">
        <v>0</v>
      </c>
      <c r="R470">
        <v>1.2039899999999999</v>
      </c>
      <c r="S470">
        <v>0</v>
      </c>
      <c r="T470">
        <v>0.37572</v>
      </c>
      <c r="U470">
        <v>0.14127000000000001</v>
      </c>
      <c r="V470">
        <v>26.493500000000001</v>
      </c>
      <c r="W470" t="s">
        <v>9</v>
      </c>
      <c r="X470">
        <v>140.108</v>
      </c>
      <c r="Y470">
        <v>265.09399999999999</v>
      </c>
      <c r="Z470">
        <v>2.0609999999999999</v>
      </c>
      <c r="AA470">
        <v>209.76</v>
      </c>
      <c r="AB470">
        <v>50.35</v>
      </c>
      <c r="AC470">
        <v>0</v>
      </c>
      <c r="AD470">
        <v>25.497</v>
      </c>
      <c r="AE470">
        <v>0</v>
      </c>
      <c r="AF470">
        <v>4.04</v>
      </c>
      <c r="AG470">
        <v>3.4830000000000001</v>
      </c>
      <c r="AH470">
        <v>700.39300000000003</v>
      </c>
      <c r="AI470" t="s">
        <v>22</v>
      </c>
      <c r="AJ470">
        <v>1303.3330000000001</v>
      </c>
      <c r="AK470">
        <v>206.66499999999999</v>
      </c>
      <c r="AL470">
        <v>606.66700000000003</v>
      </c>
      <c r="AM470">
        <v>60</v>
      </c>
      <c r="AN470">
        <v>110</v>
      </c>
      <c r="AO470">
        <v>0</v>
      </c>
      <c r="AP470">
        <v>10</v>
      </c>
      <c r="AQ470">
        <v>0</v>
      </c>
      <c r="AR470">
        <v>23.332999999999998</v>
      </c>
      <c r="AS470">
        <v>93.332999999999998</v>
      </c>
      <c r="AT470">
        <v>2413.3310000000001</v>
      </c>
      <c r="AU470" t="s">
        <v>33</v>
      </c>
    </row>
    <row r="471" spans="1:47" x14ac:dyDescent="0.2">
      <c r="A471">
        <v>61</v>
      </c>
      <c r="B471" t="s">
        <v>45</v>
      </c>
      <c r="C471">
        <v>24</v>
      </c>
      <c r="D471" t="s">
        <v>69</v>
      </c>
      <c r="G471" t="str">
        <f t="shared" si="7"/>
        <v>BLU080324BR038</v>
      </c>
      <c r="H471">
        <v>71.433000000000007</v>
      </c>
      <c r="I471">
        <v>-162.61099999999999</v>
      </c>
      <c r="J471" s="3">
        <v>20080918</v>
      </c>
      <c r="K471">
        <v>2008</v>
      </c>
      <c r="L471">
        <v>3.2502599999999999</v>
      </c>
      <c r="M471">
        <v>11.119809999999999</v>
      </c>
      <c r="N471">
        <v>0.28994999999999999</v>
      </c>
      <c r="O471">
        <v>0.22739000000000001</v>
      </c>
      <c r="P471">
        <v>0.83387999999999995</v>
      </c>
      <c r="Q471">
        <v>0</v>
      </c>
      <c r="R471">
        <v>0.20374</v>
      </c>
      <c r="S471">
        <v>0</v>
      </c>
      <c r="T471">
        <v>0.47681000000000001</v>
      </c>
      <c r="U471">
        <v>0.15514</v>
      </c>
      <c r="V471">
        <v>16.556979999999999</v>
      </c>
      <c r="W471" t="s">
        <v>10</v>
      </c>
      <c r="X471">
        <v>44.392000000000003</v>
      </c>
      <c r="Y471">
        <v>326.85300000000001</v>
      </c>
      <c r="Z471">
        <v>4.1349999999999998</v>
      </c>
      <c r="AA471">
        <v>5.0529999999999999</v>
      </c>
      <c r="AB471">
        <v>59.563000000000002</v>
      </c>
      <c r="AC471">
        <v>0</v>
      </c>
      <c r="AD471">
        <v>3.34</v>
      </c>
      <c r="AE471">
        <v>0</v>
      </c>
      <c r="AF471">
        <v>5.1269999999999998</v>
      </c>
      <c r="AG471">
        <v>6.6139999999999999</v>
      </c>
      <c r="AH471">
        <v>455.077</v>
      </c>
      <c r="AI471" t="s">
        <v>22</v>
      </c>
      <c r="AJ471">
        <v>2823.3330000000001</v>
      </c>
      <c r="AK471">
        <v>613.33199999999999</v>
      </c>
      <c r="AL471">
        <v>519.99800000000005</v>
      </c>
      <c r="AM471">
        <v>40</v>
      </c>
      <c r="AN471">
        <v>56.665999999999997</v>
      </c>
      <c r="AO471">
        <v>0</v>
      </c>
      <c r="AP471">
        <v>6.6669999999999998</v>
      </c>
      <c r="AQ471">
        <v>0</v>
      </c>
      <c r="AR471">
        <v>20</v>
      </c>
      <c r="AS471">
        <v>80</v>
      </c>
      <c r="AT471">
        <v>4159.9960000000001</v>
      </c>
      <c r="AU471" t="s">
        <v>33</v>
      </c>
    </row>
    <row r="472" spans="1:47" x14ac:dyDescent="0.2">
      <c r="A472">
        <v>62</v>
      </c>
      <c r="B472" t="s">
        <v>45</v>
      </c>
      <c r="C472">
        <v>25</v>
      </c>
      <c r="D472" t="s">
        <v>70</v>
      </c>
      <c r="G472" t="str">
        <f t="shared" si="7"/>
        <v>BLU080325BR043</v>
      </c>
      <c r="H472">
        <v>71.391000000000005</v>
      </c>
      <c r="I472">
        <v>-162.39699999999999</v>
      </c>
      <c r="J472" s="3">
        <v>20080914</v>
      </c>
      <c r="K472">
        <v>2008</v>
      </c>
      <c r="L472">
        <v>11.09572</v>
      </c>
      <c r="M472">
        <v>1.85015</v>
      </c>
      <c r="N472">
        <v>0.85070999999999997</v>
      </c>
      <c r="O472">
        <v>2.90116</v>
      </c>
      <c r="P472">
        <v>1.36206</v>
      </c>
      <c r="Q472">
        <v>0</v>
      </c>
      <c r="R472">
        <v>0</v>
      </c>
      <c r="S472">
        <v>0</v>
      </c>
      <c r="T472">
        <v>0.16395999999999999</v>
      </c>
      <c r="U472">
        <v>7.9699999999999997E-3</v>
      </c>
      <c r="V472">
        <v>18.231729999999999</v>
      </c>
      <c r="W472" t="s">
        <v>9</v>
      </c>
      <c r="X472">
        <v>152.56299999999999</v>
      </c>
      <c r="Y472">
        <v>70.337999999999994</v>
      </c>
      <c r="Z472">
        <v>11.965</v>
      </c>
      <c r="AA472">
        <v>64.47</v>
      </c>
      <c r="AB472">
        <v>97.29</v>
      </c>
      <c r="AC472">
        <v>0</v>
      </c>
      <c r="AD472">
        <v>0</v>
      </c>
      <c r="AE472">
        <v>0</v>
      </c>
      <c r="AF472">
        <v>1.7629999999999999</v>
      </c>
      <c r="AG472">
        <v>0.33600000000000002</v>
      </c>
      <c r="AH472">
        <v>398.72500000000002</v>
      </c>
      <c r="AI472" t="s">
        <v>21</v>
      </c>
      <c r="AJ472">
        <v>10570</v>
      </c>
      <c r="AK472">
        <v>269.99900000000002</v>
      </c>
      <c r="AL472">
        <v>3083.3319999999999</v>
      </c>
      <c r="AM472">
        <v>43.334000000000003</v>
      </c>
      <c r="AN472">
        <v>306.66699999999997</v>
      </c>
      <c r="AO472">
        <v>0</v>
      </c>
      <c r="AP472">
        <v>0</v>
      </c>
      <c r="AQ472">
        <v>0</v>
      </c>
      <c r="AR472">
        <v>20</v>
      </c>
      <c r="AS472">
        <v>33.332999999999998</v>
      </c>
      <c r="AT472">
        <v>14326.665000000001</v>
      </c>
      <c r="AU472" t="s">
        <v>33</v>
      </c>
    </row>
    <row r="473" spans="1:47" x14ac:dyDescent="0.2">
      <c r="A473">
        <v>63</v>
      </c>
      <c r="B473" t="s">
        <v>45</v>
      </c>
      <c r="C473">
        <v>26</v>
      </c>
      <c r="D473" t="s">
        <v>71</v>
      </c>
      <c r="G473" t="str">
        <f t="shared" si="7"/>
        <v>BLU080326BR047</v>
      </c>
      <c r="H473">
        <v>71.385000000000005</v>
      </c>
      <c r="I473">
        <v>-162.773</v>
      </c>
      <c r="J473" s="3">
        <v>20080917</v>
      </c>
      <c r="K473">
        <v>2008</v>
      </c>
      <c r="L473">
        <v>6.3136999999999999</v>
      </c>
      <c r="M473">
        <v>4.7441300000000002</v>
      </c>
      <c r="N473">
        <v>0.44479000000000002</v>
      </c>
      <c r="O473">
        <v>0.14999000000000001</v>
      </c>
      <c r="P473">
        <v>0.86397999999999997</v>
      </c>
      <c r="Q473">
        <v>0</v>
      </c>
      <c r="R473">
        <v>8.7200000000000003E-3</v>
      </c>
      <c r="S473">
        <v>0</v>
      </c>
      <c r="T473">
        <v>0.28950999999999999</v>
      </c>
      <c r="U473">
        <v>0.17374999999999999</v>
      </c>
      <c r="V473">
        <v>12.988569999999999</v>
      </c>
      <c r="W473" t="s">
        <v>9</v>
      </c>
      <c r="X473">
        <v>91.727000000000004</v>
      </c>
      <c r="Y473">
        <v>134.65</v>
      </c>
      <c r="Z473">
        <v>6.0430000000000001</v>
      </c>
      <c r="AA473">
        <v>3.3330000000000002</v>
      </c>
      <c r="AB473">
        <v>61.713000000000001</v>
      </c>
      <c r="AC473">
        <v>0</v>
      </c>
      <c r="AD473">
        <v>0.14299999999999999</v>
      </c>
      <c r="AE473">
        <v>0</v>
      </c>
      <c r="AF473">
        <v>3.113</v>
      </c>
      <c r="AG473">
        <v>5.0659999999999998</v>
      </c>
      <c r="AH473">
        <v>305.78800000000001</v>
      </c>
      <c r="AI473" t="s">
        <v>22</v>
      </c>
      <c r="AJ473">
        <v>4593.3320000000003</v>
      </c>
      <c r="AK473">
        <v>400</v>
      </c>
      <c r="AL473">
        <v>1429.999</v>
      </c>
      <c r="AM473">
        <v>146.667</v>
      </c>
      <c r="AN473">
        <v>163.333</v>
      </c>
      <c r="AO473">
        <v>0</v>
      </c>
      <c r="AP473">
        <v>3.3330000000000002</v>
      </c>
      <c r="AQ473">
        <v>0</v>
      </c>
      <c r="AR473">
        <v>23.332999999999998</v>
      </c>
      <c r="AS473">
        <v>66.667000000000002</v>
      </c>
      <c r="AT473">
        <v>6826.6639999999998</v>
      </c>
      <c r="AU473" t="s">
        <v>33</v>
      </c>
    </row>
    <row r="474" spans="1:47" x14ac:dyDescent="0.2">
      <c r="A474">
        <v>64</v>
      </c>
      <c r="B474" t="s">
        <v>45</v>
      </c>
      <c r="C474">
        <v>27</v>
      </c>
      <c r="D474" t="s">
        <v>72</v>
      </c>
      <c r="G474" t="str">
        <f t="shared" si="7"/>
        <v>BLU080327BR077</v>
      </c>
      <c r="H474">
        <v>71.234999999999999</v>
      </c>
      <c r="I474">
        <v>-162.79</v>
      </c>
      <c r="J474" s="3">
        <v>20080920</v>
      </c>
      <c r="K474">
        <v>2008</v>
      </c>
      <c r="L474">
        <v>2.03674</v>
      </c>
      <c r="M474">
        <v>1.77014</v>
      </c>
      <c r="N474">
        <v>0.32507999999999998</v>
      </c>
      <c r="O474">
        <v>3.0880000000000001E-2</v>
      </c>
      <c r="P474">
        <v>1.3851599999999999</v>
      </c>
      <c r="Q474">
        <v>0</v>
      </c>
      <c r="R474">
        <v>0.24424000000000001</v>
      </c>
      <c r="S474">
        <v>4.0000000000000003E-5</v>
      </c>
      <c r="T474">
        <v>9.9790000000000004E-2</v>
      </c>
      <c r="U474">
        <v>2.2040000000000001E-2</v>
      </c>
      <c r="V474">
        <v>5.91411</v>
      </c>
      <c r="W474" t="s">
        <v>9</v>
      </c>
      <c r="X474">
        <v>28.048999999999999</v>
      </c>
      <c r="Y474">
        <v>64.846000000000004</v>
      </c>
      <c r="Z474">
        <v>4.2240000000000002</v>
      </c>
      <c r="AA474">
        <v>0.68600000000000005</v>
      </c>
      <c r="AB474">
        <v>98.94</v>
      </c>
      <c r="AC474">
        <v>0</v>
      </c>
      <c r="AD474">
        <v>6.0970000000000004</v>
      </c>
      <c r="AE474">
        <v>3.0000000000000001E-3</v>
      </c>
      <c r="AF474">
        <v>1.073</v>
      </c>
      <c r="AG474">
        <v>0.51</v>
      </c>
      <c r="AH474">
        <v>204.428</v>
      </c>
      <c r="AI474" t="s">
        <v>25</v>
      </c>
      <c r="AJ474">
        <v>940</v>
      </c>
      <c r="AK474">
        <v>276.66500000000002</v>
      </c>
      <c r="AL474">
        <v>1276.6669999999999</v>
      </c>
      <c r="AM474">
        <v>40</v>
      </c>
      <c r="AN474">
        <v>260</v>
      </c>
      <c r="AO474">
        <v>0</v>
      </c>
      <c r="AP474">
        <v>10</v>
      </c>
      <c r="AQ474">
        <v>3.3330000000000002</v>
      </c>
      <c r="AR474">
        <v>20</v>
      </c>
      <c r="AS474">
        <v>56.664999999999999</v>
      </c>
      <c r="AT474">
        <v>2883.33</v>
      </c>
      <c r="AU474" t="s">
        <v>35</v>
      </c>
    </row>
    <row r="475" spans="1:47" x14ac:dyDescent="0.2">
      <c r="A475">
        <v>65</v>
      </c>
      <c r="B475" t="s">
        <v>45</v>
      </c>
      <c r="C475">
        <v>28</v>
      </c>
      <c r="D475" t="s">
        <v>73</v>
      </c>
      <c r="G475" t="str">
        <f t="shared" si="7"/>
        <v>BLU080328BR080</v>
      </c>
      <c r="H475">
        <v>71.228999999999999</v>
      </c>
      <c r="I475">
        <v>-162.32499999999999</v>
      </c>
      <c r="J475" s="3">
        <v>20080919</v>
      </c>
      <c r="K475">
        <v>2008</v>
      </c>
      <c r="L475">
        <v>4.3464099999999997</v>
      </c>
      <c r="M475">
        <v>0.96923999999999999</v>
      </c>
      <c r="N475">
        <v>0.62985000000000002</v>
      </c>
      <c r="O475">
        <v>4.4999999999999999E-4</v>
      </c>
      <c r="P475">
        <v>0.88373999999999997</v>
      </c>
      <c r="Q475">
        <v>0</v>
      </c>
      <c r="R475">
        <v>8.1920000000000007E-2</v>
      </c>
      <c r="S475">
        <v>0</v>
      </c>
      <c r="T475">
        <v>5.4219999999999997E-2</v>
      </c>
      <c r="U475">
        <v>2.0330000000000001E-2</v>
      </c>
      <c r="V475">
        <v>6.9861599999999999</v>
      </c>
      <c r="W475" t="s">
        <v>9</v>
      </c>
      <c r="X475">
        <v>58.198999999999998</v>
      </c>
      <c r="Y475">
        <v>30.06</v>
      </c>
      <c r="Z475">
        <v>8.1039999999999992</v>
      </c>
      <c r="AA475">
        <v>0.01</v>
      </c>
      <c r="AB475">
        <v>63.124000000000002</v>
      </c>
      <c r="AC475">
        <v>0</v>
      </c>
      <c r="AD475">
        <v>1.343</v>
      </c>
      <c r="AE475">
        <v>0</v>
      </c>
      <c r="AF475">
        <v>0.58299999999999996</v>
      </c>
      <c r="AG475">
        <v>0.39700000000000002</v>
      </c>
      <c r="AH475">
        <v>161.82</v>
      </c>
      <c r="AI475" t="s">
        <v>25</v>
      </c>
      <c r="AJ475">
        <v>693.33299999999997</v>
      </c>
      <c r="AK475">
        <v>323.33199999999999</v>
      </c>
      <c r="AL475">
        <v>1960.001</v>
      </c>
      <c r="AM475">
        <v>3.3330000000000002</v>
      </c>
      <c r="AN475">
        <v>160</v>
      </c>
      <c r="AO475">
        <v>0</v>
      </c>
      <c r="AP475">
        <v>6.6669999999999998</v>
      </c>
      <c r="AQ475">
        <v>0</v>
      </c>
      <c r="AR475">
        <v>6.6669999999999998</v>
      </c>
      <c r="AS475">
        <v>40</v>
      </c>
      <c r="AT475">
        <v>3193.3330000000001</v>
      </c>
      <c r="AU475" t="s">
        <v>35</v>
      </c>
    </row>
    <row r="476" spans="1:47" x14ac:dyDescent="0.2">
      <c r="A476">
        <v>66</v>
      </c>
      <c r="B476" t="s">
        <v>45</v>
      </c>
      <c r="C476">
        <v>29</v>
      </c>
      <c r="D476" t="s">
        <v>74</v>
      </c>
      <c r="G476" t="str">
        <f t="shared" si="7"/>
        <v>BLU080329BR086</v>
      </c>
      <c r="H476">
        <v>71.186999999999998</v>
      </c>
      <c r="I476">
        <v>-162.94999999999999</v>
      </c>
      <c r="J476" s="3">
        <v>20080901</v>
      </c>
      <c r="K476">
        <v>2008</v>
      </c>
      <c r="L476">
        <v>5.8120099999999999</v>
      </c>
      <c r="M476">
        <v>2.05111</v>
      </c>
      <c r="N476">
        <v>0.19694999999999999</v>
      </c>
      <c r="O476">
        <v>2.4233899999999999</v>
      </c>
      <c r="P476">
        <v>1.0460799999999999</v>
      </c>
      <c r="Q476">
        <v>0</v>
      </c>
      <c r="R476">
        <v>8.3599999999999994E-3</v>
      </c>
      <c r="S476">
        <v>4.0000000000000003E-5</v>
      </c>
      <c r="T476">
        <v>8.6120000000000002E-2</v>
      </c>
      <c r="U476">
        <v>9.5240000000000005E-2</v>
      </c>
      <c r="V476">
        <v>11.7193</v>
      </c>
      <c r="W476" t="s">
        <v>9</v>
      </c>
      <c r="X476">
        <v>83.290999999999997</v>
      </c>
      <c r="Y476">
        <v>93.540999999999997</v>
      </c>
      <c r="Z476">
        <v>2.6840000000000002</v>
      </c>
      <c r="AA476">
        <v>53.853000000000002</v>
      </c>
      <c r="AB476">
        <v>74.72</v>
      </c>
      <c r="AC476">
        <v>0</v>
      </c>
      <c r="AD476">
        <v>0.13700000000000001</v>
      </c>
      <c r="AE476">
        <v>3.0000000000000001E-3</v>
      </c>
      <c r="AF476">
        <v>0.92600000000000005</v>
      </c>
      <c r="AG476">
        <v>3.2029999999999998</v>
      </c>
      <c r="AH476">
        <v>312.358</v>
      </c>
      <c r="AI476" t="s">
        <v>22</v>
      </c>
      <c r="AJ476">
        <v>623.33399999999995</v>
      </c>
      <c r="AK476">
        <v>270</v>
      </c>
      <c r="AL476">
        <v>379.99900000000002</v>
      </c>
      <c r="AM476">
        <v>33.332999999999998</v>
      </c>
      <c r="AN476">
        <v>126.666</v>
      </c>
      <c r="AO476">
        <v>0</v>
      </c>
      <c r="AP476">
        <v>3.3330000000000002</v>
      </c>
      <c r="AQ476">
        <v>3.3330000000000002</v>
      </c>
      <c r="AR476">
        <v>23.332999999999998</v>
      </c>
      <c r="AS476">
        <v>66.665999999999997</v>
      </c>
      <c r="AT476">
        <v>1529.9970000000001</v>
      </c>
      <c r="AU476" t="s">
        <v>33</v>
      </c>
    </row>
    <row r="477" spans="1:47" x14ac:dyDescent="0.2">
      <c r="A477">
        <v>67</v>
      </c>
      <c r="B477" t="s">
        <v>45</v>
      </c>
      <c r="C477">
        <v>30</v>
      </c>
      <c r="D477" t="s">
        <v>75</v>
      </c>
      <c r="G477" t="str">
        <f t="shared" si="7"/>
        <v>BLU080330BR087</v>
      </c>
      <c r="H477">
        <v>71.185000000000002</v>
      </c>
      <c r="I477">
        <v>-162.79499999999999</v>
      </c>
      <c r="J477" s="3">
        <v>20080902</v>
      </c>
      <c r="K477">
        <v>2008</v>
      </c>
      <c r="L477">
        <v>9.8216699999999992</v>
      </c>
      <c r="M477">
        <v>1.3172900000000001</v>
      </c>
      <c r="N477">
        <v>0.18118000000000001</v>
      </c>
      <c r="O477">
        <v>9.5320000000000002E-2</v>
      </c>
      <c r="P477">
        <v>1.1561999999999999</v>
      </c>
      <c r="Q477">
        <v>0</v>
      </c>
      <c r="R477">
        <v>1.0791999999999999</v>
      </c>
      <c r="S477">
        <v>0.17896000000000001</v>
      </c>
      <c r="T477">
        <v>0.60570999999999997</v>
      </c>
      <c r="U477">
        <v>0.11434999999999999</v>
      </c>
      <c r="V477">
        <v>14.54988</v>
      </c>
      <c r="W477" t="s">
        <v>9</v>
      </c>
      <c r="X477">
        <v>140.19</v>
      </c>
      <c r="Y477">
        <v>39.768000000000001</v>
      </c>
      <c r="Z477">
        <v>2.3860000000000001</v>
      </c>
      <c r="AA477">
        <v>2.1179999999999999</v>
      </c>
      <c r="AB477">
        <v>82.585999999999999</v>
      </c>
      <c r="AC477">
        <v>0</v>
      </c>
      <c r="AD477">
        <v>26.98</v>
      </c>
      <c r="AE477">
        <v>12.782999999999999</v>
      </c>
      <c r="AF477">
        <v>6.5129999999999999</v>
      </c>
      <c r="AG477">
        <v>4.63</v>
      </c>
      <c r="AH477">
        <v>317.95400000000001</v>
      </c>
      <c r="AI477" t="s">
        <v>21</v>
      </c>
      <c r="AJ477">
        <v>596.66600000000005</v>
      </c>
      <c r="AK477">
        <v>190.001</v>
      </c>
      <c r="AL477">
        <v>526.66700000000003</v>
      </c>
      <c r="AM477">
        <v>73.332999999999998</v>
      </c>
      <c r="AN477">
        <v>173.333</v>
      </c>
      <c r="AO477">
        <v>0</v>
      </c>
      <c r="AP477">
        <v>3.3330000000000002</v>
      </c>
      <c r="AQ477">
        <v>3.3330000000000002</v>
      </c>
      <c r="AR477">
        <v>10</v>
      </c>
      <c r="AS477">
        <v>156.667</v>
      </c>
      <c r="AT477">
        <v>1733.3330000000001</v>
      </c>
      <c r="AU477" t="s">
        <v>33</v>
      </c>
    </row>
    <row r="478" spans="1:47" x14ac:dyDescent="0.2">
      <c r="A478">
        <v>68</v>
      </c>
      <c r="B478" t="s">
        <v>45</v>
      </c>
      <c r="C478">
        <v>31</v>
      </c>
      <c r="D478" t="s">
        <v>76</v>
      </c>
      <c r="G478" t="str">
        <f t="shared" si="7"/>
        <v>BLU080331BR093</v>
      </c>
      <c r="H478">
        <v>71.141000000000005</v>
      </c>
      <c r="I478">
        <v>-163.417</v>
      </c>
      <c r="J478" s="3">
        <v>20080902</v>
      </c>
      <c r="K478">
        <v>2008</v>
      </c>
      <c r="L478">
        <v>5.4338300000000004</v>
      </c>
      <c r="M478">
        <v>3.84362</v>
      </c>
      <c r="N478">
        <v>0.12293999999999999</v>
      </c>
      <c r="O478">
        <v>2.0943900000000002</v>
      </c>
      <c r="P478">
        <v>0.87660000000000005</v>
      </c>
      <c r="Q478">
        <v>0</v>
      </c>
      <c r="R478">
        <v>0</v>
      </c>
      <c r="S478">
        <v>0</v>
      </c>
      <c r="T478">
        <v>2.018E-2</v>
      </c>
      <c r="U478">
        <v>0.12415</v>
      </c>
      <c r="V478">
        <v>12.51571</v>
      </c>
      <c r="W478" t="s">
        <v>9</v>
      </c>
      <c r="X478">
        <v>77.179000000000002</v>
      </c>
      <c r="Y478">
        <v>212.101</v>
      </c>
      <c r="Z478">
        <v>1.5740000000000001</v>
      </c>
      <c r="AA478">
        <v>46.542000000000002</v>
      </c>
      <c r="AB478">
        <v>62.613999999999997</v>
      </c>
      <c r="AC478">
        <v>0</v>
      </c>
      <c r="AD478">
        <v>0</v>
      </c>
      <c r="AE478">
        <v>0</v>
      </c>
      <c r="AF478">
        <v>0.217</v>
      </c>
      <c r="AG478">
        <v>5.1509999999999998</v>
      </c>
      <c r="AH478">
        <v>405.37799999999999</v>
      </c>
      <c r="AI478" t="s">
        <v>22</v>
      </c>
      <c r="AJ478">
        <v>419.99700000000001</v>
      </c>
      <c r="AK478">
        <v>233.333</v>
      </c>
      <c r="AL478">
        <v>446.66500000000002</v>
      </c>
      <c r="AM478">
        <v>26.667000000000002</v>
      </c>
      <c r="AN478">
        <v>70</v>
      </c>
      <c r="AO478">
        <v>0</v>
      </c>
      <c r="AP478">
        <v>0</v>
      </c>
      <c r="AQ478">
        <v>0</v>
      </c>
      <c r="AR478">
        <v>6.6669999999999998</v>
      </c>
      <c r="AS478">
        <v>46.667000000000002</v>
      </c>
      <c r="AT478">
        <v>1249.9960000000001</v>
      </c>
      <c r="AU478" t="s">
        <v>35</v>
      </c>
    </row>
    <row r="479" spans="1:47" x14ac:dyDescent="0.2">
      <c r="A479">
        <v>69</v>
      </c>
      <c r="B479" t="s">
        <v>45</v>
      </c>
      <c r="C479">
        <v>32</v>
      </c>
      <c r="D479" t="s">
        <v>77</v>
      </c>
      <c r="G479" t="str">
        <f t="shared" si="7"/>
        <v>BLU080332BR098</v>
      </c>
      <c r="H479">
        <v>71.133700000000005</v>
      </c>
      <c r="I479">
        <v>-162.6474</v>
      </c>
      <c r="J479" s="3">
        <v>20080903</v>
      </c>
      <c r="K479">
        <v>2008</v>
      </c>
      <c r="L479">
        <v>5.4160700000000004</v>
      </c>
      <c r="M479">
        <v>3.3102800000000001</v>
      </c>
      <c r="N479">
        <v>0.27637</v>
      </c>
      <c r="O479">
        <v>0.25457000000000002</v>
      </c>
      <c r="P479">
        <v>1.44418</v>
      </c>
      <c r="Q479">
        <v>0</v>
      </c>
      <c r="R479">
        <v>2.4812599999999998</v>
      </c>
      <c r="S479">
        <v>0</v>
      </c>
      <c r="T479">
        <v>6.5100000000000002E-3</v>
      </c>
      <c r="U479">
        <v>3.3161999999999998</v>
      </c>
      <c r="V479">
        <v>16.50544</v>
      </c>
      <c r="W479" t="s">
        <v>9</v>
      </c>
      <c r="X479">
        <v>77.760999999999996</v>
      </c>
      <c r="Y479">
        <v>180.73500000000001</v>
      </c>
      <c r="Z479">
        <v>3.621</v>
      </c>
      <c r="AA479">
        <v>5.657</v>
      </c>
      <c r="AB479">
        <v>103.15600000000001</v>
      </c>
      <c r="AC479">
        <v>0</v>
      </c>
      <c r="AD479">
        <v>57.527000000000001</v>
      </c>
      <c r="AE479">
        <v>0</v>
      </c>
      <c r="AF479">
        <v>7.0000000000000007E-2</v>
      </c>
      <c r="AG479">
        <v>137.43100000000001</v>
      </c>
      <c r="AH479">
        <v>565.95799999999997</v>
      </c>
      <c r="AI479" t="s">
        <v>22</v>
      </c>
      <c r="AJ479">
        <v>633.33199999999999</v>
      </c>
      <c r="AK479">
        <v>263.33199999999999</v>
      </c>
      <c r="AL479">
        <v>519.99900000000002</v>
      </c>
      <c r="AM479">
        <v>56.667000000000002</v>
      </c>
      <c r="AN479">
        <v>213.333</v>
      </c>
      <c r="AO479">
        <v>0</v>
      </c>
      <c r="AP479">
        <v>36.665999999999997</v>
      </c>
      <c r="AQ479">
        <v>0</v>
      </c>
      <c r="AR479">
        <v>6.6669999999999998</v>
      </c>
      <c r="AS479">
        <v>160</v>
      </c>
      <c r="AT479">
        <v>1889.9960000000001</v>
      </c>
      <c r="AU479" t="s">
        <v>33</v>
      </c>
    </row>
    <row r="480" spans="1:47" x14ac:dyDescent="0.2">
      <c r="A480">
        <v>70</v>
      </c>
      <c r="B480" t="s">
        <v>45</v>
      </c>
      <c r="C480">
        <v>33</v>
      </c>
      <c r="D480" t="s">
        <v>78</v>
      </c>
      <c r="G480" t="str">
        <f t="shared" si="7"/>
        <v>BLU080333BR099</v>
      </c>
      <c r="H480">
        <v>71.132099999999994</v>
      </c>
      <c r="I480">
        <v>-162.49369999999999</v>
      </c>
      <c r="J480" s="3">
        <v>20080903</v>
      </c>
      <c r="K480">
        <v>2008</v>
      </c>
      <c r="L480">
        <v>4.9815100000000001</v>
      </c>
      <c r="M480">
        <v>5.8341000000000003</v>
      </c>
      <c r="N480">
        <v>0.30880000000000002</v>
      </c>
      <c r="O480">
        <v>0.14593999999999999</v>
      </c>
      <c r="P480">
        <v>1.3873599999999999</v>
      </c>
      <c r="Q480">
        <v>0</v>
      </c>
      <c r="R480">
        <v>1.5170999999999999</v>
      </c>
      <c r="S480">
        <v>8.4000000000000003E-4</v>
      </c>
      <c r="T480">
        <v>2.1669999999999998E-2</v>
      </c>
      <c r="U480">
        <v>3.7209300000000001</v>
      </c>
      <c r="V480">
        <v>17.91825</v>
      </c>
      <c r="W480" t="s">
        <v>10</v>
      </c>
      <c r="X480">
        <v>69.177000000000007</v>
      </c>
      <c r="Y480">
        <v>293.245</v>
      </c>
      <c r="Z480">
        <v>4.1920000000000002</v>
      </c>
      <c r="AA480">
        <v>3.2429999999999999</v>
      </c>
      <c r="AB480">
        <v>99.096999999999994</v>
      </c>
      <c r="AC480">
        <v>0</v>
      </c>
      <c r="AD480">
        <v>33.476999999999997</v>
      </c>
      <c r="AE480">
        <v>0.06</v>
      </c>
      <c r="AF480">
        <v>0.23300000000000001</v>
      </c>
      <c r="AG480">
        <v>161.44300000000001</v>
      </c>
      <c r="AH480">
        <v>664.16700000000003</v>
      </c>
      <c r="AI480" t="s">
        <v>22</v>
      </c>
      <c r="AJ480">
        <v>563.33199999999999</v>
      </c>
      <c r="AK480">
        <v>230.001</v>
      </c>
      <c r="AL480">
        <v>1173.3330000000001</v>
      </c>
      <c r="AM480">
        <v>30</v>
      </c>
      <c r="AN480">
        <v>343.33300000000003</v>
      </c>
      <c r="AO480">
        <v>0</v>
      </c>
      <c r="AP480">
        <v>16.667000000000002</v>
      </c>
      <c r="AQ480">
        <v>10</v>
      </c>
      <c r="AR480">
        <v>16.667000000000002</v>
      </c>
      <c r="AS480">
        <v>120.001</v>
      </c>
      <c r="AT480">
        <v>2503.3339999999998</v>
      </c>
      <c r="AU480" t="s">
        <v>35</v>
      </c>
    </row>
    <row r="481" spans="1:47" x14ac:dyDescent="0.2">
      <c r="A481">
        <v>71</v>
      </c>
      <c r="B481" t="s">
        <v>45</v>
      </c>
      <c r="C481">
        <v>34</v>
      </c>
      <c r="D481" t="s">
        <v>79</v>
      </c>
      <c r="G481" t="str">
        <f t="shared" si="7"/>
        <v>BLU080334BR100</v>
      </c>
      <c r="H481">
        <v>71.129000000000005</v>
      </c>
      <c r="I481">
        <v>-162.339</v>
      </c>
      <c r="J481" s="3">
        <v>20080903</v>
      </c>
      <c r="K481">
        <v>2008</v>
      </c>
      <c r="L481">
        <v>7.4714600000000004</v>
      </c>
      <c r="M481">
        <v>2.1380699999999999</v>
      </c>
      <c r="N481">
        <v>0.27668999999999999</v>
      </c>
      <c r="O481">
        <v>6.3769999999999993E-2</v>
      </c>
      <c r="P481">
        <v>1.3288500000000001</v>
      </c>
      <c r="Q481">
        <v>0</v>
      </c>
      <c r="R481">
        <v>1.07396</v>
      </c>
      <c r="S481">
        <v>1.2500000000000001E-2</v>
      </c>
      <c r="T481">
        <v>0.13084999999999999</v>
      </c>
      <c r="U481">
        <v>1.9824299999999999</v>
      </c>
      <c r="V481">
        <v>14.478579999999999</v>
      </c>
      <c r="W481" t="s">
        <v>9</v>
      </c>
      <c r="X481">
        <v>106.673</v>
      </c>
      <c r="Y481">
        <v>99.231999999999999</v>
      </c>
      <c r="Z481">
        <v>3.7770000000000001</v>
      </c>
      <c r="AA481">
        <v>1.417</v>
      </c>
      <c r="AB481">
        <v>94.918000000000006</v>
      </c>
      <c r="AC481">
        <v>0</v>
      </c>
      <c r="AD481">
        <v>17.606000000000002</v>
      </c>
      <c r="AE481">
        <v>0.89300000000000002</v>
      </c>
      <c r="AF481">
        <v>1.407</v>
      </c>
      <c r="AG481">
        <v>84.483999999999995</v>
      </c>
      <c r="AH481">
        <v>410.40699999999998</v>
      </c>
      <c r="AI481" t="s">
        <v>21</v>
      </c>
      <c r="AJ481">
        <v>663.33100000000002</v>
      </c>
      <c r="AK481">
        <v>220</v>
      </c>
      <c r="AL481">
        <v>786.66700000000003</v>
      </c>
      <c r="AM481">
        <v>23.334</v>
      </c>
      <c r="AN481">
        <v>226.667</v>
      </c>
      <c r="AO481">
        <v>0</v>
      </c>
      <c r="AP481">
        <v>3.3330000000000002</v>
      </c>
      <c r="AQ481">
        <v>6.6669999999999998</v>
      </c>
      <c r="AR481">
        <v>10</v>
      </c>
      <c r="AS481">
        <v>83.332999999999998</v>
      </c>
      <c r="AT481">
        <v>2023.3320000000001</v>
      </c>
      <c r="AU481" t="s">
        <v>35</v>
      </c>
    </row>
    <row r="482" spans="1:47" x14ac:dyDescent="0.2">
      <c r="A482">
        <v>72</v>
      </c>
      <c r="B482" t="s">
        <v>45</v>
      </c>
      <c r="C482">
        <v>35</v>
      </c>
      <c r="D482" t="s">
        <v>80</v>
      </c>
      <c r="G482" t="str">
        <f t="shared" si="7"/>
        <v>BLU080335KD001</v>
      </c>
      <c r="H482">
        <v>70.713999999999999</v>
      </c>
      <c r="I482">
        <v>-165.25299999999999</v>
      </c>
      <c r="J482" s="3">
        <v>20080901</v>
      </c>
      <c r="K482">
        <v>2008</v>
      </c>
      <c r="L482">
        <v>4.2591999999999999</v>
      </c>
      <c r="M482">
        <v>0.55479000000000001</v>
      </c>
      <c r="N482">
        <v>5.7110000000000001E-2</v>
      </c>
      <c r="O482">
        <v>4.7728400000000004</v>
      </c>
      <c r="P482">
        <v>1.7000000000000001E-4</v>
      </c>
      <c r="Q482">
        <v>0</v>
      </c>
      <c r="R482">
        <v>0</v>
      </c>
      <c r="S482">
        <v>1E-4</v>
      </c>
      <c r="T482">
        <v>4.0000000000000001E-3</v>
      </c>
      <c r="U482">
        <v>3.8E-3</v>
      </c>
      <c r="V482">
        <v>9.6520100000000006</v>
      </c>
      <c r="W482" t="s">
        <v>12</v>
      </c>
      <c r="X482">
        <v>61.646999999999998</v>
      </c>
      <c r="Y482">
        <v>19.059000000000001</v>
      </c>
      <c r="Z482">
        <v>0.76</v>
      </c>
      <c r="AA482">
        <v>106.063</v>
      </c>
      <c r="AB482">
        <v>1.2E-2</v>
      </c>
      <c r="AC482">
        <v>0</v>
      </c>
      <c r="AD482">
        <v>0</v>
      </c>
      <c r="AE482">
        <v>7.0000000000000001E-3</v>
      </c>
      <c r="AF482">
        <v>4.2999999999999997E-2</v>
      </c>
      <c r="AG482">
        <v>6.8000000000000005E-2</v>
      </c>
      <c r="AH482">
        <v>187.65899999999999</v>
      </c>
      <c r="AI482" t="s">
        <v>24</v>
      </c>
      <c r="AJ482">
        <v>236.667</v>
      </c>
      <c r="AK482">
        <v>146.66499999999999</v>
      </c>
      <c r="AL482">
        <v>46.665999999999997</v>
      </c>
      <c r="AM482">
        <v>6.6669999999999998</v>
      </c>
      <c r="AN482">
        <v>6.6660000000000004</v>
      </c>
      <c r="AO482">
        <v>0</v>
      </c>
      <c r="AP482">
        <v>0</v>
      </c>
      <c r="AQ482">
        <v>3.3330000000000002</v>
      </c>
      <c r="AR482">
        <v>0</v>
      </c>
      <c r="AS482">
        <v>23.332999999999998</v>
      </c>
      <c r="AT482">
        <v>469.99700000000001</v>
      </c>
      <c r="AU482" t="s">
        <v>33</v>
      </c>
    </row>
    <row r="483" spans="1:47" x14ac:dyDescent="0.2">
      <c r="A483">
        <v>73</v>
      </c>
      <c r="B483" t="s">
        <v>45</v>
      </c>
      <c r="C483">
        <v>36</v>
      </c>
      <c r="D483" t="s">
        <v>81</v>
      </c>
      <c r="G483" t="str">
        <f t="shared" si="7"/>
        <v>BLU080336KD002</v>
      </c>
      <c r="H483">
        <v>70.709999999999994</v>
      </c>
      <c r="I483">
        <v>-165.26599999999999</v>
      </c>
      <c r="J483" s="3">
        <v>20080901</v>
      </c>
      <c r="K483">
        <v>2008</v>
      </c>
      <c r="L483">
        <v>1.99169</v>
      </c>
      <c r="M483">
        <v>0.52463000000000004</v>
      </c>
      <c r="N483">
        <v>4.7500000000000001E-2</v>
      </c>
      <c r="O483">
        <v>0.56115000000000004</v>
      </c>
      <c r="P483">
        <v>4.0000000000000003E-5</v>
      </c>
      <c r="Q483">
        <v>0</v>
      </c>
      <c r="R483">
        <v>0</v>
      </c>
      <c r="S483">
        <v>0</v>
      </c>
      <c r="T483">
        <v>2.7999999999999998E-4</v>
      </c>
      <c r="U483">
        <v>7.0400000000000003E-3</v>
      </c>
      <c r="V483">
        <v>3.1323300000000001</v>
      </c>
      <c r="W483" t="s">
        <v>9</v>
      </c>
      <c r="X483">
        <v>28.818999999999999</v>
      </c>
      <c r="Y483">
        <v>22.381</v>
      </c>
      <c r="Z483">
        <v>0.64700000000000002</v>
      </c>
      <c r="AA483">
        <v>12.47</v>
      </c>
      <c r="AB483">
        <v>3.0000000000000001E-3</v>
      </c>
      <c r="AC483">
        <v>0</v>
      </c>
      <c r="AD483">
        <v>0</v>
      </c>
      <c r="AE483">
        <v>0</v>
      </c>
      <c r="AF483">
        <v>3.0000000000000001E-3</v>
      </c>
      <c r="AG483">
        <v>0.14599999999999999</v>
      </c>
      <c r="AH483">
        <v>64.468999999999994</v>
      </c>
      <c r="AI483" t="s">
        <v>21</v>
      </c>
      <c r="AJ483">
        <v>293.33300000000003</v>
      </c>
      <c r="AK483">
        <v>146.666</v>
      </c>
      <c r="AL483">
        <v>70</v>
      </c>
      <c r="AM483">
        <v>6.6669999999999998</v>
      </c>
      <c r="AN483">
        <v>3.3330000000000002</v>
      </c>
      <c r="AO483">
        <v>0</v>
      </c>
      <c r="AP483">
        <v>0</v>
      </c>
      <c r="AQ483">
        <v>0</v>
      </c>
      <c r="AR483">
        <v>3.3330000000000002</v>
      </c>
      <c r="AS483">
        <v>26.667000000000002</v>
      </c>
      <c r="AT483">
        <v>549.99900000000002</v>
      </c>
      <c r="AU483" t="s">
        <v>33</v>
      </c>
    </row>
    <row r="484" spans="1:47" x14ac:dyDescent="0.2">
      <c r="A484">
        <v>74</v>
      </c>
      <c r="B484" t="s">
        <v>45</v>
      </c>
      <c r="C484">
        <v>37</v>
      </c>
      <c r="D484" t="s">
        <v>82</v>
      </c>
      <c r="G484" t="str">
        <f t="shared" si="7"/>
        <v>BLU080337KD003</v>
      </c>
      <c r="H484">
        <v>70.704999999999998</v>
      </c>
      <c r="I484">
        <v>-165.25200000000001</v>
      </c>
      <c r="J484" s="3">
        <v>20080901</v>
      </c>
      <c r="K484">
        <v>2008</v>
      </c>
      <c r="L484">
        <v>3.0728599999999999</v>
      </c>
      <c r="M484">
        <v>1.02016</v>
      </c>
      <c r="N484">
        <v>2.341E-2</v>
      </c>
      <c r="O484">
        <v>8.3011499999999998</v>
      </c>
      <c r="P484">
        <v>2.2000000000000001E-4</v>
      </c>
      <c r="Q484">
        <v>0</v>
      </c>
      <c r="R484">
        <v>0</v>
      </c>
      <c r="S484">
        <v>0</v>
      </c>
      <c r="T484">
        <v>0.18814</v>
      </c>
      <c r="U484">
        <v>2.2669999999999999E-2</v>
      </c>
      <c r="V484">
        <v>12.62861</v>
      </c>
      <c r="W484" t="s">
        <v>12</v>
      </c>
      <c r="X484">
        <v>45.402999999999999</v>
      </c>
      <c r="Y484">
        <v>33.35</v>
      </c>
      <c r="Z484">
        <v>0.33200000000000002</v>
      </c>
      <c r="AA484">
        <v>184.47</v>
      </c>
      <c r="AB484">
        <v>1.6E-2</v>
      </c>
      <c r="AC484">
        <v>0</v>
      </c>
      <c r="AD484">
        <v>0</v>
      </c>
      <c r="AE484">
        <v>0</v>
      </c>
      <c r="AF484">
        <v>2.0230000000000001</v>
      </c>
      <c r="AG484">
        <v>0.72799999999999998</v>
      </c>
      <c r="AH484">
        <v>266.322</v>
      </c>
      <c r="AI484" t="s">
        <v>24</v>
      </c>
      <c r="AJ484">
        <v>466.666</v>
      </c>
      <c r="AK484">
        <v>189.999</v>
      </c>
      <c r="AL484">
        <v>43.332000000000001</v>
      </c>
      <c r="AM484">
        <v>13.333</v>
      </c>
      <c r="AN484">
        <v>6.6660000000000004</v>
      </c>
      <c r="AO484">
        <v>0</v>
      </c>
      <c r="AP484">
        <v>0</v>
      </c>
      <c r="AQ484">
        <v>0</v>
      </c>
      <c r="AR484">
        <v>6.6669999999999998</v>
      </c>
      <c r="AS484">
        <v>16.666</v>
      </c>
      <c r="AT484">
        <v>743.32899999999995</v>
      </c>
      <c r="AU484" t="s">
        <v>33</v>
      </c>
    </row>
    <row r="485" spans="1:47" x14ac:dyDescent="0.2">
      <c r="A485">
        <v>75</v>
      </c>
      <c r="B485" t="s">
        <v>45</v>
      </c>
      <c r="C485">
        <v>38</v>
      </c>
      <c r="D485" t="s">
        <v>83</v>
      </c>
      <c r="G485" t="str">
        <f t="shared" si="7"/>
        <v>BLU080338KD004</v>
      </c>
      <c r="H485">
        <v>70.709999999999994</v>
      </c>
      <c r="I485">
        <v>-165.24</v>
      </c>
      <c r="J485" s="3">
        <v>20080901</v>
      </c>
      <c r="K485">
        <v>2008</v>
      </c>
      <c r="L485">
        <v>2.9424800000000002</v>
      </c>
      <c r="M485">
        <v>0.91561000000000003</v>
      </c>
      <c r="N485">
        <v>2.7969999999999998E-2</v>
      </c>
      <c r="O485">
        <v>0</v>
      </c>
      <c r="P485">
        <v>4.1680000000000002E-2</v>
      </c>
      <c r="Q485">
        <v>0</v>
      </c>
      <c r="R485">
        <v>0</v>
      </c>
      <c r="S485">
        <v>0</v>
      </c>
      <c r="T485">
        <v>2.7999999999999998E-4</v>
      </c>
      <c r="U485">
        <v>0.01</v>
      </c>
      <c r="V485">
        <v>3.9380199999999999</v>
      </c>
      <c r="W485" t="s">
        <v>9</v>
      </c>
      <c r="X485">
        <v>41.988999999999997</v>
      </c>
      <c r="Y485">
        <v>33.279000000000003</v>
      </c>
      <c r="Z485">
        <v>0.36799999999999999</v>
      </c>
      <c r="AA485">
        <v>0</v>
      </c>
      <c r="AB485">
        <v>2.9769999999999999</v>
      </c>
      <c r="AC485">
        <v>0</v>
      </c>
      <c r="AD485">
        <v>0</v>
      </c>
      <c r="AE485">
        <v>0</v>
      </c>
      <c r="AF485">
        <v>3.0000000000000001E-3</v>
      </c>
      <c r="AG485">
        <v>0.33</v>
      </c>
      <c r="AH485">
        <v>78.945999999999998</v>
      </c>
      <c r="AI485" t="s">
        <v>21</v>
      </c>
      <c r="AJ485">
        <v>196.667</v>
      </c>
      <c r="AK485">
        <v>166.666</v>
      </c>
      <c r="AL485">
        <v>29.998999999999999</v>
      </c>
      <c r="AM485">
        <v>0</v>
      </c>
      <c r="AN485">
        <v>6.6669999999999998</v>
      </c>
      <c r="AO485">
        <v>0</v>
      </c>
      <c r="AP485">
        <v>0</v>
      </c>
      <c r="AQ485">
        <v>0</v>
      </c>
      <c r="AR485">
        <v>6.6669999999999998</v>
      </c>
      <c r="AS485">
        <v>6.6660000000000004</v>
      </c>
      <c r="AT485">
        <v>413.33199999999999</v>
      </c>
      <c r="AU485" t="s">
        <v>33</v>
      </c>
    </row>
    <row r="486" spans="1:47" x14ac:dyDescent="0.2">
      <c r="A486">
        <v>76</v>
      </c>
      <c r="B486" t="s">
        <v>45</v>
      </c>
      <c r="C486">
        <v>39</v>
      </c>
      <c r="D486" t="s">
        <v>84</v>
      </c>
      <c r="G486" t="str">
        <f t="shared" si="7"/>
        <v>BLU080339KD005</v>
      </c>
      <c r="H486">
        <v>70.709999999999994</v>
      </c>
      <c r="I486">
        <v>-165.25399999999999</v>
      </c>
      <c r="J486" s="3">
        <v>20080901</v>
      </c>
      <c r="K486">
        <v>2008</v>
      </c>
      <c r="L486">
        <v>2.1789800000000001</v>
      </c>
      <c r="M486">
        <v>0.99777000000000005</v>
      </c>
      <c r="N486">
        <v>0.18515999999999999</v>
      </c>
      <c r="O486">
        <v>0</v>
      </c>
      <c r="P486">
        <v>0.3569</v>
      </c>
      <c r="Q486">
        <v>0</v>
      </c>
      <c r="R486">
        <v>0</v>
      </c>
      <c r="S486">
        <v>1E-4</v>
      </c>
      <c r="T486">
        <v>1.8600000000000001E-3</v>
      </c>
      <c r="U486">
        <v>2.5069999999999999E-2</v>
      </c>
      <c r="V486">
        <v>3.7458399999999998</v>
      </c>
      <c r="W486" t="s">
        <v>9</v>
      </c>
      <c r="X486">
        <v>32.536000000000001</v>
      </c>
      <c r="Y486">
        <v>36.954999999999998</v>
      </c>
      <c r="Z486">
        <v>2.669</v>
      </c>
      <c r="AA486">
        <v>0</v>
      </c>
      <c r="AB486">
        <v>25.492999999999999</v>
      </c>
      <c r="AC486">
        <v>0</v>
      </c>
      <c r="AD486">
        <v>0</v>
      </c>
      <c r="AE486">
        <v>7.0000000000000001E-3</v>
      </c>
      <c r="AF486">
        <v>0.02</v>
      </c>
      <c r="AG486">
        <v>0.79700000000000004</v>
      </c>
      <c r="AH486">
        <v>98.477000000000004</v>
      </c>
      <c r="AI486" t="s">
        <v>22</v>
      </c>
      <c r="AJ486">
        <v>276.666</v>
      </c>
      <c r="AK486">
        <v>140</v>
      </c>
      <c r="AL486">
        <v>99.998999999999995</v>
      </c>
      <c r="AM486">
        <v>0</v>
      </c>
      <c r="AN486">
        <v>10</v>
      </c>
      <c r="AO486">
        <v>0</v>
      </c>
      <c r="AP486">
        <v>0</v>
      </c>
      <c r="AQ486">
        <v>3.3330000000000002</v>
      </c>
      <c r="AR486">
        <v>6.6669999999999998</v>
      </c>
      <c r="AS486">
        <v>19.998999999999999</v>
      </c>
      <c r="AT486">
        <v>556.66399999999999</v>
      </c>
      <c r="AU486" t="s">
        <v>33</v>
      </c>
    </row>
    <row r="487" spans="1:47" x14ac:dyDescent="0.2">
      <c r="A487">
        <v>77</v>
      </c>
      <c r="B487" t="s">
        <v>45</v>
      </c>
      <c r="C487">
        <v>40</v>
      </c>
      <c r="D487" t="s">
        <v>85</v>
      </c>
      <c r="G487" t="str">
        <f t="shared" si="7"/>
        <v>BLU080340KF001</v>
      </c>
      <c r="H487">
        <v>70.647999999999996</v>
      </c>
      <c r="I487">
        <v>-166.001</v>
      </c>
      <c r="J487" s="3">
        <v>20080821</v>
      </c>
      <c r="K487">
        <v>2008</v>
      </c>
      <c r="L487">
        <v>3.7258100000000001</v>
      </c>
      <c r="M487">
        <v>2.7294399999999999</v>
      </c>
      <c r="N487">
        <v>0.14257</v>
      </c>
      <c r="O487">
        <v>1.6279699999999999</v>
      </c>
      <c r="P487">
        <v>6.4000000000000005E-4</v>
      </c>
      <c r="Q487">
        <v>0</v>
      </c>
      <c r="R487">
        <v>0.68452000000000002</v>
      </c>
      <c r="S487">
        <v>1.8000000000000001E-4</v>
      </c>
      <c r="T487">
        <v>0.54247000000000001</v>
      </c>
      <c r="U487">
        <v>0.34700999999999999</v>
      </c>
      <c r="V487">
        <v>9.8006100000000007</v>
      </c>
      <c r="W487" t="s">
        <v>9</v>
      </c>
      <c r="X487">
        <v>55.781999999999996</v>
      </c>
      <c r="Y487">
        <v>85.747</v>
      </c>
      <c r="Z487">
        <v>1.9890000000000001</v>
      </c>
      <c r="AA487">
        <v>36.177</v>
      </c>
      <c r="AB487">
        <v>4.5999999999999999E-2</v>
      </c>
      <c r="AC487">
        <v>0</v>
      </c>
      <c r="AD487">
        <v>17.113</v>
      </c>
      <c r="AE487">
        <v>1.2999999999999999E-2</v>
      </c>
      <c r="AF487">
        <v>5.8330000000000002</v>
      </c>
      <c r="AG487">
        <v>16.844000000000001</v>
      </c>
      <c r="AH487">
        <v>219.54400000000001</v>
      </c>
      <c r="AI487" t="s">
        <v>22</v>
      </c>
      <c r="AJ487">
        <v>813.33299999999997</v>
      </c>
      <c r="AK487">
        <v>193.333</v>
      </c>
      <c r="AL487">
        <v>90</v>
      </c>
      <c r="AM487">
        <v>43.334000000000003</v>
      </c>
      <c r="AN487">
        <v>13.333</v>
      </c>
      <c r="AO487">
        <v>0</v>
      </c>
      <c r="AP487">
        <v>6.6669999999999998</v>
      </c>
      <c r="AQ487">
        <v>3.3330000000000002</v>
      </c>
      <c r="AR487">
        <v>13.333</v>
      </c>
      <c r="AS487">
        <v>43.332999999999998</v>
      </c>
      <c r="AT487">
        <v>1219.999</v>
      </c>
      <c r="AU487" t="s">
        <v>33</v>
      </c>
    </row>
    <row r="488" spans="1:47" x14ac:dyDescent="0.2">
      <c r="A488">
        <v>78</v>
      </c>
      <c r="B488" t="s">
        <v>45</v>
      </c>
      <c r="C488">
        <v>41</v>
      </c>
      <c r="D488" t="s">
        <v>86</v>
      </c>
      <c r="G488" t="str">
        <f t="shared" si="7"/>
        <v>BLU080341KF003</v>
      </c>
      <c r="H488">
        <v>70.649000000000001</v>
      </c>
      <c r="I488">
        <v>-165.251</v>
      </c>
      <c r="J488" s="3">
        <v>20080829</v>
      </c>
      <c r="K488">
        <v>2008</v>
      </c>
      <c r="L488">
        <v>3.8119499999999999</v>
      </c>
      <c r="M488">
        <v>0.18962999999999999</v>
      </c>
      <c r="N488">
        <v>0.89205000000000001</v>
      </c>
      <c r="O488">
        <v>1.2199999999999999E-3</v>
      </c>
      <c r="P488">
        <v>4.2000000000000002E-4</v>
      </c>
      <c r="Q488">
        <v>0</v>
      </c>
      <c r="R488">
        <v>0</v>
      </c>
      <c r="S488">
        <v>1.73E-3</v>
      </c>
      <c r="T488">
        <v>0</v>
      </c>
      <c r="U488">
        <v>0.10360999999999999</v>
      </c>
      <c r="V488">
        <v>5.00061</v>
      </c>
      <c r="W488" t="s">
        <v>9</v>
      </c>
      <c r="X488">
        <v>56.563000000000002</v>
      </c>
      <c r="Y488">
        <v>7.641</v>
      </c>
      <c r="Z488">
        <v>12.053000000000001</v>
      </c>
      <c r="AA488">
        <v>2.7E-2</v>
      </c>
      <c r="AB488">
        <v>0.03</v>
      </c>
      <c r="AC488">
        <v>0</v>
      </c>
      <c r="AD488">
        <v>0</v>
      </c>
      <c r="AE488">
        <v>0.06</v>
      </c>
      <c r="AF488">
        <v>0</v>
      </c>
      <c r="AG488">
        <v>5.3929999999999998</v>
      </c>
      <c r="AH488">
        <v>81.766999999999996</v>
      </c>
      <c r="AI488" t="s">
        <v>21</v>
      </c>
      <c r="AJ488">
        <v>290</v>
      </c>
      <c r="AK488">
        <v>116.666</v>
      </c>
      <c r="AL488">
        <v>96.665999999999997</v>
      </c>
      <c r="AM488">
        <v>3.3330000000000002</v>
      </c>
      <c r="AN488">
        <v>6.6660000000000004</v>
      </c>
      <c r="AO488">
        <v>0</v>
      </c>
      <c r="AP488">
        <v>0</v>
      </c>
      <c r="AQ488">
        <v>23.334</v>
      </c>
      <c r="AR488">
        <v>0</v>
      </c>
      <c r="AS488">
        <v>49.999000000000002</v>
      </c>
      <c r="AT488">
        <v>586.66399999999999</v>
      </c>
      <c r="AU488" t="s">
        <v>33</v>
      </c>
    </row>
    <row r="489" spans="1:47" x14ac:dyDescent="0.2">
      <c r="A489">
        <v>79</v>
      </c>
      <c r="B489" t="s">
        <v>45</v>
      </c>
      <c r="C489">
        <v>42</v>
      </c>
      <c r="D489" t="s">
        <v>87</v>
      </c>
      <c r="G489" t="str">
        <f t="shared" si="7"/>
        <v>BLU080342KF005</v>
      </c>
      <c r="H489">
        <v>70.647999999999996</v>
      </c>
      <c r="I489">
        <v>-164.5</v>
      </c>
      <c r="J489" s="3">
        <v>20080831</v>
      </c>
      <c r="K489">
        <v>2008</v>
      </c>
      <c r="L489">
        <v>7.5774999999999997</v>
      </c>
      <c r="M489">
        <v>1.89907</v>
      </c>
      <c r="N489">
        <v>0.10849</v>
      </c>
      <c r="O489">
        <v>4.28E-3</v>
      </c>
      <c r="P489">
        <v>1.16E-3</v>
      </c>
      <c r="Q489">
        <v>0</v>
      </c>
      <c r="R489">
        <v>0.61707999999999996</v>
      </c>
      <c r="S489">
        <v>8.3680000000000004E-2</v>
      </c>
      <c r="T489">
        <v>0.59333999999999998</v>
      </c>
      <c r="U489">
        <v>0.13456000000000001</v>
      </c>
      <c r="V489">
        <v>11.019159999999999</v>
      </c>
      <c r="W489" t="s">
        <v>9</v>
      </c>
      <c r="X489">
        <v>110.477</v>
      </c>
      <c r="Y489">
        <v>99.724000000000004</v>
      </c>
      <c r="Z489">
        <v>1.5429999999999999</v>
      </c>
      <c r="AA489">
        <v>9.5000000000000001E-2</v>
      </c>
      <c r="AB489">
        <v>8.3000000000000004E-2</v>
      </c>
      <c r="AC489">
        <v>0</v>
      </c>
      <c r="AD489">
        <v>15.427</v>
      </c>
      <c r="AE489">
        <v>5.9770000000000003</v>
      </c>
      <c r="AF489">
        <v>6.38</v>
      </c>
      <c r="AG489">
        <v>6.9359999999999999</v>
      </c>
      <c r="AH489">
        <v>246.642</v>
      </c>
      <c r="AI489" t="s">
        <v>21</v>
      </c>
      <c r="AJ489">
        <v>456.66699999999997</v>
      </c>
      <c r="AK489">
        <v>206.667</v>
      </c>
      <c r="AL489">
        <v>226.667</v>
      </c>
      <c r="AM489">
        <v>16.667000000000002</v>
      </c>
      <c r="AN489">
        <v>13.333</v>
      </c>
      <c r="AO489">
        <v>0</v>
      </c>
      <c r="AP489">
        <v>3.3330000000000002</v>
      </c>
      <c r="AQ489">
        <v>13.333</v>
      </c>
      <c r="AR489">
        <v>16.667000000000002</v>
      </c>
      <c r="AS489">
        <v>60</v>
      </c>
      <c r="AT489">
        <v>1013.3339999999999</v>
      </c>
      <c r="AU489" t="s">
        <v>33</v>
      </c>
    </row>
    <row r="490" spans="1:47" x14ac:dyDescent="0.2">
      <c r="A490">
        <v>80</v>
      </c>
      <c r="B490" t="s">
        <v>45</v>
      </c>
      <c r="C490">
        <v>43</v>
      </c>
      <c r="D490" t="s">
        <v>88</v>
      </c>
      <c r="G490" t="str">
        <f t="shared" si="7"/>
        <v>BLU080343KF007</v>
      </c>
      <c r="H490">
        <v>70.772000000000006</v>
      </c>
      <c r="I490">
        <v>-165.62899999999999</v>
      </c>
      <c r="J490" s="3">
        <v>20080822</v>
      </c>
      <c r="K490">
        <v>2008</v>
      </c>
      <c r="L490">
        <v>3.8551700000000002</v>
      </c>
      <c r="M490">
        <v>0.89744999999999997</v>
      </c>
      <c r="N490">
        <v>2.4510000000000001E-2</v>
      </c>
      <c r="O490">
        <v>2.7595399999999999</v>
      </c>
      <c r="P490">
        <v>3.5400000000000002E-3</v>
      </c>
      <c r="Q490">
        <v>0</v>
      </c>
      <c r="R490">
        <v>0</v>
      </c>
      <c r="S490">
        <v>0.14116000000000001</v>
      </c>
      <c r="T490">
        <v>2.7529999999999999E-2</v>
      </c>
      <c r="U490">
        <v>0.19117999999999999</v>
      </c>
      <c r="V490">
        <v>7.90008</v>
      </c>
      <c r="W490" t="s">
        <v>9</v>
      </c>
      <c r="X490">
        <v>57.094000000000001</v>
      </c>
      <c r="Y490">
        <v>44.018999999999998</v>
      </c>
      <c r="Z490">
        <v>0.33200000000000002</v>
      </c>
      <c r="AA490">
        <v>61.323</v>
      </c>
      <c r="AB490">
        <v>0.253</v>
      </c>
      <c r="AC490">
        <v>0</v>
      </c>
      <c r="AD490">
        <v>0</v>
      </c>
      <c r="AE490">
        <v>10.083</v>
      </c>
      <c r="AF490">
        <v>0.29599999999999999</v>
      </c>
      <c r="AG490">
        <v>10.366</v>
      </c>
      <c r="AH490">
        <v>183.76599999999999</v>
      </c>
      <c r="AI490" t="s">
        <v>24</v>
      </c>
      <c r="AJ490">
        <v>660</v>
      </c>
      <c r="AK490">
        <v>143.33199999999999</v>
      </c>
      <c r="AL490">
        <v>66.665000000000006</v>
      </c>
      <c r="AM490">
        <v>26.667000000000002</v>
      </c>
      <c r="AN490">
        <v>6.6669999999999998</v>
      </c>
      <c r="AO490">
        <v>0</v>
      </c>
      <c r="AP490">
        <v>0</v>
      </c>
      <c r="AQ490">
        <v>6.6669999999999998</v>
      </c>
      <c r="AR490">
        <v>6.6669999999999998</v>
      </c>
      <c r="AS490">
        <v>90.001000000000005</v>
      </c>
      <c r="AT490">
        <v>1006.6660000000001</v>
      </c>
      <c r="AU490" t="s">
        <v>33</v>
      </c>
    </row>
    <row r="491" spans="1:47" x14ac:dyDescent="0.2">
      <c r="A491">
        <v>81</v>
      </c>
      <c r="B491" t="s">
        <v>45</v>
      </c>
      <c r="C491">
        <v>44</v>
      </c>
      <c r="D491" t="s">
        <v>89</v>
      </c>
      <c r="G491" t="str">
        <f t="shared" si="7"/>
        <v>BLU080344KF009</v>
      </c>
      <c r="H491">
        <v>70.772999999999996</v>
      </c>
      <c r="I491">
        <v>-164.875</v>
      </c>
      <c r="J491" s="3">
        <v>20080824</v>
      </c>
      <c r="K491">
        <v>2008</v>
      </c>
      <c r="L491">
        <v>5.9561000000000002</v>
      </c>
      <c r="M491">
        <v>0.24631</v>
      </c>
      <c r="N491">
        <v>0.15112999999999999</v>
      </c>
      <c r="O491">
        <v>1.17E-2</v>
      </c>
      <c r="P491">
        <v>3.8000000000000002E-4</v>
      </c>
      <c r="Q491">
        <v>0</v>
      </c>
      <c r="R491">
        <v>0</v>
      </c>
      <c r="S491">
        <v>3.0000000000000001E-5</v>
      </c>
      <c r="T491">
        <v>8.2769999999999996E-2</v>
      </c>
      <c r="U491">
        <v>8.5000000000000006E-3</v>
      </c>
      <c r="V491">
        <v>6.4569200000000002</v>
      </c>
      <c r="W491" t="s">
        <v>9</v>
      </c>
      <c r="X491">
        <v>84.305000000000007</v>
      </c>
      <c r="Y491">
        <v>7.2009999999999996</v>
      </c>
      <c r="Z491">
        <v>2.1949999999999998</v>
      </c>
      <c r="AA491">
        <v>0.26</v>
      </c>
      <c r="AB491">
        <v>2.7E-2</v>
      </c>
      <c r="AC491">
        <v>0</v>
      </c>
      <c r="AD491">
        <v>0</v>
      </c>
      <c r="AE491">
        <v>2E-3</v>
      </c>
      <c r="AF491">
        <v>0.89</v>
      </c>
      <c r="AG491">
        <v>0.27600000000000002</v>
      </c>
      <c r="AH491">
        <v>95.156000000000006</v>
      </c>
      <c r="AI491" t="s">
        <v>21</v>
      </c>
      <c r="AJ491">
        <v>426.666</v>
      </c>
      <c r="AK491">
        <v>136.666</v>
      </c>
      <c r="AL491">
        <v>186.66399999999999</v>
      </c>
      <c r="AM491">
        <v>3.3330000000000002</v>
      </c>
      <c r="AN491">
        <v>13.333</v>
      </c>
      <c r="AO491">
        <v>0</v>
      </c>
      <c r="AP491">
        <v>0</v>
      </c>
      <c r="AQ491">
        <v>3.3330000000000002</v>
      </c>
      <c r="AR491">
        <v>6.6669999999999998</v>
      </c>
      <c r="AS491">
        <v>19.998999999999999</v>
      </c>
      <c r="AT491">
        <v>796.66099999999994</v>
      </c>
      <c r="AU491" t="s">
        <v>33</v>
      </c>
    </row>
    <row r="492" spans="1:47" x14ac:dyDescent="0.2">
      <c r="A492">
        <v>82</v>
      </c>
      <c r="B492" t="s">
        <v>45</v>
      </c>
      <c r="C492">
        <v>45</v>
      </c>
      <c r="D492" t="s">
        <v>90</v>
      </c>
      <c r="G492" t="str">
        <f t="shared" si="7"/>
        <v>BLU080345KF011</v>
      </c>
      <c r="H492">
        <v>70.894999999999996</v>
      </c>
      <c r="I492">
        <v>-166.01499999999999</v>
      </c>
      <c r="J492" s="3">
        <v>20080821</v>
      </c>
      <c r="K492">
        <v>2008</v>
      </c>
      <c r="L492">
        <v>7.0239200000000004</v>
      </c>
      <c r="M492">
        <v>0.68481000000000003</v>
      </c>
      <c r="N492">
        <v>3.8969999999999998E-2</v>
      </c>
      <c r="O492">
        <v>8.9999999999999998E-4</v>
      </c>
      <c r="P492">
        <v>0</v>
      </c>
      <c r="Q492">
        <v>0</v>
      </c>
      <c r="R492">
        <v>0</v>
      </c>
      <c r="S492">
        <v>0</v>
      </c>
      <c r="T492">
        <v>4.1570000000000003E-2</v>
      </c>
      <c r="U492">
        <v>2.6620000000000001E-2</v>
      </c>
      <c r="V492">
        <v>7.8167900000000001</v>
      </c>
      <c r="W492" t="s">
        <v>9</v>
      </c>
      <c r="X492">
        <v>99.623000000000005</v>
      </c>
      <c r="Y492">
        <v>31.962</v>
      </c>
      <c r="Z492">
        <v>0.55200000000000005</v>
      </c>
      <c r="AA492">
        <v>0.02</v>
      </c>
      <c r="AB492">
        <v>0</v>
      </c>
      <c r="AC492">
        <v>0</v>
      </c>
      <c r="AD492">
        <v>0</v>
      </c>
      <c r="AE492">
        <v>0</v>
      </c>
      <c r="AF492">
        <v>0.44700000000000001</v>
      </c>
      <c r="AG492">
        <v>0.88</v>
      </c>
      <c r="AH492">
        <v>133.48400000000001</v>
      </c>
      <c r="AI492" t="s">
        <v>21</v>
      </c>
      <c r="AJ492">
        <v>156.666</v>
      </c>
      <c r="AK492">
        <v>96.665000000000006</v>
      </c>
      <c r="AL492">
        <v>40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3.3330000000000002</v>
      </c>
      <c r="AS492">
        <v>6.6660000000000004</v>
      </c>
      <c r="AT492">
        <v>303.33</v>
      </c>
      <c r="AU492" t="s">
        <v>33</v>
      </c>
    </row>
    <row r="493" spans="1:47" x14ac:dyDescent="0.2">
      <c r="A493">
        <v>83</v>
      </c>
      <c r="B493" t="s">
        <v>45</v>
      </c>
      <c r="C493">
        <v>46</v>
      </c>
      <c r="D493" t="s">
        <v>91</v>
      </c>
      <c r="G493" t="str">
        <f t="shared" si="7"/>
        <v>BLU080346KF013</v>
      </c>
      <c r="H493">
        <v>70.897000000000006</v>
      </c>
      <c r="I493">
        <v>-165.255</v>
      </c>
      <c r="J493" s="3">
        <v>20080823</v>
      </c>
      <c r="K493">
        <v>2008</v>
      </c>
      <c r="L493">
        <v>37.909370000000003</v>
      </c>
      <c r="M493">
        <v>3.3981499999999998</v>
      </c>
      <c r="N493">
        <v>0.14515</v>
      </c>
      <c r="O493">
        <v>0</v>
      </c>
      <c r="P493">
        <v>0</v>
      </c>
      <c r="Q493">
        <v>0</v>
      </c>
      <c r="R493">
        <v>0</v>
      </c>
      <c r="S493">
        <v>0.12166</v>
      </c>
      <c r="T493">
        <v>2.418E-2</v>
      </c>
      <c r="U493">
        <v>2.8600000000000001E-3</v>
      </c>
      <c r="V493">
        <v>41.601370000000003</v>
      </c>
      <c r="W493" t="s">
        <v>9</v>
      </c>
      <c r="X493">
        <v>547.67999999999995</v>
      </c>
      <c r="Y493">
        <v>100.384</v>
      </c>
      <c r="Z493">
        <v>2.1070000000000002</v>
      </c>
      <c r="AA493">
        <v>0</v>
      </c>
      <c r="AB493">
        <v>0</v>
      </c>
      <c r="AC493">
        <v>0</v>
      </c>
      <c r="AD493">
        <v>0</v>
      </c>
      <c r="AE493">
        <v>8.69</v>
      </c>
      <c r="AF493">
        <v>0.26</v>
      </c>
      <c r="AG493">
        <v>0.13900000000000001</v>
      </c>
      <c r="AH493">
        <v>659.26</v>
      </c>
      <c r="AI493" t="s">
        <v>21</v>
      </c>
      <c r="AJ493">
        <v>376.66500000000002</v>
      </c>
      <c r="AK493">
        <v>193.334</v>
      </c>
      <c r="AL493">
        <v>116.666</v>
      </c>
      <c r="AM493">
        <v>0</v>
      </c>
      <c r="AN493">
        <v>0</v>
      </c>
      <c r="AO493">
        <v>0</v>
      </c>
      <c r="AP493">
        <v>0</v>
      </c>
      <c r="AQ493">
        <v>6.6669999999999998</v>
      </c>
      <c r="AR493">
        <v>13.333</v>
      </c>
      <c r="AS493">
        <v>20</v>
      </c>
      <c r="AT493">
        <v>726.66499999999996</v>
      </c>
      <c r="AU493" t="s">
        <v>33</v>
      </c>
    </row>
    <row r="494" spans="1:47" x14ac:dyDescent="0.2">
      <c r="A494">
        <v>84</v>
      </c>
      <c r="B494" t="s">
        <v>45</v>
      </c>
      <c r="C494">
        <v>47</v>
      </c>
      <c r="D494" t="s">
        <v>92</v>
      </c>
      <c r="G494" t="str">
        <f t="shared" si="7"/>
        <v>BLU080347KF015</v>
      </c>
      <c r="H494">
        <v>70.897000000000006</v>
      </c>
      <c r="I494">
        <v>-164.49600000000001</v>
      </c>
      <c r="J494" s="3">
        <v>20080831</v>
      </c>
      <c r="K494">
        <v>2008</v>
      </c>
      <c r="L494">
        <v>1.2272400000000001</v>
      </c>
      <c r="M494">
        <v>0.46422999999999998</v>
      </c>
      <c r="N494">
        <v>5.4100000000000002E-2</v>
      </c>
      <c r="O494">
        <v>0</v>
      </c>
      <c r="P494">
        <v>3.952E-2</v>
      </c>
      <c r="Q494">
        <v>0</v>
      </c>
      <c r="R494">
        <v>1.5859999999999999E-2</v>
      </c>
      <c r="S494">
        <v>0</v>
      </c>
      <c r="T494">
        <v>4.0000000000000001E-3</v>
      </c>
      <c r="U494">
        <v>4.8619999999999997E-2</v>
      </c>
      <c r="V494">
        <v>1.8535699999999999</v>
      </c>
      <c r="W494" t="s">
        <v>9</v>
      </c>
      <c r="X494">
        <v>18.015999999999998</v>
      </c>
      <c r="Y494">
        <v>14.337999999999999</v>
      </c>
      <c r="Z494">
        <v>0.76</v>
      </c>
      <c r="AA494">
        <v>0</v>
      </c>
      <c r="AB494">
        <v>2.823</v>
      </c>
      <c r="AC494">
        <v>0</v>
      </c>
      <c r="AD494">
        <v>0.26</v>
      </c>
      <c r="AE494">
        <v>0</v>
      </c>
      <c r="AF494">
        <v>4.2999999999999997E-2</v>
      </c>
      <c r="AG494">
        <v>1.6060000000000001</v>
      </c>
      <c r="AH494">
        <v>37.845999999999997</v>
      </c>
      <c r="AI494" t="s">
        <v>21</v>
      </c>
      <c r="AJ494">
        <v>409.99599999999998</v>
      </c>
      <c r="AK494">
        <v>183.33199999999999</v>
      </c>
      <c r="AL494">
        <v>166.666</v>
      </c>
      <c r="AM494">
        <v>0</v>
      </c>
      <c r="AN494">
        <v>10</v>
      </c>
      <c r="AO494">
        <v>0</v>
      </c>
      <c r="AP494">
        <v>6.6660000000000004</v>
      </c>
      <c r="AQ494">
        <v>0</v>
      </c>
      <c r="AR494">
        <v>3.3330000000000002</v>
      </c>
      <c r="AS494">
        <v>23.332999999999998</v>
      </c>
      <c r="AT494">
        <v>803.32600000000002</v>
      </c>
      <c r="AU494" t="s">
        <v>33</v>
      </c>
    </row>
    <row r="495" spans="1:47" x14ac:dyDescent="0.2">
      <c r="A495">
        <v>85</v>
      </c>
      <c r="B495" t="s">
        <v>45</v>
      </c>
      <c r="C495">
        <v>48</v>
      </c>
      <c r="D495" t="s">
        <v>93</v>
      </c>
      <c r="G495" t="str">
        <f t="shared" si="7"/>
        <v>BLU080348KF017</v>
      </c>
      <c r="H495">
        <v>71.021000000000001</v>
      </c>
      <c r="I495">
        <v>-165.63800000000001</v>
      </c>
      <c r="J495" s="3">
        <v>20080830</v>
      </c>
      <c r="K495">
        <v>2008</v>
      </c>
      <c r="L495">
        <v>2.7508699999999999</v>
      </c>
      <c r="M495">
        <v>6.497E-2</v>
      </c>
      <c r="N495">
        <v>5.5410000000000001E-2</v>
      </c>
      <c r="O495">
        <v>0</v>
      </c>
      <c r="P495">
        <v>2.4000000000000001E-4</v>
      </c>
      <c r="Q495">
        <v>0</v>
      </c>
      <c r="R495">
        <v>0</v>
      </c>
      <c r="S495">
        <v>0</v>
      </c>
      <c r="T495">
        <v>0.20180999999999999</v>
      </c>
      <c r="U495">
        <v>1.5140000000000001E-2</v>
      </c>
      <c r="V495">
        <v>3.0884399999999999</v>
      </c>
      <c r="W495" t="s">
        <v>9</v>
      </c>
      <c r="X495">
        <v>38.497</v>
      </c>
      <c r="Y495">
        <v>1.774</v>
      </c>
      <c r="Z495">
        <v>0.77900000000000003</v>
      </c>
      <c r="AA495">
        <v>0</v>
      </c>
      <c r="AB495">
        <v>1.7000000000000001E-2</v>
      </c>
      <c r="AC495">
        <v>0</v>
      </c>
      <c r="AD495">
        <v>0</v>
      </c>
      <c r="AE495">
        <v>0</v>
      </c>
      <c r="AF495">
        <v>2.17</v>
      </c>
      <c r="AG495">
        <v>0.497</v>
      </c>
      <c r="AH495">
        <v>43.734000000000002</v>
      </c>
      <c r="AI495" t="s">
        <v>21</v>
      </c>
      <c r="AJ495">
        <v>169.99799999999999</v>
      </c>
      <c r="AK495">
        <v>156.666</v>
      </c>
      <c r="AL495">
        <v>66.665999999999997</v>
      </c>
      <c r="AM495">
        <v>0</v>
      </c>
      <c r="AN495">
        <v>6.6669999999999998</v>
      </c>
      <c r="AO495">
        <v>0</v>
      </c>
      <c r="AP495">
        <v>0</v>
      </c>
      <c r="AQ495">
        <v>0</v>
      </c>
      <c r="AR495">
        <v>6.6669999999999998</v>
      </c>
      <c r="AS495">
        <v>23.332999999999998</v>
      </c>
      <c r="AT495">
        <v>429.99700000000001</v>
      </c>
      <c r="AU495" t="s">
        <v>33</v>
      </c>
    </row>
    <row r="496" spans="1:47" x14ac:dyDescent="0.2">
      <c r="A496">
        <v>86</v>
      </c>
      <c r="B496" t="s">
        <v>45</v>
      </c>
      <c r="C496">
        <v>49</v>
      </c>
      <c r="D496" t="s">
        <v>94</v>
      </c>
      <c r="G496" t="str">
        <f t="shared" si="7"/>
        <v>BLU080349KF019</v>
      </c>
      <c r="H496">
        <v>71.022000000000006</v>
      </c>
      <c r="I496">
        <v>-164.87299999999999</v>
      </c>
      <c r="J496" s="3">
        <v>20080828</v>
      </c>
      <c r="K496">
        <v>2008</v>
      </c>
      <c r="L496">
        <v>1.6192800000000001</v>
      </c>
      <c r="M496">
        <v>0.36799999999999999</v>
      </c>
      <c r="N496">
        <v>6.6059999999999994E-2</v>
      </c>
      <c r="O496">
        <v>5.4000000000000001E-4</v>
      </c>
      <c r="P496">
        <v>1.4E-3</v>
      </c>
      <c r="Q496">
        <v>0</v>
      </c>
      <c r="R496">
        <v>0.3876</v>
      </c>
      <c r="S496">
        <v>6.7570000000000005E-2</v>
      </c>
      <c r="T496">
        <v>4.3060000000000001E-2</v>
      </c>
      <c r="U496">
        <v>6.4457500000000003</v>
      </c>
      <c r="V496">
        <v>8.9992599999999996</v>
      </c>
      <c r="W496" t="s">
        <v>18</v>
      </c>
      <c r="X496">
        <v>22.283999999999999</v>
      </c>
      <c r="Y496">
        <v>20.58</v>
      </c>
      <c r="Z496">
        <v>0.89700000000000002</v>
      </c>
      <c r="AA496">
        <v>1.2E-2</v>
      </c>
      <c r="AB496">
        <v>0.1</v>
      </c>
      <c r="AC496">
        <v>0</v>
      </c>
      <c r="AD496">
        <v>7.14</v>
      </c>
      <c r="AE496">
        <v>1.716</v>
      </c>
      <c r="AF496">
        <v>0.46300000000000002</v>
      </c>
      <c r="AG496">
        <v>269.197</v>
      </c>
      <c r="AH496">
        <v>322.38900000000001</v>
      </c>
      <c r="AI496" t="s">
        <v>30</v>
      </c>
      <c r="AJ496">
        <v>1226.6659999999999</v>
      </c>
      <c r="AK496">
        <v>66.665999999999997</v>
      </c>
      <c r="AL496">
        <v>119.998</v>
      </c>
      <c r="AM496">
        <v>6.6660000000000004</v>
      </c>
      <c r="AN496">
        <v>16.667000000000002</v>
      </c>
      <c r="AO496">
        <v>0</v>
      </c>
      <c r="AP496">
        <v>6.6660000000000004</v>
      </c>
      <c r="AQ496">
        <v>13.334</v>
      </c>
      <c r="AR496">
        <v>33.332999999999998</v>
      </c>
      <c r="AS496">
        <v>30</v>
      </c>
      <c r="AT496">
        <v>1519.9960000000001</v>
      </c>
      <c r="AU496" t="s">
        <v>33</v>
      </c>
    </row>
    <row r="497" spans="1:47" x14ac:dyDescent="0.2">
      <c r="A497">
        <v>87</v>
      </c>
      <c r="B497" t="s">
        <v>45</v>
      </c>
      <c r="C497">
        <v>50</v>
      </c>
      <c r="D497" t="s">
        <v>95</v>
      </c>
      <c r="G497" t="str">
        <f t="shared" si="7"/>
        <v>BLU080350KF021</v>
      </c>
      <c r="H497">
        <v>71.144000000000005</v>
      </c>
      <c r="I497">
        <v>-166.02699999999999</v>
      </c>
      <c r="J497" s="3">
        <v>20080827</v>
      </c>
      <c r="K497">
        <v>2008</v>
      </c>
      <c r="L497">
        <v>0.66761000000000004</v>
      </c>
      <c r="M497">
        <v>1.1059000000000001</v>
      </c>
      <c r="N497">
        <v>2.596E-2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0.23715</v>
      </c>
      <c r="U497">
        <v>2.7519999999999999E-2</v>
      </c>
      <c r="V497">
        <v>2.0641400000000001</v>
      </c>
      <c r="W497" t="s">
        <v>10</v>
      </c>
      <c r="X497">
        <v>11.097</v>
      </c>
      <c r="Y497">
        <v>54.832999999999998</v>
      </c>
      <c r="Z497">
        <v>0.35099999999999998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2.5499999999999998</v>
      </c>
      <c r="AG497">
        <v>0.95</v>
      </c>
      <c r="AH497">
        <v>69.781000000000006</v>
      </c>
      <c r="AI497" t="s">
        <v>22</v>
      </c>
      <c r="AJ497">
        <v>196.666</v>
      </c>
      <c r="AK497">
        <v>143.333</v>
      </c>
      <c r="AL497">
        <v>13.333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6.6669999999999998</v>
      </c>
      <c r="AS497">
        <v>13.333</v>
      </c>
      <c r="AT497">
        <v>373.33199999999999</v>
      </c>
      <c r="AU497" t="s">
        <v>33</v>
      </c>
    </row>
    <row r="498" spans="1:47" x14ac:dyDescent="0.2">
      <c r="A498">
        <v>88</v>
      </c>
      <c r="B498" t="s">
        <v>45</v>
      </c>
      <c r="C498">
        <v>51</v>
      </c>
      <c r="D498" t="s">
        <v>96</v>
      </c>
      <c r="G498" t="str">
        <f t="shared" si="7"/>
        <v>BLU080351KF023</v>
      </c>
      <c r="H498">
        <v>71.146000000000001</v>
      </c>
      <c r="I498">
        <v>-165.25700000000001</v>
      </c>
      <c r="J498" s="3">
        <v>20080827</v>
      </c>
      <c r="K498">
        <v>2008</v>
      </c>
      <c r="L498">
        <v>2.6157499999999998</v>
      </c>
      <c r="M498">
        <v>0.65776999999999997</v>
      </c>
      <c r="N498">
        <v>0.25396000000000002</v>
      </c>
      <c r="O498">
        <v>0.61109999999999998</v>
      </c>
      <c r="P498">
        <v>0.56713999999999998</v>
      </c>
      <c r="Q498">
        <v>0</v>
      </c>
      <c r="R498">
        <v>0</v>
      </c>
      <c r="S498">
        <v>0</v>
      </c>
      <c r="T498">
        <v>1.2099999999999999E-3</v>
      </c>
      <c r="U498">
        <v>1.6900000000000001E-3</v>
      </c>
      <c r="V498">
        <v>4.7086199999999998</v>
      </c>
      <c r="W498" t="s">
        <v>9</v>
      </c>
      <c r="X498">
        <v>39.610999999999997</v>
      </c>
      <c r="Y498">
        <v>16.664000000000001</v>
      </c>
      <c r="Z498">
        <v>3.5230000000000001</v>
      </c>
      <c r="AA498">
        <v>13.58</v>
      </c>
      <c r="AB498">
        <v>40.51</v>
      </c>
      <c r="AC498">
        <v>0</v>
      </c>
      <c r="AD498">
        <v>0</v>
      </c>
      <c r="AE498">
        <v>0</v>
      </c>
      <c r="AF498">
        <v>1.2999999999999999E-2</v>
      </c>
      <c r="AG498">
        <v>3.6999999999999998E-2</v>
      </c>
      <c r="AH498">
        <v>113.938</v>
      </c>
      <c r="AI498" t="s">
        <v>25</v>
      </c>
      <c r="AJ498">
        <v>193.33199999999999</v>
      </c>
      <c r="AK498">
        <v>156.667</v>
      </c>
      <c r="AL498">
        <v>90</v>
      </c>
      <c r="AM498">
        <v>3.3330000000000002</v>
      </c>
      <c r="AN498">
        <v>26.666</v>
      </c>
      <c r="AO498">
        <v>0</v>
      </c>
      <c r="AP498">
        <v>0</v>
      </c>
      <c r="AQ498">
        <v>0</v>
      </c>
      <c r="AR498">
        <v>0</v>
      </c>
      <c r="AS498">
        <v>13.332000000000001</v>
      </c>
      <c r="AT498">
        <v>483.33</v>
      </c>
      <c r="AU498" t="s">
        <v>33</v>
      </c>
    </row>
    <row r="499" spans="1:47" x14ac:dyDescent="0.2">
      <c r="A499">
        <v>89</v>
      </c>
      <c r="B499" t="s">
        <v>45</v>
      </c>
      <c r="C499">
        <v>52</v>
      </c>
      <c r="D499" t="s">
        <v>97</v>
      </c>
      <c r="G499" t="str">
        <f t="shared" si="7"/>
        <v>BLU080352KF025</v>
      </c>
      <c r="H499">
        <v>71.146000000000001</v>
      </c>
      <c r="I499">
        <v>-164.48699999999999</v>
      </c>
      <c r="J499" s="3">
        <v>20080827</v>
      </c>
      <c r="K499">
        <v>2008</v>
      </c>
      <c r="L499">
        <v>9.7168799999999997</v>
      </c>
      <c r="M499">
        <v>1.1175900000000001</v>
      </c>
      <c r="N499">
        <v>0.16381000000000001</v>
      </c>
      <c r="O499">
        <v>3.3449900000000001</v>
      </c>
      <c r="P499">
        <v>1.0640000000000001</v>
      </c>
      <c r="Q499">
        <v>0</v>
      </c>
      <c r="R499">
        <v>0</v>
      </c>
      <c r="S499">
        <v>0</v>
      </c>
      <c r="T499">
        <v>6.2300000000000003E-3</v>
      </c>
      <c r="U499">
        <v>1.222E-2</v>
      </c>
      <c r="V499">
        <v>15.42572</v>
      </c>
      <c r="W499" t="s">
        <v>9</v>
      </c>
      <c r="X499">
        <v>141.75299999999999</v>
      </c>
      <c r="Y499">
        <v>30.975999999999999</v>
      </c>
      <c r="Z499">
        <v>2.3290000000000002</v>
      </c>
      <c r="AA499">
        <v>74.332999999999998</v>
      </c>
      <c r="AB499">
        <v>76</v>
      </c>
      <c r="AC499">
        <v>0</v>
      </c>
      <c r="AD499">
        <v>0</v>
      </c>
      <c r="AE499">
        <v>0</v>
      </c>
      <c r="AF499">
        <v>6.7000000000000004E-2</v>
      </c>
      <c r="AG499">
        <v>0.253</v>
      </c>
      <c r="AH499">
        <v>325.71100000000001</v>
      </c>
      <c r="AI499" t="s">
        <v>21</v>
      </c>
      <c r="AJ499">
        <v>366.666</v>
      </c>
      <c r="AK499">
        <v>143.334</v>
      </c>
      <c r="AL499">
        <v>173.33199999999999</v>
      </c>
      <c r="AM499">
        <v>3.3330000000000002</v>
      </c>
      <c r="AN499">
        <v>140</v>
      </c>
      <c r="AO499">
        <v>0</v>
      </c>
      <c r="AP499">
        <v>0</v>
      </c>
      <c r="AQ499">
        <v>0</v>
      </c>
      <c r="AR499">
        <v>0</v>
      </c>
      <c r="AS499">
        <v>43.332000000000001</v>
      </c>
      <c r="AT499">
        <v>869.99699999999996</v>
      </c>
      <c r="AU499" t="s">
        <v>33</v>
      </c>
    </row>
    <row r="500" spans="1:47" x14ac:dyDescent="0.2">
      <c r="A500">
        <v>90</v>
      </c>
      <c r="B500" t="s">
        <v>45</v>
      </c>
      <c r="C500">
        <v>53</v>
      </c>
      <c r="D500" t="s">
        <v>98</v>
      </c>
      <c r="G500" t="str">
        <f t="shared" si="7"/>
        <v>BLU080353KR001</v>
      </c>
      <c r="H500">
        <v>71.12</v>
      </c>
      <c r="I500">
        <v>-165.94900000000001</v>
      </c>
      <c r="J500" s="3">
        <v>20080826</v>
      </c>
      <c r="K500">
        <v>2008</v>
      </c>
      <c r="L500">
        <v>1.81612</v>
      </c>
      <c r="M500">
        <v>1.8048900000000001</v>
      </c>
      <c r="N500">
        <v>7.5639999999999999E-2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0.14666000000000001</v>
      </c>
      <c r="U500">
        <v>4.3200000000000001E-3</v>
      </c>
      <c r="V500">
        <v>3.8476300000000001</v>
      </c>
      <c r="W500" t="s">
        <v>9</v>
      </c>
      <c r="X500">
        <v>27.09</v>
      </c>
      <c r="Y500">
        <v>93.766999999999996</v>
      </c>
      <c r="Z500">
        <v>1.1000000000000001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1.577</v>
      </c>
      <c r="AG500">
        <v>0.14599999999999999</v>
      </c>
      <c r="AH500">
        <v>123.68</v>
      </c>
      <c r="AI500" t="s">
        <v>22</v>
      </c>
      <c r="AJ500">
        <v>199.999</v>
      </c>
      <c r="AK500">
        <v>183.333</v>
      </c>
      <c r="AL500">
        <v>56.665999999999997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3.3330000000000002</v>
      </c>
      <c r="AS500">
        <v>9.9990000000000006</v>
      </c>
      <c r="AT500">
        <v>453.33</v>
      </c>
      <c r="AU500" t="s">
        <v>33</v>
      </c>
    </row>
    <row r="501" spans="1:47" x14ac:dyDescent="0.2">
      <c r="A501">
        <v>91</v>
      </c>
      <c r="B501" t="s">
        <v>45</v>
      </c>
      <c r="C501">
        <v>54</v>
      </c>
      <c r="D501" t="s">
        <v>99</v>
      </c>
      <c r="G501" t="str">
        <f t="shared" si="7"/>
        <v>BLU080354KR007</v>
      </c>
      <c r="H501">
        <v>71.122</v>
      </c>
      <c r="I501">
        <v>-165.02799999999999</v>
      </c>
      <c r="J501" s="3">
        <v>20080830</v>
      </c>
      <c r="K501">
        <v>2008</v>
      </c>
      <c r="L501">
        <v>5.1938199999999997</v>
      </c>
      <c r="M501">
        <v>1.3524</v>
      </c>
      <c r="N501">
        <v>0.12952</v>
      </c>
      <c r="O501">
        <v>0</v>
      </c>
      <c r="P501">
        <v>0.65005999999999997</v>
      </c>
      <c r="Q501">
        <v>0</v>
      </c>
      <c r="R501">
        <v>0</v>
      </c>
      <c r="S501">
        <v>0</v>
      </c>
      <c r="T501">
        <v>4.9300000000000004E-3</v>
      </c>
      <c r="U501">
        <v>1.9859999999999999E-2</v>
      </c>
      <c r="V501">
        <v>7.3505900000000004</v>
      </c>
      <c r="W501" t="s">
        <v>9</v>
      </c>
      <c r="X501">
        <v>73.685000000000002</v>
      </c>
      <c r="Y501">
        <v>61.604999999999997</v>
      </c>
      <c r="Z501">
        <v>1.724</v>
      </c>
      <c r="AA501">
        <v>0</v>
      </c>
      <c r="AB501">
        <v>46.433</v>
      </c>
      <c r="AC501">
        <v>0</v>
      </c>
      <c r="AD501">
        <v>0</v>
      </c>
      <c r="AE501">
        <v>0</v>
      </c>
      <c r="AF501">
        <v>5.2999999999999999E-2</v>
      </c>
      <c r="AG501">
        <v>0.54700000000000004</v>
      </c>
      <c r="AH501">
        <v>184.047</v>
      </c>
      <c r="AI501" t="s">
        <v>21</v>
      </c>
      <c r="AJ501">
        <v>236.667</v>
      </c>
      <c r="AK501">
        <v>226.667</v>
      </c>
      <c r="AL501">
        <v>143.334</v>
      </c>
      <c r="AM501">
        <v>0</v>
      </c>
      <c r="AN501">
        <v>23.332999999999998</v>
      </c>
      <c r="AO501">
        <v>0</v>
      </c>
      <c r="AP501">
        <v>0</v>
      </c>
      <c r="AQ501">
        <v>0</v>
      </c>
      <c r="AR501">
        <v>0</v>
      </c>
      <c r="AS501">
        <v>29.998999999999999</v>
      </c>
      <c r="AT501">
        <v>660</v>
      </c>
      <c r="AU501" t="s">
        <v>33</v>
      </c>
    </row>
    <row r="502" spans="1:47" x14ac:dyDescent="0.2">
      <c r="A502">
        <v>92</v>
      </c>
      <c r="B502" t="s">
        <v>45</v>
      </c>
      <c r="C502">
        <v>55</v>
      </c>
      <c r="D502" t="s">
        <v>100</v>
      </c>
      <c r="G502" t="str">
        <f t="shared" si="7"/>
        <v>BLU080355KR008</v>
      </c>
      <c r="H502">
        <v>71.122</v>
      </c>
      <c r="I502">
        <v>-164.87200000000001</v>
      </c>
      <c r="J502" s="3">
        <v>20080830</v>
      </c>
      <c r="K502">
        <v>2008</v>
      </c>
      <c r="L502">
        <v>6.4021499999999998</v>
      </c>
      <c r="M502">
        <v>3.2300499999999999</v>
      </c>
      <c r="N502">
        <v>0.14903</v>
      </c>
      <c r="O502">
        <v>1.8769999999999998E-2</v>
      </c>
      <c r="P502">
        <v>0.10027999999999999</v>
      </c>
      <c r="Q502">
        <v>0</v>
      </c>
      <c r="R502">
        <v>0.1173</v>
      </c>
      <c r="S502">
        <v>0</v>
      </c>
      <c r="T502">
        <v>6.2590000000000007E-2</v>
      </c>
      <c r="U502">
        <v>0.22855</v>
      </c>
      <c r="V502">
        <v>10.308719999999999</v>
      </c>
      <c r="W502" t="s">
        <v>9</v>
      </c>
      <c r="X502">
        <v>92.269000000000005</v>
      </c>
      <c r="Y502">
        <v>171.77600000000001</v>
      </c>
      <c r="Z502">
        <v>2.1469999999999998</v>
      </c>
      <c r="AA502">
        <v>0.41699999999999998</v>
      </c>
      <c r="AB502">
        <v>7.1630000000000003</v>
      </c>
      <c r="AC502">
        <v>0</v>
      </c>
      <c r="AD502">
        <v>1.923</v>
      </c>
      <c r="AE502">
        <v>0</v>
      </c>
      <c r="AF502">
        <v>0.67300000000000004</v>
      </c>
      <c r="AG502">
        <v>4.2569999999999997</v>
      </c>
      <c r="AH502">
        <v>280.625</v>
      </c>
      <c r="AI502" t="s">
        <v>22</v>
      </c>
      <c r="AJ502">
        <v>733.33100000000002</v>
      </c>
      <c r="AK502">
        <v>223.33199999999999</v>
      </c>
      <c r="AL502">
        <v>270</v>
      </c>
      <c r="AM502">
        <v>30</v>
      </c>
      <c r="AN502">
        <v>30</v>
      </c>
      <c r="AO502">
        <v>0</v>
      </c>
      <c r="AP502">
        <v>0</v>
      </c>
      <c r="AQ502">
        <v>0</v>
      </c>
      <c r="AR502">
        <v>10</v>
      </c>
      <c r="AS502">
        <v>33.334000000000003</v>
      </c>
      <c r="AT502">
        <v>1329.9970000000001</v>
      </c>
      <c r="AU502" t="s">
        <v>33</v>
      </c>
    </row>
    <row r="503" spans="1:47" x14ac:dyDescent="0.2">
      <c r="A503">
        <v>93</v>
      </c>
      <c r="B503" t="s">
        <v>45</v>
      </c>
      <c r="C503">
        <v>56</v>
      </c>
      <c r="D503" t="s">
        <v>101</v>
      </c>
      <c r="G503" t="str">
        <f t="shared" si="7"/>
        <v>BLU080356KR009</v>
      </c>
      <c r="H503">
        <v>71.120999999999995</v>
      </c>
      <c r="I503">
        <v>-164.71899999999999</v>
      </c>
      <c r="J503" s="3">
        <v>20080830</v>
      </c>
      <c r="K503">
        <v>2008</v>
      </c>
      <c r="L503">
        <v>6.5717299999999996</v>
      </c>
      <c r="M503">
        <v>0.64673999999999998</v>
      </c>
      <c r="N503">
        <v>0.11733</v>
      </c>
      <c r="O503">
        <v>0.21046999999999999</v>
      </c>
      <c r="P503">
        <v>1.5738399999999999</v>
      </c>
      <c r="Q503">
        <v>0</v>
      </c>
      <c r="R503">
        <v>1.055E-2</v>
      </c>
      <c r="S503">
        <v>4.6299999999999996E-3</v>
      </c>
      <c r="T503">
        <v>0.13364000000000001</v>
      </c>
      <c r="U503">
        <v>0.17599999999999999</v>
      </c>
      <c r="V503">
        <v>9.4449299999999994</v>
      </c>
      <c r="W503" t="s">
        <v>9</v>
      </c>
      <c r="X503">
        <v>93.569000000000003</v>
      </c>
      <c r="Y503">
        <v>23.61</v>
      </c>
      <c r="Z503">
        <v>1.615</v>
      </c>
      <c r="AA503">
        <v>4.6769999999999996</v>
      </c>
      <c r="AB503">
        <v>112.417</v>
      </c>
      <c r="AC503">
        <v>0</v>
      </c>
      <c r="AD503">
        <v>0.17299999999999999</v>
      </c>
      <c r="AE503">
        <v>0.113</v>
      </c>
      <c r="AF503">
        <v>1.4370000000000001</v>
      </c>
      <c r="AG503">
        <v>16.949000000000002</v>
      </c>
      <c r="AH503">
        <v>254.56</v>
      </c>
      <c r="AI503" t="s">
        <v>25</v>
      </c>
      <c r="AJ503">
        <v>643.33299999999997</v>
      </c>
      <c r="AK503">
        <v>123.333</v>
      </c>
      <c r="AL503">
        <v>179.99799999999999</v>
      </c>
      <c r="AM503">
        <v>83.332999999999998</v>
      </c>
      <c r="AN503">
        <v>160</v>
      </c>
      <c r="AO503">
        <v>0</v>
      </c>
      <c r="AP503">
        <v>6.6669999999999998</v>
      </c>
      <c r="AQ503">
        <v>3.3330000000000002</v>
      </c>
      <c r="AR503">
        <v>20</v>
      </c>
      <c r="AS503">
        <v>19.998999999999999</v>
      </c>
      <c r="AT503">
        <v>1239.9960000000001</v>
      </c>
      <c r="AU503" t="s">
        <v>33</v>
      </c>
    </row>
    <row r="504" spans="1:47" x14ac:dyDescent="0.2">
      <c r="A504">
        <v>94</v>
      </c>
      <c r="B504" t="s">
        <v>45</v>
      </c>
      <c r="C504">
        <v>57</v>
      </c>
      <c r="D504" t="s">
        <v>102</v>
      </c>
      <c r="G504" t="str">
        <f t="shared" si="7"/>
        <v>BLU080357KR016</v>
      </c>
      <c r="H504">
        <v>71.072000000000003</v>
      </c>
      <c r="I504">
        <v>-165.18</v>
      </c>
      <c r="J504" s="3">
        <v>20080830</v>
      </c>
      <c r="K504">
        <v>2008</v>
      </c>
      <c r="L504">
        <v>6.25868</v>
      </c>
      <c r="M504">
        <v>0.80583000000000005</v>
      </c>
      <c r="N504">
        <v>7.9920000000000005E-2</v>
      </c>
      <c r="O504">
        <v>0</v>
      </c>
      <c r="P504">
        <v>0.49881999999999999</v>
      </c>
      <c r="Q504">
        <v>0</v>
      </c>
      <c r="R504">
        <v>0</v>
      </c>
      <c r="S504">
        <v>3.0000000000000001E-5</v>
      </c>
      <c r="T504">
        <v>0.79357</v>
      </c>
      <c r="U504">
        <v>8.6800000000000002E-3</v>
      </c>
      <c r="V504">
        <v>8.4455299999999998</v>
      </c>
      <c r="W504" t="s">
        <v>9</v>
      </c>
      <c r="X504">
        <v>91.518000000000001</v>
      </c>
      <c r="Y504">
        <v>24.725000000000001</v>
      </c>
      <c r="Z504">
        <v>1.1080000000000001</v>
      </c>
      <c r="AA504">
        <v>0</v>
      </c>
      <c r="AB504">
        <v>35.630000000000003</v>
      </c>
      <c r="AC504">
        <v>0</v>
      </c>
      <c r="AD504">
        <v>0</v>
      </c>
      <c r="AE504">
        <v>2E-3</v>
      </c>
      <c r="AF504">
        <v>8.5329999999999995</v>
      </c>
      <c r="AG504">
        <v>0.14000000000000001</v>
      </c>
      <c r="AH504">
        <v>161.65600000000001</v>
      </c>
      <c r="AI504" t="s">
        <v>21</v>
      </c>
      <c r="AJ504">
        <v>346.66500000000002</v>
      </c>
      <c r="AK504">
        <v>163.333</v>
      </c>
      <c r="AL504">
        <v>80.001000000000005</v>
      </c>
      <c r="AM504">
        <v>0</v>
      </c>
      <c r="AN504">
        <v>16.667000000000002</v>
      </c>
      <c r="AO504">
        <v>0</v>
      </c>
      <c r="AP504">
        <v>0</v>
      </c>
      <c r="AQ504">
        <v>3.3330000000000002</v>
      </c>
      <c r="AR504">
        <v>3.3330000000000002</v>
      </c>
      <c r="AS504">
        <v>23.334</v>
      </c>
      <c r="AT504">
        <v>636.66600000000005</v>
      </c>
      <c r="AU504" t="s">
        <v>33</v>
      </c>
    </row>
    <row r="505" spans="1:47" x14ac:dyDescent="0.2">
      <c r="A505">
        <v>95</v>
      </c>
      <c r="B505" t="s">
        <v>45</v>
      </c>
      <c r="C505">
        <v>58</v>
      </c>
      <c r="D505" t="s">
        <v>103</v>
      </c>
      <c r="G505" t="str">
        <f t="shared" si="7"/>
        <v>BLU080358KR019</v>
      </c>
      <c r="H505">
        <v>71.072000000000003</v>
      </c>
      <c r="I505">
        <v>-164.71899999999999</v>
      </c>
      <c r="J505" s="3">
        <v>20080830</v>
      </c>
      <c r="K505">
        <v>2008</v>
      </c>
      <c r="L505">
        <v>7.0549299999999997</v>
      </c>
      <c r="M505">
        <v>0.91422000000000003</v>
      </c>
      <c r="N505">
        <v>0.12407</v>
      </c>
      <c r="O505">
        <v>1.26E-2</v>
      </c>
      <c r="P505">
        <v>1.2377400000000001</v>
      </c>
      <c r="Q505">
        <v>0</v>
      </c>
      <c r="R505">
        <v>0</v>
      </c>
      <c r="S505">
        <v>0</v>
      </c>
      <c r="T505">
        <v>0.87978000000000001</v>
      </c>
      <c r="U505">
        <v>7.6099999999999996E-3</v>
      </c>
      <c r="V505">
        <v>10.23095</v>
      </c>
      <c r="W505" t="s">
        <v>9</v>
      </c>
      <c r="X505">
        <v>102.81399999999999</v>
      </c>
      <c r="Y505">
        <v>23.181999999999999</v>
      </c>
      <c r="Z505">
        <v>1.617</v>
      </c>
      <c r="AA505">
        <v>0.28000000000000003</v>
      </c>
      <c r="AB505">
        <v>88.41</v>
      </c>
      <c r="AC505">
        <v>0</v>
      </c>
      <c r="AD505">
        <v>0</v>
      </c>
      <c r="AE505">
        <v>0</v>
      </c>
      <c r="AF505">
        <v>9.4600000000000009</v>
      </c>
      <c r="AG505">
        <v>0.152</v>
      </c>
      <c r="AH505">
        <v>225.91499999999999</v>
      </c>
      <c r="AI505" t="s">
        <v>21</v>
      </c>
      <c r="AJ505">
        <v>303.33100000000002</v>
      </c>
      <c r="AK505">
        <v>166.667</v>
      </c>
      <c r="AL505">
        <v>116.66500000000001</v>
      </c>
      <c r="AM505">
        <v>3.3330000000000002</v>
      </c>
      <c r="AN505">
        <v>223.333</v>
      </c>
      <c r="AO505">
        <v>0</v>
      </c>
      <c r="AP505">
        <v>0</v>
      </c>
      <c r="AQ505">
        <v>0</v>
      </c>
      <c r="AR505">
        <v>13.333</v>
      </c>
      <c r="AS505">
        <v>36.667000000000002</v>
      </c>
      <c r="AT505">
        <v>863.32899999999995</v>
      </c>
      <c r="AU505" t="s">
        <v>33</v>
      </c>
    </row>
    <row r="506" spans="1:47" x14ac:dyDescent="0.2">
      <c r="A506">
        <v>96</v>
      </c>
      <c r="B506" t="s">
        <v>45</v>
      </c>
      <c r="C506">
        <v>59</v>
      </c>
      <c r="D506" t="s">
        <v>104</v>
      </c>
      <c r="G506" t="str">
        <f t="shared" si="7"/>
        <v>BLU080359KR034</v>
      </c>
      <c r="H506">
        <v>70.972999999999999</v>
      </c>
      <c r="I506">
        <v>-165.477</v>
      </c>
      <c r="J506" s="3">
        <v>20080823</v>
      </c>
      <c r="K506">
        <v>2008</v>
      </c>
      <c r="L506">
        <v>2.4574099999999999</v>
      </c>
      <c r="M506">
        <v>0.42709999999999998</v>
      </c>
      <c r="N506">
        <v>0.11359</v>
      </c>
      <c r="O506">
        <v>0</v>
      </c>
      <c r="P506">
        <v>4.0000000000000003E-5</v>
      </c>
      <c r="Q506">
        <v>0</v>
      </c>
      <c r="R506">
        <v>0</v>
      </c>
      <c r="S506">
        <v>0</v>
      </c>
      <c r="T506">
        <v>6.4999999999999997E-4</v>
      </c>
      <c r="U506">
        <v>1.848E-2</v>
      </c>
      <c r="V506">
        <v>3.0172699999999999</v>
      </c>
      <c r="W506" t="s">
        <v>9</v>
      </c>
      <c r="X506">
        <v>35.692999999999998</v>
      </c>
      <c r="Y506">
        <v>12.064</v>
      </c>
      <c r="Z506">
        <v>1.5329999999999999</v>
      </c>
      <c r="AA506">
        <v>0</v>
      </c>
      <c r="AB506">
        <v>3.0000000000000001E-3</v>
      </c>
      <c r="AC506">
        <v>0</v>
      </c>
      <c r="AD506">
        <v>0</v>
      </c>
      <c r="AE506">
        <v>0</v>
      </c>
      <c r="AF506">
        <v>7.0000000000000001E-3</v>
      </c>
      <c r="AG506">
        <v>0.52700000000000002</v>
      </c>
      <c r="AH506">
        <v>49.826999999999998</v>
      </c>
      <c r="AI506" t="s">
        <v>21</v>
      </c>
      <c r="AJ506">
        <v>243.333</v>
      </c>
      <c r="AK506">
        <v>106.667</v>
      </c>
      <c r="AL506">
        <v>63.334000000000003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3.3330000000000002</v>
      </c>
      <c r="AS506">
        <v>26.667000000000002</v>
      </c>
      <c r="AT506">
        <v>443.334</v>
      </c>
      <c r="AU506" t="s">
        <v>33</v>
      </c>
    </row>
    <row r="507" spans="1:47" x14ac:dyDescent="0.2">
      <c r="A507">
        <v>97</v>
      </c>
      <c r="B507" t="s">
        <v>45</v>
      </c>
      <c r="C507">
        <v>60</v>
      </c>
      <c r="D507" t="s">
        <v>105</v>
      </c>
      <c r="G507" t="str">
        <f t="shared" si="7"/>
        <v>BLU080360KR043</v>
      </c>
      <c r="H507">
        <v>70.921000000000006</v>
      </c>
      <c r="I507">
        <v>-165.636</v>
      </c>
      <c r="J507" s="3">
        <v>20080822</v>
      </c>
      <c r="K507">
        <v>2008</v>
      </c>
      <c r="L507">
        <v>5.1120599999999996</v>
      </c>
      <c r="M507">
        <v>0.34583000000000003</v>
      </c>
      <c r="N507">
        <v>2.8129999999999999E-2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1.9000000000000001E-4</v>
      </c>
      <c r="U507">
        <v>8.8000000000000003E-4</v>
      </c>
      <c r="V507">
        <v>5.4870900000000002</v>
      </c>
      <c r="W507" t="s">
        <v>9</v>
      </c>
      <c r="X507">
        <v>73.590999999999994</v>
      </c>
      <c r="Y507">
        <v>13.007999999999999</v>
      </c>
      <c r="Z507">
        <v>0.40799999999999997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2E-3</v>
      </c>
      <c r="AG507">
        <v>0.02</v>
      </c>
      <c r="AH507">
        <v>87.028999999999996</v>
      </c>
      <c r="AI507" t="s">
        <v>21</v>
      </c>
      <c r="AJ507">
        <v>286.66699999999997</v>
      </c>
      <c r="AK507">
        <v>179.999</v>
      </c>
      <c r="AL507">
        <v>40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10</v>
      </c>
      <c r="AT507">
        <v>516.66600000000005</v>
      </c>
      <c r="AU507" t="s">
        <v>33</v>
      </c>
    </row>
    <row r="508" spans="1:47" x14ac:dyDescent="0.2">
      <c r="A508">
        <v>98</v>
      </c>
      <c r="B508" t="s">
        <v>45</v>
      </c>
      <c r="C508">
        <v>61</v>
      </c>
      <c r="D508" t="s">
        <v>106</v>
      </c>
      <c r="G508" t="str">
        <f t="shared" si="7"/>
        <v>BLU080361KR045</v>
      </c>
      <c r="H508">
        <v>70.921999999999997</v>
      </c>
      <c r="I508">
        <v>-165.33</v>
      </c>
      <c r="J508" s="3">
        <v>20080823</v>
      </c>
      <c r="K508">
        <v>2008</v>
      </c>
      <c r="L508">
        <v>7.3556699999999999</v>
      </c>
      <c r="M508">
        <v>0.79984999999999995</v>
      </c>
      <c r="N508">
        <v>0.13169</v>
      </c>
      <c r="O508">
        <v>2.9159999999999999</v>
      </c>
      <c r="P508">
        <v>2.0000000000000001E-4</v>
      </c>
      <c r="Q508">
        <v>0</v>
      </c>
      <c r="R508">
        <v>0</v>
      </c>
      <c r="S508">
        <v>0</v>
      </c>
      <c r="T508">
        <v>9.58E-3</v>
      </c>
      <c r="U508">
        <v>1.77E-2</v>
      </c>
      <c r="V508">
        <v>11.230689999999999</v>
      </c>
      <c r="W508" t="s">
        <v>9</v>
      </c>
      <c r="X508">
        <v>105.846</v>
      </c>
      <c r="Y508">
        <v>22.783000000000001</v>
      </c>
      <c r="Z508">
        <v>1.849</v>
      </c>
      <c r="AA508">
        <v>64.8</v>
      </c>
      <c r="AB508">
        <v>1.4E-2</v>
      </c>
      <c r="AC508">
        <v>0</v>
      </c>
      <c r="AD508">
        <v>0</v>
      </c>
      <c r="AE508">
        <v>0</v>
      </c>
      <c r="AF508">
        <v>0.10299999999999999</v>
      </c>
      <c r="AG508">
        <v>0.54</v>
      </c>
      <c r="AH508">
        <v>195.935</v>
      </c>
      <c r="AI508" t="s">
        <v>21</v>
      </c>
      <c r="AJ508">
        <v>343.33300000000003</v>
      </c>
      <c r="AK508">
        <v>143.334</v>
      </c>
      <c r="AL508">
        <v>109.998</v>
      </c>
      <c r="AM508">
        <v>3.3330000000000002</v>
      </c>
      <c r="AN508">
        <v>3.3330000000000002</v>
      </c>
      <c r="AO508">
        <v>0</v>
      </c>
      <c r="AP508">
        <v>0</v>
      </c>
      <c r="AQ508">
        <v>0</v>
      </c>
      <c r="AR508">
        <v>6.6669999999999998</v>
      </c>
      <c r="AS508">
        <v>23.332999999999998</v>
      </c>
      <c r="AT508">
        <v>633.33100000000002</v>
      </c>
      <c r="AU508" t="s">
        <v>33</v>
      </c>
    </row>
    <row r="509" spans="1:47" x14ac:dyDescent="0.2">
      <c r="A509">
        <v>99</v>
      </c>
      <c r="B509" t="s">
        <v>45</v>
      </c>
      <c r="C509">
        <v>62</v>
      </c>
      <c r="D509" t="s">
        <v>107</v>
      </c>
      <c r="G509" t="str">
        <f t="shared" si="7"/>
        <v>BLU080362KR056</v>
      </c>
      <c r="H509">
        <v>70.873000000000005</v>
      </c>
      <c r="I509">
        <v>-165.179</v>
      </c>
      <c r="J509" s="3">
        <v>20080823</v>
      </c>
      <c r="K509">
        <v>2008</v>
      </c>
      <c r="L509">
        <v>8.6546599999999998</v>
      </c>
      <c r="M509">
        <v>1.71109</v>
      </c>
      <c r="N509">
        <v>6.7879999999999996E-2</v>
      </c>
      <c r="O509">
        <v>1.3597699999999999</v>
      </c>
      <c r="P509">
        <v>7.2279999999999997E-2</v>
      </c>
      <c r="Q509">
        <v>0</v>
      </c>
      <c r="R509">
        <v>0</v>
      </c>
      <c r="S509">
        <v>0.99178999999999995</v>
      </c>
      <c r="T509">
        <v>6.9559999999999997E-2</v>
      </c>
      <c r="U509">
        <v>4.0849999999999997E-2</v>
      </c>
      <c r="V509">
        <v>12.967879999999999</v>
      </c>
      <c r="W509" t="s">
        <v>9</v>
      </c>
      <c r="X509">
        <v>126.657</v>
      </c>
      <c r="Y509">
        <v>54.863999999999997</v>
      </c>
      <c r="Z509">
        <v>0.96</v>
      </c>
      <c r="AA509">
        <v>30.216999999999999</v>
      </c>
      <c r="AB509">
        <v>5.1630000000000003</v>
      </c>
      <c r="AC509">
        <v>0</v>
      </c>
      <c r="AD509">
        <v>0</v>
      </c>
      <c r="AE509">
        <v>61.618000000000002</v>
      </c>
      <c r="AF509">
        <v>0.748</v>
      </c>
      <c r="AG509">
        <v>2.2330000000000001</v>
      </c>
      <c r="AH509">
        <v>282.45999999999998</v>
      </c>
      <c r="AI509" t="s">
        <v>21</v>
      </c>
      <c r="AJ509">
        <v>463.33300000000003</v>
      </c>
      <c r="AK509">
        <v>183.33199999999999</v>
      </c>
      <c r="AL509">
        <v>126.666</v>
      </c>
      <c r="AM509">
        <v>10</v>
      </c>
      <c r="AN509">
        <v>16.666</v>
      </c>
      <c r="AO509">
        <v>0</v>
      </c>
      <c r="AP509">
        <v>0</v>
      </c>
      <c r="AQ509">
        <v>10</v>
      </c>
      <c r="AR509">
        <v>0</v>
      </c>
      <c r="AS509">
        <v>56.665999999999997</v>
      </c>
      <c r="AT509">
        <v>866.66300000000001</v>
      </c>
      <c r="AU509" t="s">
        <v>33</v>
      </c>
    </row>
    <row r="510" spans="1:47" x14ac:dyDescent="0.2">
      <c r="A510">
        <v>100</v>
      </c>
      <c r="B510" t="s">
        <v>45</v>
      </c>
      <c r="C510">
        <v>63</v>
      </c>
      <c r="D510" t="s">
        <v>108</v>
      </c>
      <c r="G510" t="str">
        <f t="shared" si="7"/>
        <v>BLU080363KR066</v>
      </c>
      <c r="H510">
        <v>70.822999999999993</v>
      </c>
      <c r="I510">
        <v>-165.178</v>
      </c>
      <c r="J510" s="3">
        <v>20080822</v>
      </c>
      <c r="K510">
        <v>2008</v>
      </c>
      <c r="L510">
        <v>5.5008400000000002</v>
      </c>
      <c r="M510">
        <v>1.2018599999999999</v>
      </c>
      <c r="N510">
        <v>7.4709999999999999E-2</v>
      </c>
      <c r="O510">
        <v>2.49674</v>
      </c>
      <c r="P510">
        <v>3.7399999999999998E-3</v>
      </c>
      <c r="Q510">
        <v>0</v>
      </c>
      <c r="R510">
        <v>0</v>
      </c>
      <c r="S510">
        <v>0</v>
      </c>
      <c r="T510">
        <v>2.5100000000000001E-3</v>
      </c>
      <c r="U510">
        <v>0.12268</v>
      </c>
      <c r="V510">
        <v>9.4030799999999992</v>
      </c>
      <c r="W510" t="s">
        <v>9</v>
      </c>
      <c r="X510">
        <v>78.286000000000001</v>
      </c>
      <c r="Y510">
        <v>44.966000000000001</v>
      </c>
      <c r="Z510">
        <v>1.0780000000000001</v>
      </c>
      <c r="AA510">
        <v>55.482999999999997</v>
      </c>
      <c r="AB510">
        <v>0.26700000000000002</v>
      </c>
      <c r="AC510">
        <v>0</v>
      </c>
      <c r="AD510">
        <v>0</v>
      </c>
      <c r="AE510">
        <v>0</v>
      </c>
      <c r="AF510">
        <v>2.7E-2</v>
      </c>
      <c r="AG510">
        <v>1.984</v>
      </c>
      <c r="AH510">
        <v>182.09100000000001</v>
      </c>
      <c r="AI510" t="s">
        <v>21</v>
      </c>
      <c r="AJ510">
        <v>296.666</v>
      </c>
      <c r="AK510">
        <v>136.666</v>
      </c>
      <c r="AL510">
        <v>113.331</v>
      </c>
      <c r="AM510">
        <v>3.3330000000000002</v>
      </c>
      <c r="AN510">
        <v>6.6669999999999998</v>
      </c>
      <c r="AO510">
        <v>0</v>
      </c>
      <c r="AP510">
        <v>0</v>
      </c>
      <c r="AQ510">
        <v>0</v>
      </c>
      <c r="AR510">
        <v>0</v>
      </c>
      <c r="AS510">
        <v>16.666</v>
      </c>
      <c r="AT510">
        <v>573.32899999999995</v>
      </c>
      <c r="AU510" t="s">
        <v>33</v>
      </c>
    </row>
    <row r="511" spans="1:47" x14ac:dyDescent="0.2">
      <c r="A511">
        <v>101</v>
      </c>
      <c r="B511" t="s">
        <v>45</v>
      </c>
      <c r="C511">
        <v>64</v>
      </c>
      <c r="D511" t="s">
        <v>109</v>
      </c>
      <c r="G511" t="str">
        <f t="shared" si="7"/>
        <v>BLU080364KR083</v>
      </c>
      <c r="H511">
        <v>70.721999999999994</v>
      </c>
      <c r="I511">
        <v>-165.62899999999999</v>
      </c>
      <c r="J511" s="3">
        <v>20080822</v>
      </c>
      <c r="K511">
        <v>2008</v>
      </c>
      <c r="L511">
        <v>5.0517799999999999</v>
      </c>
      <c r="M511">
        <v>1.0560499999999999</v>
      </c>
      <c r="N511">
        <v>3.7760000000000002E-2</v>
      </c>
      <c r="O511">
        <v>4.7120000000000002E-2</v>
      </c>
      <c r="P511">
        <v>1.366E-2</v>
      </c>
      <c r="Q511">
        <v>0</v>
      </c>
      <c r="R511">
        <v>0.2432</v>
      </c>
      <c r="S511">
        <v>0.18373</v>
      </c>
      <c r="T511">
        <v>1.367E-2</v>
      </c>
      <c r="U511">
        <v>0.30003999999999997</v>
      </c>
      <c r="V511">
        <v>6.9470099999999997</v>
      </c>
      <c r="W511" t="s">
        <v>9</v>
      </c>
      <c r="X511">
        <v>71.977000000000004</v>
      </c>
      <c r="Y511">
        <v>35.366</v>
      </c>
      <c r="Z511">
        <v>0.53700000000000003</v>
      </c>
      <c r="AA511">
        <v>1.0469999999999999</v>
      </c>
      <c r="AB511">
        <v>0.97599999999999998</v>
      </c>
      <c r="AC511">
        <v>0</v>
      </c>
      <c r="AD511">
        <v>6.08</v>
      </c>
      <c r="AE511">
        <v>5.23</v>
      </c>
      <c r="AF511">
        <v>0.14699999999999999</v>
      </c>
      <c r="AG511">
        <v>9.7829999999999995</v>
      </c>
      <c r="AH511">
        <v>131.143</v>
      </c>
      <c r="AI511" t="s">
        <v>21</v>
      </c>
      <c r="AJ511">
        <v>773.33500000000004</v>
      </c>
      <c r="AK511">
        <v>173.334</v>
      </c>
      <c r="AL511">
        <v>150</v>
      </c>
      <c r="AM511">
        <v>60</v>
      </c>
      <c r="AN511">
        <v>23.332999999999998</v>
      </c>
      <c r="AO511">
        <v>0</v>
      </c>
      <c r="AP511">
        <v>3.3330000000000002</v>
      </c>
      <c r="AQ511">
        <v>40</v>
      </c>
      <c r="AR511">
        <v>20</v>
      </c>
      <c r="AS511">
        <v>63.332999999999998</v>
      </c>
      <c r="AT511">
        <v>1306.6679999999999</v>
      </c>
      <c r="AU511" t="s">
        <v>33</v>
      </c>
    </row>
    <row r="512" spans="1:47" x14ac:dyDescent="0.2">
      <c r="A512">
        <v>102</v>
      </c>
      <c r="B512" t="s">
        <v>45</v>
      </c>
      <c r="C512">
        <v>65</v>
      </c>
      <c r="D512" t="s">
        <v>110</v>
      </c>
      <c r="G512" t="str">
        <f t="shared" si="7"/>
        <v>BLU080365KR095</v>
      </c>
      <c r="H512">
        <v>70.673000000000002</v>
      </c>
      <c r="I512">
        <v>-165.327</v>
      </c>
      <c r="J512" s="3">
        <v>20080829</v>
      </c>
      <c r="K512">
        <v>2008</v>
      </c>
      <c r="L512">
        <v>1.88361</v>
      </c>
      <c r="M512">
        <v>1.55867</v>
      </c>
      <c r="N512">
        <v>6.9199999999999998E-2</v>
      </c>
      <c r="O512">
        <v>0.71267000000000003</v>
      </c>
      <c r="P512">
        <v>3.2340000000000001E-2</v>
      </c>
      <c r="Q512">
        <v>0</v>
      </c>
      <c r="R512">
        <v>0</v>
      </c>
      <c r="S512">
        <v>0</v>
      </c>
      <c r="T512">
        <v>1.8600000000000001E-3</v>
      </c>
      <c r="U512">
        <v>1.392E-2</v>
      </c>
      <c r="V512">
        <v>4.2722699999999998</v>
      </c>
      <c r="W512" t="s">
        <v>9</v>
      </c>
      <c r="X512">
        <v>25.03</v>
      </c>
      <c r="Y512">
        <v>64.037999999999997</v>
      </c>
      <c r="Z512">
        <v>0.99</v>
      </c>
      <c r="AA512">
        <v>15.837</v>
      </c>
      <c r="AB512">
        <v>2.31</v>
      </c>
      <c r="AC512">
        <v>0</v>
      </c>
      <c r="AD512">
        <v>0</v>
      </c>
      <c r="AE512">
        <v>0</v>
      </c>
      <c r="AF512">
        <v>0.02</v>
      </c>
      <c r="AG512">
        <v>0.30299999999999999</v>
      </c>
      <c r="AH512">
        <v>108.52800000000001</v>
      </c>
      <c r="AI512" t="s">
        <v>22</v>
      </c>
      <c r="AJ512">
        <v>240</v>
      </c>
      <c r="AK512">
        <v>213.333</v>
      </c>
      <c r="AL512">
        <v>79.998999999999995</v>
      </c>
      <c r="AM512">
        <v>3.3330000000000002</v>
      </c>
      <c r="AN512">
        <v>3.3330000000000002</v>
      </c>
      <c r="AO512">
        <v>0</v>
      </c>
      <c r="AP512">
        <v>0</v>
      </c>
      <c r="AQ512">
        <v>0</v>
      </c>
      <c r="AR512">
        <v>3.3330000000000002</v>
      </c>
      <c r="AS512">
        <v>23.332999999999998</v>
      </c>
      <c r="AT512">
        <v>566.66399999999999</v>
      </c>
      <c r="AU512" t="s">
        <v>33</v>
      </c>
    </row>
    <row r="513" spans="1:47" x14ac:dyDescent="0.2">
      <c r="A513">
        <v>103</v>
      </c>
      <c r="B513" t="s">
        <v>925</v>
      </c>
      <c r="C513">
        <v>19</v>
      </c>
      <c r="D513" t="s">
        <v>111</v>
      </c>
      <c r="G513" t="str">
        <f t="shared" si="7"/>
        <v>CHINARE0819NB11</v>
      </c>
      <c r="H513">
        <v>62.881667</v>
      </c>
      <c r="I513">
        <v>-174.531667</v>
      </c>
      <c r="J513" s="3">
        <v>20080724</v>
      </c>
      <c r="K513">
        <v>2008</v>
      </c>
      <c r="L513">
        <v>5.2044899999999998</v>
      </c>
      <c r="M513">
        <v>8.7391000000000005</v>
      </c>
      <c r="N513">
        <v>6.2030000000000002E-2</v>
      </c>
      <c r="O513">
        <v>0.19769</v>
      </c>
      <c r="P513">
        <v>0.23852000000000001</v>
      </c>
      <c r="Q513">
        <v>0</v>
      </c>
      <c r="R513">
        <v>3.7799999999999999E-3</v>
      </c>
      <c r="S513">
        <v>0</v>
      </c>
      <c r="T513">
        <v>8.4600000000000005E-3</v>
      </c>
      <c r="U513">
        <v>0.13250000000000001</v>
      </c>
      <c r="V513">
        <v>14.58657</v>
      </c>
      <c r="W513" t="s">
        <v>10</v>
      </c>
      <c r="X513">
        <v>95.965999999999994</v>
      </c>
      <c r="Y513">
        <v>243.82900000000001</v>
      </c>
      <c r="Z513">
        <v>0.82199999999999995</v>
      </c>
      <c r="AA513">
        <v>4.3929999999999998</v>
      </c>
      <c r="AB513">
        <v>17.036999999999999</v>
      </c>
      <c r="AC513">
        <v>0</v>
      </c>
      <c r="AD513">
        <v>6.2E-2</v>
      </c>
      <c r="AE513">
        <v>0</v>
      </c>
      <c r="AF513">
        <v>9.0999999999999998E-2</v>
      </c>
      <c r="AG513">
        <v>2.8140000000000001</v>
      </c>
      <c r="AH513">
        <v>365.01400000000001</v>
      </c>
      <c r="AI513" t="s">
        <v>22</v>
      </c>
      <c r="AJ513">
        <v>1415</v>
      </c>
      <c r="AK513">
        <v>455</v>
      </c>
      <c r="AL513">
        <v>85</v>
      </c>
      <c r="AM513">
        <v>7.5</v>
      </c>
      <c r="AN513">
        <v>20</v>
      </c>
      <c r="AO513">
        <v>0</v>
      </c>
      <c r="AP513">
        <v>2.5</v>
      </c>
      <c r="AQ513">
        <v>0</v>
      </c>
      <c r="AR513">
        <v>7.5</v>
      </c>
      <c r="AS513">
        <v>197.5</v>
      </c>
      <c r="AT513">
        <v>2190</v>
      </c>
      <c r="AU513" t="s">
        <v>33</v>
      </c>
    </row>
    <row r="514" spans="1:47" x14ac:dyDescent="0.2">
      <c r="A514">
        <v>104</v>
      </c>
      <c r="B514" t="s">
        <v>925</v>
      </c>
      <c r="C514">
        <v>21</v>
      </c>
      <c r="D514" t="s">
        <v>112</v>
      </c>
      <c r="G514" t="str">
        <f t="shared" si="7"/>
        <v>CHINARE0821NB13</v>
      </c>
      <c r="H514">
        <v>62.5715</v>
      </c>
      <c r="I514">
        <v>-173.57316700000001</v>
      </c>
      <c r="J514" s="3">
        <v>20080724</v>
      </c>
      <c r="K514">
        <v>2008</v>
      </c>
      <c r="L514">
        <v>2.8367900000000001</v>
      </c>
      <c r="M514">
        <v>10.915520000000001</v>
      </c>
      <c r="N514">
        <v>8.9429999999999996E-2</v>
      </c>
      <c r="O514">
        <v>4.4999999999999999E-4</v>
      </c>
      <c r="P514">
        <v>0.18148</v>
      </c>
      <c r="Q514">
        <v>0</v>
      </c>
      <c r="R514">
        <v>2.4000000000000001E-4</v>
      </c>
      <c r="S514">
        <v>0</v>
      </c>
      <c r="T514">
        <v>5.3469999999999997E-2</v>
      </c>
      <c r="U514">
        <v>0.13105</v>
      </c>
      <c r="V514">
        <v>14.20843</v>
      </c>
      <c r="W514" t="s">
        <v>10</v>
      </c>
      <c r="X514">
        <v>45.543999999999997</v>
      </c>
      <c r="Y514">
        <v>350.40899999999999</v>
      </c>
      <c r="Z514">
        <v>1.133</v>
      </c>
      <c r="AA514">
        <v>0.01</v>
      </c>
      <c r="AB514">
        <v>12.962999999999999</v>
      </c>
      <c r="AC514">
        <v>0</v>
      </c>
      <c r="AD514">
        <v>4.0000000000000001E-3</v>
      </c>
      <c r="AE514">
        <v>0</v>
      </c>
      <c r="AF514">
        <v>0.57499999999999996</v>
      </c>
      <c r="AG514">
        <v>2.927</v>
      </c>
      <c r="AH514">
        <v>413.565</v>
      </c>
      <c r="AI514" t="s">
        <v>22</v>
      </c>
      <c r="AJ514">
        <v>905</v>
      </c>
      <c r="AK514">
        <v>1005</v>
      </c>
      <c r="AL514">
        <v>157.5</v>
      </c>
      <c r="AM514">
        <v>5</v>
      </c>
      <c r="AN514">
        <v>2.5</v>
      </c>
      <c r="AO514">
        <v>0</v>
      </c>
      <c r="AP514">
        <v>0</v>
      </c>
      <c r="AQ514">
        <v>0</v>
      </c>
      <c r="AR514">
        <v>22.5</v>
      </c>
      <c r="AS514">
        <v>77.5</v>
      </c>
      <c r="AT514">
        <v>2175</v>
      </c>
      <c r="AU514" t="s">
        <v>34</v>
      </c>
    </row>
    <row r="515" spans="1:47" x14ac:dyDescent="0.2">
      <c r="A515">
        <v>105</v>
      </c>
      <c r="B515" t="s">
        <v>925</v>
      </c>
      <c r="C515">
        <v>23</v>
      </c>
      <c r="D515" t="s">
        <v>113</v>
      </c>
      <c r="G515" t="str">
        <f t="shared" ref="G515:G578" si="8">CONCATENATE(B515,C515,D515)</f>
        <v>CHINARE0823NB15</v>
      </c>
      <c r="H515">
        <v>62.202333000000003</v>
      </c>
      <c r="I515">
        <v>-171.98683299999999</v>
      </c>
      <c r="J515" s="3">
        <v>20080725</v>
      </c>
      <c r="K515">
        <v>2008</v>
      </c>
      <c r="L515">
        <v>0.24765999999999999</v>
      </c>
      <c r="M515">
        <v>0.97899000000000003</v>
      </c>
      <c r="N515">
        <v>0.40523999999999999</v>
      </c>
      <c r="O515">
        <v>0</v>
      </c>
      <c r="P515">
        <v>0</v>
      </c>
      <c r="Q515">
        <v>0</v>
      </c>
      <c r="R515">
        <v>0</v>
      </c>
      <c r="S515">
        <v>0.14022000000000001</v>
      </c>
      <c r="T515">
        <v>1.0699999999999999E-2</v>
      </c>
      <c r="U515">
        <v>1.1220000000000001E-2</v>
      </c>
      <c r="V515">
        <v>1.79403</v>
      </c>
      <c r="W515" t="s">
        <v>10</v>
      </c>
      <c r="X515">
        <v>3.6509999999999998</v>
      </c>
      <c r="Y515">
        <v>49.085000000000001</v>
      </c>
      <c r="Z515">
        <v>5.944</v>
      </c>
      <c r="AA515">
        <v>0</v>
      </c>
      <c r="AB515">
        <v>0</v>
      </c>
      <c r="AC515">
        <v>0</v>
      </c>
      <c r="AD515">
        <v>0</v>
      </c>
      <c r="AE515">
        <v>10.016</v>
      </c>
      <c r="AF515">
        <v>0.115</v>
      </c>
      <c r="AG515">
        <v>0.18099999999999999</v>
      </c>
      <c r="AH515">
        <v>68.992000000000004</v>
      </c>
      <c r="AI515" t="s">
        <v>22</v>
      </c>
      <c r="AJ515">
        <v>122.5</v>
      </c>
      <c r="AK515">
        <v>615</v>
      </c>
      <c r="AL515">
        <v>1045</v>
      </c>
      <c r="AM515">
        <v>0</v>
      </c>
      <c r="AN515">
        <v>0</v>
      </c>
      <c r="AO515">
        <v>0</v>
      </c>
      <c r="AP515">
        <v>0</v>
      </c>
      <c r="AQ515">
        <v>20</v>
      </c>
      <c r="AR515">
        <v>2.5</v>
      </c>
      <c r="AS515">
        <v>32.5</v>
      </c>
      <c r="AT515">
        <v>1837.5</v>
      </c>
      <c r="AU515" t="s">
        <v>35</v>
      </c>
    </row>
    <row r="516" spans="1:47" x14ac:dyDescent="0.2">
      <c r="A516">
        <v>106</v>
      </c>
      <c r="B516" t="s">
        <v>925</v>
      </c>
      <c r="C516">
        <v>25</v>
      </c>
      <c r="D516" t="s">
        <v>114</v>
      </c>
      <c r="G516" t="str">
        <f t="shared" si="8"/>
        <v>CHINARE0825NB17</v>
      </c>
      <c r="H516">
        <v>61.831499999999998</v>
      </c>
      <c r="I516">
        <v>-170.001667</v>
      </c>
      <c r="J516" s="3">
        <v>20080725</v>
      </c>
      <c r="K516">
        <v>2008</v>
      </c>
      <c r="L516">
        <v>3.3132299999999999</v>
      </c>
      <c r="M516">
        <v>2.7673800000000002</v>
      </c>
      <c r="N516">
        <v>0.71650999999999998</v>
      </c>
      <c r="O516">
        <v>0</v>
      </c>
      <c r="P516">
        <v>6.9999999999999994E-5</v>
      </c>
      <c r="Q516">
        <v>0</v>
      </c>
      <c r="R516">
        <v>0</v>
      </c>
      <c r="S516">
        <v>0</v>
      </c>
      <c r="T516">
        <v>2.9389999999999999E-2</v>
      </c>
      <c r="U516">
        <v>4.13E-3</v>
      </c>
      <c r="V516">
        <v>6.8307099999999998</v>
      </c>
      <c r="W516" t="s">
        <v>9</v>
      </c>
      <c r="X516">
        <v>50.289000000000001</v>
      </c>
      <c r="Y516">
        <v>68.588999999999999</v>
      </c>
      <c r="Z516">
        <v>10.3</v>
      </c>
      <c r="AA516">
        <v>0</v>
      </c>
      <c r="AB516">
        <v>5.0000000000000001E-3</v>
      </c>
      <c r="AC516">
        <v>0</v>
      </c>
      <c r="AD516">
        <v>0</v>
      </c>
      <c r="AE516">
        <v>0</v>
      </c>
      <c r="AF516">
        <v>0.316</v>
      </c>
      <c r="AG516">
        <v>8.2000000000000003E-2</v>
      </c>
      <c r="AH516">
        <v>129.58099999999999</v>
      </c>
      <c r="AI516" t="s">
        <v>22</v>
      </c>
      <c r="AJ516">
        <v>1242.5</v>
      </c>
      <c r="AK516">
        <v>1867.5</v>
      </c>
      <c r="AL516">
        <v>2760</v>
      </c>
      <c r="AM516">
        <v>0</v>
      </c>
      <c r="AN516">
        <v>5</v>
      </c>
      <c r="AO516">
        <v>0</v>
      </c>
      <c r="AP516">
        <v>0</v>
      </c>
      <c r="AQ516">
        <v>0</v>
      </c>
      <c r="AR516">
        <v>17.5</v>
      </c>
      <c r="AS516">
        <v>32.5</v>
      </c>
      <c r="AT516">
        <v>5925</v>
      </c>
      <c r="AU516" t="s">
        <v>35</v>
      </c>
    </row>
    <row r="517" spans="1:47" x14ac:dyDescent="0.2">
      <c r="A517">
        <v>107</v>
      </c>
      <c r="B517" t="s">
        <v>925</v>
      </c>
      <c r="C517">
        <v>27</v>
      </c>
      <c r="D517" t="s">
        <v>115</v>
      </c>
      <c r="G517" t="str">
        <f t="shared" si="8"/>
        <v>CHINARE0827NB19</v>
      </c>
      <c r="H517">
        <v>61.496000000000002</v>
      </c>
      <c r="I517">
        <v>-168.01499999999999</v>
      </c>
      <c r="J517" s="3">
        <v>20080725</v>
      </c>
      <c r="K517">
        <v>2008</v>
      </c>
      <c r="L517">
        <v>13.893319999999999</v>
      </c>
      <c r="M517">
        <v>0.12806000000000001</v>
      </c>
      <c r="N517">
        <v>0.59004999999999996</v>
      </c>
      <c r="O517">
        <v>0</v>
      </c>
      <c r="P517">
        <v>7.5000000000000002E-4</v>
      </c>
      <c r="Q517">
        <v>9.7199999999999995E-3</v>
      </c>
      <c r="R517">
        <v>5.5000000000000003E-4</v>
      </c>
      <c r="S517">
        <v>0</v>
      </c>
      <c r="T517">
        <v>9.1880000000000003E-2</v>
      </c>
      <c r="U517">
        <v>7.9339999999999994E-2</v>
      </c>
      <c r="V517">
        <v>14.793670000000001</v>
      </c>
      <c r="W517" t="s">
        <v>9</v>
      </c>
      <c r="X517">
        <v>201.483</v>
      </c>
      <c r="Y517">
        <v>5.423</v>
      </c>
      <c r="Z517">
        <v>8.5640000000000001</v>
      </c>
      <c r="AA517">
        <v>0</v>
      </c>
      <c r="AB517">
        <v>5.3999999999999999E-2</v>
      </c>
      <c r="AC517">
        <v>0.88400000000000001</v>
      </c>
      <c r="AD517">
        <v>8.9999999999999993E-3</v>
      </c>
      <c r="AE517">
        <v>0</v>
      </c>
      <c r="AF517">
        <v>0.98799999999999999</v>
      </c>
      <c r="AG517">
        <v>1.484</v>
      </c>
      <c r="AH517">
        <v>218.88900000000001</v>
      </c>
      <c r="AI517" t="s">
        <v>21</v>
      </c>
      <c r="AJ517">
        <v>48067.5</v>
      </c>
      <c r="AK517">
        <v>855</v>
      </c>
      <c r="AL517">
        <v>3830</v>
      </c>
      <c r="AM517">
        <v>0</v>
      </c>
      <c r="AN517">
        <v>30</v>
      </c>
      <c r="AO517">
        <v>1337.5</v>
      </c>
      <c r="AP517">
        <v>0</v>
      </c>
      <c r="AQ517">
        <v>0</v>
      </c>
      <c r="AR517">
        <v>222.5</v>
      </c>
      <c r="AS517">
        <v>182.5</v>
      </c>
      <c r="AT517">
        <v>54525</v>
      </c>
      <c r="AU517" t="s">
        <v>33</v>
      </c>
    </row>
    <row r="518" spans="1:47" x14ac:dyDescent="0.2">
      <c r="A518">
        <v>108</v>
      </c>
      <c r="B518" t="s">
        <v>925</v>
      </c>
      <c r="C518">
        <v>29</v>
      </c>
      <c r="D518" t="s">
        <v>116</v>
      </c>
      <c r="G518" t="str">
        <f t="shared" si="8"/>
        <v>CHINARE0829NB28</v>
      </c>
      <c r="H518">
        <v>62.195999999999998</v>
      </c>
      <c r="I518">
        <v>-169.00399999999999</v>
      </c>
      <c r="J518" s="3">
        <v>20080725</v>
      </c>
      <c r="K518">
        <v>2008</v>
      </c>
      <c r="L518">
        <v>1.1417900000000001</v>
      </c>
      <c r="M518">
        <v>0.27956999999999999</v>
      </c>
      <c r="N518">
        <v>0.34756999999999999</v>
      </c>
      <c r="O518">
        <v>0</v>
      </c>
      <c r="P518">
        <v>1E-4</v>
      </c>
      <c r="Q518">
        <v>9.2000000000000003E-4</v>
      </c>
      <c r="R518">
        <v>1.4030000000000001E-2</v>
      </c>
      <c r="S518">
        <v>0</v>
      </c>
      <c r="T518">
        <v>0.02</v>
      </c>
      <c r="U518">
        <v>3.143E-2</v>
      </c>
      <c r="V518">
        <v>1.83541</v>
      </c>
      <c r="W518" t="s">
        <v>9</v>
      </c>
      <c r="X518">
        <v>16.434000000000001</v>
      </c>
      <c r="Y518">
        <v>15.146000000000001</v>
      </c>
      <c r="Z518">
        <v>4.9710000000000001</v>
      </c>
      <c r="AA518">
        <v>0</v>
      </c>
      <c r="AB518">
        <v>7.0000000000000001E-3</v>
      </c>
      <c r="AC518">
        <v>8.4000000000000005E-2</v>
      </c>
      <c r="AD518">
        <v>0.23</v>
      </c>
      <c r="AE518">
        <v>0</v>
      </c>
      <c r="AF518">
        <v>0.215</v>
      </c>
      <c r="AG518">
        <v>2.2789999999999999</v>
      </c>
      <c r="AH518">
        <v>39.366</v>
      </c>
      <c r="AI518" t="s">
        <v>21</v>
      </c>
      <c r="AJ518">
        <v>1992.5</v>
      </c>
      <c r="AK518">
        <v>1165</v>
      </c>
      <c r="AL518">
        <v>3322.5</v>
      </c>
      <c r="AM518">
        <v>0</v>
      </c>
      <c r="AN518">
        <v>2.5</v>
      </c>
      <c r="AO518">
        <v>200</v>
      </c>
      <c r="AP518">
        <v>0</v>
      </c>
      <c r="AQ518">
        <v>0</v>
      </c>
      <c r="AR518">
        <v>40</v>
      </c>
      <c r="AS518">
        <v>40</v>
      </c>
      <c r="AT518">
        <v>6762.5</v>
      </c>
      <c r="AU518" t="s">
        <v>35</v>
      </c>
    </row>
    <row r="519" spans="1:47" x14ac:dyDescent="0.2">
      <c r="A519">
        <v>109</v>
      </c>
      <c r="B519" t="s">
        <v>925</v>
      </c>
      <c r="C519">
        <v>31</v>
      </c>
      <c r="D519" t="s">
        <v>117</v>
      </c>
      <c r="G519" t="str">
        <f t="shared" si="8"/>
        <v>CHINARE0831NB26</v>
      </c>
      <c r="H519">
        <v>62.426833000000002</v>
      </c>
      <c r="I519">
        <v>-170.09700000000001</v>
      </c>
      <c r="J519" s="3">
        <v>20080726</v>
      </c>
      <c r="K519">
        <v>2008</v>
      </c>
      <c r="L519">
        <v>1.34748</v>
      </c>
      <c r="M519">
        <v>8.4029999999999994E-2</v>
      </c>
      <c r="N519">
        <v>0.52253000000000005</v>
      </c>
      <c r="O519">
        <v>0</v>
      </c>
      <c r="P519">
        <v>0</v>
      </c>
      <c r="Q519">
        <v>0</v>
      </c>
      <c r="R519">
        <v>1.8000000000000001E-4</v>
      </c>
      <c r="S519">
        <v>0</v>
      </c>
      <c r="T519">
        <v>2.3060000000000001E-2</v>
      </c>
      <c r="U519">
        <v>4.4519999999999997E-2</v>
      </c>
      <c r="V519">
        <v>2.0217999999999998</v>
      </c>
      <c r="W519" t="s">
        <v>9</v>
      </c>
      <c r="X519">
        <v>19.657</v>
      </c>
      <c r="Y519">
        <v>2.7280000000000002</v>
      </c>
      <c r="Z519">
        <v>7.1040000000000001</v>
      </c>
      <c r="AA519">
        <v>0</v>
      </c>
      <c r="AB519">
        <v>0</v>
      </c>
      <c r="AC519">
        <v>0</v>
      </c>
      <c r="AD519">
        <v>3.0000000000000001E-3</v>
      </c>
      <c r="AE519">
        <v>0</v>
      </c>
      <c r="AF519">
        <v>0.248</v>
      </c>
      <c r="AG519">
        <v>0.83399999999999996</v>
      </c>
      <c r="AH519">
        <v>30.574000000000002</v>
      </c>
      <c r="AI519" t="s">
        <v>21</v>
      </c>
      <c r="AJ519">
        <v>1745</v>
      </c>
      <c r="AK519">
        <v>1000</v>
      </c>
      <c r="AL519">
        <v>5562.5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135</v>
      </c>
      <c r="AS519">
        <v>50</v>
      </c>
      <c r="AT519">
        <v>8492.5</v>
      </c>
      <c r="AU519" t="s">
        <v>35</v>
      </c>
    </row>
    <row r="520" spans="1:47" x14ac:dyDescent="0.2">
      <c r="A520">
        <v>110</v>
      </c>
      <c r="B520" t="s">
        <v>925</v>
      </c>
      <c r="C520">
        <v>33</v>
      </c>
      <c r="D520" t="s">
        <v>118</v>
      </c>
      <c r="G520" t="str">
        <f t="shared" si="8"/>
        <v>CHINARE0833NB24</v>
      </c>
      <c r="H520">
        <v>62.750500000000002</v>
      </c>
      <c r="I520">
        <v>-171.63300000000001</v>
      </c>
      <c r="J520" s="3">
        <v>20080726</v>
      </c>
      <c r="K520">
        <v>2008</v>
      </c>
      <c r="L520">
        <v>1.1930499999999999</v>
      </c>
      <c r="M520">
        <v>12.41766</v>
      </c>
      <c r="N520">
        <v>4.7660000000000001E-2</v>
      </c>
      <c r="O520">
        <v>0</v>
      </c>
      <c r="P520">
        <v>0.23995</v>
      </c>
      <c r="Q520">
        <v>0</v>
      </c>
      <c r="R520">
        <v>1.891E-2</v>
      </c>
      <c r="S520">
        <v>1.12612</v>
      </c>
      <c r="T520">
        <v>4.6000000000000001E-4</v>
      </c>
      <c r="U520">
        <v>5.1389999999999998E-2</v>
      </c>
      <c r="V520">
        <v>15.0952</v>
      </c>
      <c r="W520" t="s">
        <v>10</v>
      </c>
      <c r="X520">
        <v>17.829999999999998</v>
      </c>
      <c r="Y520">
        <v>312.75400000000002</v>
      </c>
      <c r="Z520">
        <v>0.59599999999999997</v>
      </c>
      <c r="AA520">
        <v>0</v>
      </c>
      <c r="AB520">
        <v>17.138999999999999</v>
      </c>
      <c r="AC520">
        <v>0</v>
      </c>
      <c r="AD520">
        <v>0.31</v>
      </c>
      <c r="AE520">
        <v>80.436999999999998</v>
      </c>
      <c r="AF520">
        <v>5.0000000000000001E-3</v>
      </c>
      <c r="AG520">
        <v>0.83899999999999997</v>
      </c>
      <c r="AH520">
        <v>429.91</v>
      </c>
      <c r="AI520" t="s">
        <v>22</v>
      </c>
      <c r="AJ520">
        <v>1007.5</v>
      </c>
      <c r="AK520">
        <v>1017.5</v>
      </c>
      <c r="AL520">
        <v>695</v>
      </c>
      <c r="AM520">
        <v>0</v>
      </c>
      <c r="AN520">
        <v>2.5</v>
      </c>
      <c r="AO520">
        <v>0</v>
      </c>
      <c r="AP520">
        <v>0</v>
      </c>
      <c r="AQ520">
        <v>107.5</v>
      </c>
      <c r="AR520">
        <v>2.5</v>
      </c>
      <c r="AS520">
        <v>22.5</v>
      </c>
      <c r="AT520">
        <v>2855</v>
      </c>
      <c r="AU520" t="s">
        <v>34</v>
      </c>
    </row>
    <row r="521" spans="1:47" x14ac:dyDescent="0.2">
      <c r="A521">
        <v>111</v>
      </c>
      <c r="B521" t="s">
        <v>925</v>
      </c>
      <c r="C521">
        <v>35</v>
      </c>
      <c r="D521" t="s">
        <v>119</v>
      </c>
      <c r="G521" t="str">
        <f t="shared" si="8"/>
        <v>CHINARE0835NB22</v>
      </c>
      <c r="H521">
        <v>63.114832999999997</v>
      </c>
      <c r="I521">
        <v>-173.12016700000001</v>
      </c>
      <c r="J521" s="3">
        <v>20080726</v>
      </c>
      <c r="K521">
        <v>2008</v>
      </c>
      <c r="L521">
        <v>3.3478300000000001</v>
      </c>
      <c r="M521">
        <v>13.12196</v>
      </c>
      <c r="N521">
        <v>0.74931000000000003</v>
      </c>
      <c r="O521">
        <v>2.8400000000000001E-3</v>
      </c>
      <c r="P521">
        <v>2.0000000000000001E-4</v>
      </c>
      <c r="Q521">
        <v>0</v>
      </c>
      <c r="R521">
        <v>2.32E-3</v>
      </c>
      <c r="S521">
        <v>0</v>
      </c>
      <c r="T521">
        <v>0.90283999999999998</v>
      </c>
      <c r="U521">
        <v>0.14978</v>
      </c>
      <c r="V521">
        <v>18.277080000000002</v>
      </c>
      <c r="W521" t="s">
        <v>10</v>
      </c>
      <c r="X521">
        <v>51.625999999999998</v>
      </c>
      <c r="Y521">
        <v>377.63099999999997</v>
      </c>
      <c r="Z521">
        <v>8.9809999999999999</v>
      </c>
      <c r="AA521">
        <v>6.3E-2</v>
      </c>
      <c r="AB521">
        <v>1.4E-2</v>
      </c>
      <c r="AC521">
        <v>0</v>
      </c>
      <c r="AD521">
        <v>3.7999999999999999E-2</v>
      </c>
      <c r="AE521">
        <v>0</v>
      </c>
      <c r="AF521">
        <v>9.7080000000000002</v>
      </c>
      <c r="AG521">
        <v>3.2429999999999999</v>
      </c>
      <c r="AH521">
        <v>451.30399999999997</v>
      </c>
      <c r="AI521" t="s">
        <v>22</v>
      </c>
      <c r="AJ521">
        <v>770</v>
      </c>
      <c r="AK521">
        <v>1940</v>
      </c>
      <c r="AL521">
        <v>1532.5</v>
      </c>
      <c r="AM521">
        <v>37.5</v>
      </c>
      <c r="AN521">
        <v>2.5</v>
      </c>
      <c r="AO521">
        <v>0</v>
      </c>
      <c r="AP521">
        <v>0</v>
      </c>
      <c r="AQ521">
        <v>0</v>
      </c>
      <c r="AR521">
        <v>32.5</v>
      </c>
      <c r="AS521">
        <v>180</v>
      </c>
      <c r="AT521">
        <v>4495</v>
      </c>
      <c r="AU521" t="s">
        <v>34</v>
      </c>
    </row>
    <row r="522" spans="1:47" x14ac:dyDescent="0.2">
      <c r="A522">
        <v>112</v>
      </c>
      <c r="B522" t="s">
        <v>925</v>
      </c>
      <c r="C522">
        <v>37</v>
      </c>
      <c r="D522" t="s">
        <v>120</v>
      </c>
      <c r="G522" t="str">
        <f t="shared" si="8"/>
        <v>CHINARE0837BS01</v>
      </c>
      <c r="H522">
        <v>64.332832999999994</v>
      </c>
      <c r="I522">
        <v>-171.00299999999999</v>
      </c>
      <c r="J522" s="3">
        <v>20080726</v>
      </c>
      <c r="K522">
        <v>2008</v>
      </c>
      <c r="L522">
        <v>2.5833499999999998</v>
      </c>
      <c r="M522">
        <v>0.21002999999999999</v>
      </c>
      <c r="N522">
        <v>0.27665000000000001</v>
      </c>
      <c r="O522">
        <v>2.2009999999999998E-2</v>
      </c>
      <c r="P522">
        <v>0.21662000000000001</v>
      </c>
      <c r="Q522">
        <v>6.3345500000000001</v>
      </c>
      <c r="R522">
        <v>11.604979999999999</v>
      </c>
      <c r="S522">
        <v>0.49088999999999999</v>
      </c>
      <c r="T522">
        <v>0.13532</v>
      </c>
      <c r="U522">
        <v>0.32899</v>
      </c>
      <c r="V522">
        <v>22.203389999999999</v>
      </c>
      <c r="W522" t="s">
        <v>15</v>
      </c>
      <c r="X522">
        <v>39.323</v>
      </c>
      <c r="Y522">
        <v>11.465999999999999</v>
      </c>
      <c r="Z522">
        <v>3.6720000000000002</v>
      </c>
      <c r="AA522">
        <v>0.48899999999999999</v>
      </c>
      <c r="AB522">
        <v>15.473000000000001</v>
      </c>
      <c r="AC522">
        <v>575.86800000000005</v>
      </c>
      <c r="AD522">
        <v>190.249</v>
      </c>
      <c r="AE522">
        <v>12.042</v>
      </c>
      <c r="AF522">
        <v>1.4550000000000001</v>
      </c>
      <c r="AG522">
        <v>22.701000000000001</v>
      </c>
      <c r="AH522">
        <v>872.73800000000006</v>
      </c>
      <c r="AI522" t="s">
        <v>26</v>
      </c>
      <c r="AJ522">
        <v>3082.5</v>
      </c>
      <c r="AK522">
        <v>300</v>
      </c>
      <c r="AL522">
        <v>1342.5</v>
      </c>
      <c r="AM522">
        <v>22.5</v>
      </c>
      <c r="AN522">
        <v>417.5</v>
      </c>
      <c r="AO522">
        <v>225</v>
      </c>
      <c r="AP522">
        <v>5</v>
      </c>
      <c r="AQ522">
        <v>25</v>
      </c>
      <c r="AR522">
        <v>130</v>
      </c>
      <c r="AS522">
        <v>422.5</v>
      </c>
      <c r="AT522">
        <v>5972.5</v>
      </c>
      <c r="AU522" t="s">
        <v>33</v>
      </c>
    </row>
    <row r="523" spans="1:47" x14ac:dyDescent="0.2">
      <c r="A523">
        <v>113</v>
      </c>
      <c r="B523" t="s">
        <v>925</v>
      </c>
      <c r="C523">
        <v>39</v>
      </c>
      <c r="D523" t="s">
        <v>121</v>
      </c>
      <c r="G523" t="str">
        <f t="shared" si="8"/>
        <v>CHINARE0839BS03</v>
      </c>
      <c r="H523">
        <v>64.336167000000003</v>
      </c>
      <c r="I523">
        <v>-170.49700000000001</v>
      </c>
      <c r="J523" s="3">
        <v>20080727</v>
      </c>
      <c r="K523">
        <v>2008</v>
      </c>
      <c r="L523">
        <v>9.5155899999999995</v>
      </c>
      <c r="M523">
        <v>1.1049599999999999</v>
      </c>
      <c r="N523">
        <v>0.17143</v>
      </c>
      <c r="O523">
        <v>9.7699999999999992E-3</v>
      </c>
      <c r="P523">
        <v>7.9990000000000006E-2</v>
      </c>
      <c r="Q523">
        <v>0</v>
      </c>
      <c r="R523">
        <v>0.22838</v>
      </c>
      <c r="S523">
        <v>0</v>
      </c>
      <c r="T523">
        <v>9.0200000000000002E-3</v>
      </c>
      <c r="U523">
        <v>1.38642</v>
      </c>
      <c r="V523">
        <v>12.505559999999999</v>
      </c>
      <c r="W523" t="s">
        <v>9</v>
      </c>
      <c r="X523">
        <v>151.65700000000001</v>
      </c>
      <c r="Y523">
        <v>33.378</v>
      </c>
      <c r="Z523">
        <v>2.3319999999999999</v>
      </c>
      <c r="AA523">
        <v>0.217</v>
      </c>
      <c r="AB523">
        <v>5.7140000000000004</v>
      </c>
      <c r="AC523">
        <v>0</v>
      </c>
      <c r="AD523">
        <v>3.7440000000000002</v>
      </c>
      <c r="AE523">
        <v>0</v>
      </c>
      <c r="AF523">
        <v>9.7000000000000003E-2</v>
      </c>
      <c r="AG523">
        <v>90.05</v>
      </c>
      <c r="AH523">
        <v>287.18900000000002</v>
      </c>
      <c r="AI523" t="s">
        <v>21</v>
      </c>
      <c r="AJ523">
        <v>10357.5</v>
      </c>
      <c r="AK523">
        <v>605</v>
      </c>
      <c r="AL523">
        <v>1792.5</v>
      </c>
      <c r="AM523">
        <v>12.5</v>
      </c>
      <c r="AN523">
        <v>172.5</v>
      </c>
      <c r="AO523">
        <v>0</v>
      </c>
      <c r="AP523">
        <v>0</v>
      </c>
      <c r="AQ523">
        <v>0</v>
      </c>
      <c r="AR523">
        <v>32.5</v>
      </c>
      <c r="AS523">
        <v>112.5</v>
      </c>
      <c r="AT523">
        <v>13085</v>
      </c>
      <c r="AU523" t="s">
        <v>33</v>
      </c>
    </row>
    <row r="524" spans="1:47" x14ac:dyDescent="0.2">
      <c r="A524">
        <v>114</v>
      </c>
      <c r="B524" t="s">
        <v>925</v>
      </c>
      <c r="C524">
        <v>41</v>
      </c>
      <c r="D524" t="s">
        <v>122</v>
      </c>
      <c r="G524" t="str">
        <f t="shared" si="8"/>
        <v>CHINARE0841BS05</v>
      </c>
      <c r="H524">
        <v>64.331166999999994</v>
      </c>
      <c r="I524">
        <v>-169.49716699999999</v>
      </c>
      <c r="J524" s="3">
        <v>20080727</v>
      </c>
      <c r="K524">
        <v>2008</v>
      </c>
      <c r="L524">
        <v>0.81745000000000001</v>
      </c>
      <c r="M524">
        <v>0.18135000000000001</v>
      </c>
      <c r="N524">
        <v>5.2780000000000001E-2</v>
      </c>
      <c r="O524">
        <v>0</v>
      </c>
      <c r="P524">
        <v>3.8000000000000002E-4</v>
      </c>
      <c r="Q524">
        <v>1.0000000000000001E-5</v>
      </c>
      <c r="R524">
        <v>6.77E-3</v>
      </c>
      <c r="S524">
        <v>6.3099999999999996E-3</v>
      </c>
      <c r="T524">
        <v>5.5999999999999995E-4</v>
      </c>
      <c r="U524">
        <v>5.1700000000000003E-2</v>
      </c>
      <c r="V524">
        <v>1.11731</v>
      </c>
      <c r="W524" t="s">
        <v>9</v>
      </c>
      <c r="X524">
        <v>11.725</v>
      </c>
      <c r="Y524">
        <v>5.2629999999999999</v>
      </c>
      <c r="Z524">
        <v>0.72499999999999998</v>
      </c>
      <c r="AA524">
        <v>0</v>
      </c>
      <c r="AB524">
        <v>2.7E-2</v>
      </c>
      <c r="AC524">
        <v>1E-3</v>
      </c>
      <c r="AD524">
        <v>0.111</v>
      </c>
      <c r="AE524">
        <v>0.45100000000000001</v>
      </c>
      <c r="AF524">
        <v>6.0000000000000001E-3</v>
      </c>
      <c r="AG524">
        <v>5.1020000000000003</v>
      </c>
      <c r="AH524">
        <v>23.411000000000001</v>
      </c>
      <c r="AI524" t="s">
        <v>21</v>
      </c>
      <c r="AJ524">
        <v>537.5</v>
      </c>
      <c r="AK524">
        <v>162.5</v>
      </c>
      <c r="AL524">
        <v>482.5</v>
      </c>
      <c r="AM524">
        <v>0</v>
      </c>
      <c r="AN524">
        <v>7.5</v>
      </c>
      <c r="AO524">
        <v>2.5</v>
      </c>
      <c r="AP524">
        <v>0</v>
      </c>
      <c r="AQ524">
        <v>2.5</v>
      </c>
      <c r="AR524">
        <v>12.5</v>
      </c>
      <c r="AS524">
        <v>12.5</v>
      </c>
      <c r="AT524">
        <v>1220</v>
      </c>
      <c r="AU524" t="s">
        <v>33</v>
      </c>
    </row>
    <row r="525" spans="1:47" x14ac:dyDescent="0.2">
      <c r="A525">
        <v>115</v>
      </c>
      <c r="B525" t="s">
        <v>925</v>
      </c>
      <c r="C525">
        <v>43</v>
      </c>
      <c r="D525" t="s">
        <v>123</v>
      </c>
      <c r="G525" t="str">
        <f t="shared" si="8"/>
        <v>CHINARE0843BS07</v>
      </c>
      <c r="H525">
        <v>64.334500000000006</v>
      </c>
      <c r="I525">
        <v>-168.49616700000001</v>
      </c>
      <c r="J525" s="3">
        <v>20080727</v>
      </c>
      <c r="K525">
        <v>2008</v>
      </c>
      <c r="L525">
        <v>3.81134</v>
      </c>
      <c r="M525">
        <v>4.4993299999999996</v>
      </c>
      <c r="N525">
        <v>3.8911600000000002</v>
      </c>
      <c r="O525">
        <v>0</v>
      </c>
      <c r="P525">
        <v>0</v>
      </c>
      <c r="Q525">
        <v>5.2440000000000001E-2</v>
      </c>
      <c r="R525">
        <v>0.3352</v>
      </c>
      <c r="S525">
        <v>0</v>
      </c>
      <c r="T525">
        <v>4.4819999999999999E-2</v>
      </c>
      <c r="U525">
        <v>2.20445</v>
      </c>
      <c r="V525">
        <v>14.83874</v>
      </c>
      <c r="W525" t="s">
        <v>10</v>
      </c>
      <c r="X525">
        <v>59.969000000000001</v>
      </c>
      <c r="Y525">
        <v>120.45099999999999</v>
      </c>
      <c r="Z525">
        <v>56.481999999999999</v>
      </c>
      <c r="AA525">
        <v>0</v>
      </c>
      <c r="AB525">
        <v>0</v>
      </c>
      <c r="AC525">
        <v>6.5549999999999997</v>
      </c>
      <c r="AD525">
        <v>5.4950000000000001</v>
      </c>
      <c r="AE525">
        <v>0</v>
      </c>
      <c r="AF525">
        <v>0.48199999999999998</v>
      </c>
      <c r="AG525">
        <v>104.869</v>
      </c>
      <c r="AH525">
        <v>354.303</v>
      </c>
      <c r="AI525" t="s">
        <v>22</v>
      </c>
      <c r="AJ525">
        <v>2885</v>
      </c>
      <c r="AK525">
        <v>2770</v>
      </c>
      <c r="AL525">
        <v>11895</v>
      </c>
      <c r="AM525">
        <v>0</v>
      </c>
      <c r="AN525">
        <v>0</v>
      </c>
      <c r="AO525">
        <v>2.5</v>
      </c>
      <c r="AP525">
        <v>0</v>
      </c>
      <c r="AQ525">
        <v>0</v>
      </c>
      <c r="AR525">
        <v>27.5</v>
      </c>
      <c r="AS525">
        <v>7.5</v>
      </c>
      <c r="AT525">
        <v>17587.5</v>
      </c>
      <c r="AU525" t="s">
        <v>35</v>
      </c>
    </row>
    <row r="526" spans="1:47" x14ac:dyDescent="0.2">
      <c r="A526">
        <v>116</v>
      </c>
      <c r="B526" t="s">
        <v>925</v>
      </c>
      <c r="C526">
        <v>45</v>
      </c>
      <c r="D526" t="s">
        <v>124</v>
      </c>
      <c r="G526" t="str">
        <f t="shared" si="8"/>
        <v>CHINARE0845BS09</v>
      </c>
      <c r="H526">
        <v>64.332333000000006</v>
      </c>
      <c r="I526">
        <v>-167.5025</v>
      </c>
      <c r="J526" s="3">
        <v>20080727</v>
      </c>
      <c r="K526">
        <v>2008</v>
      </c>
      <c r="L526">
        <v>1.3244800000000001</v>
      </c>
      <c r="M526">
        <v>8.8679999999999995E-2</v>
      </c>
      <c r="N526">
        <v>0.37545000000000001</v>
      </c>
      <c r="O526">
        <v>2.97E-3</v>
      </c>
      <c r="P526">
        <v>1.64E-3</v>
      </c>
      <c r="Q526">
        <v>9.3338599999999996</v>
      </c>
      <c r="R526">
        <v>8.3210000000000006E-2</v>
      </c>
      <c r="S526">
        <v>0</v>
      </c>
      <c r="T526">
        <v>2.0740000000000001E-2</v>
      </c>
      <c r="U526">
        <v>2.3282500000000002</v>
      </c>
      <c r="V526">
        <v>13.559279999999999</v>
      </c>
      <c r="W526" t="s">
        <v>14</v>
      </c>
      <c r="X526">
        <v>18.102</v>
      </c>
      <c r="Y526">
        <v>4.3559999999999999</v>
      </c>
      <c r="Z526">
        <v>5.319</v>
      </c>
      <c r="AA526">
        <v>6.6000000000000003E-2</v>
      </c>
      <c r="AB526">
        <v>0.11700000000000001</v>
      </c>
      <c r="AC526">
        <v>1166.692</v>
      </c>
      <c r="AD526">
        <v>1.3640000000000001</v>
      </c>
      <c r="AE526">
        <v>0</v>
      </c>
      <c r="AF526">
        <v>0.223</v>
      </c>
      <c r="AG526">
        <v>121.667</v>
      </c>
      <c r="AH526">
        <v>1317.9059999999999</v>
      </c>
      <c r="AI526" t="s">
        <v>26</v>
      </c>
      <c r="AJ526">
        <v>1617.5</v>
      </c>
      <c r="AK526">
        <v>352.5</v>
      </c>
      <c r="AL526">
        <v>2112.5</v>
      </c>
      <c r="AM526">
        <v>5</v>
      </c>
      <c r="AN526">
        <v>20</v>
      </c>
      <c r="AO526">
        <v>165</v>
      </c>
      <c r="AP526">
        <v>27.5</v>
      </c>
      <c r="AQ526">
        <v>0</v>
      </c>
      <c r="AR526">
        <v>37.5</v>
      </c>
      <c r="AS526">
        <v>45</v>
      </c>
      <c r="AT526">
        <v>4382.5</v>
      </c>
      <c r="AU526" t="s">
        <v>35</v>
      </c>
    </row>
    <row r="527" spans="1:47" x14ac:dyDescent="0.2">
      <c r="A527">
        <v>447</v>
      </c>
      <c r="B527" t="s">
        <v>315</v>
      </c>
      <c r="C527">
        <v>1</v>
      </c>
      <c r="D527" s="4" t="s">
        <v>551</v>
      </c>
      <c r="E527" s="4" t="s">
        <v>551</v>
      </c>
      <c r="F527" s="4" t="s">
        <v>268</v>
      </c>
      <c r="G527" t="str">
        <f t="shared" si="8"/>
        <v>HLY08011SLIP1</v>
      </c>
      <c r="H527">
        <v>61.973529999999997</v>
      </c>
      <c r="I527">
        <v>-175.05</v>
      </c>
      <c r="J527" s="3">
        <v>20080316</v>
      </c>
      <c r="K527">
        <v>2008</v>
      </c>
      <c r="L527">
        <v>4.9208100000000004</v>
      </c>
      <c r="M527">
        <v>10.63349</v>
      </c>
      <c r="N527">
        <v>7.5819999999999999E-2</v>
      </c>
      <c r="O527">
        <v>9.5399999999999999E-3</v>
      </c>
      <c r="P527">
        <v>0.31674999999999998</v>
      </c>
      <c r="Q527">
        <v>0</v>
      </c>
      <c r="R527">
        <v>0</v>
      </c>
      <c r="S527">
        <v>0</v>
      </c>
      <c r="T527">
        <v>0.45523999999999998</v>
      </c>
      <c r="U527">
        <v>7.4709999999999999E-2</v>
      </c>
      <c r="V527">
        <v>16.486360000000001</v>
      </c>
      <c r="W527" t="s">
        <v>10</v>
      </c>
      <c r="X527">
        <v>70.471000000000004</v>
      </c>
      <c r="Y527">
        <v>375.07600000000002</v>
      </c>
      <c r="Z527">
        <v>0.97899999999999998</v>
      </c>
      <c r="AA527">
        <v>0.21199999999999999</v>
      </c>
      <c r="AB527">
        <v>22.625</v>
      </c>
      <c r="AC527">
        <v>0</v>
      </c>
      <c r="AD527">
        <v>0</v>
      </c>
      <c r="AE527">
        <v>0</v>
      </c>
      <c r="AF527">
        <v>4.8949999999999996</v>
      </c>
      <c r="AG527">
        <v>1.393</v>
      </c>
      <c r="AH527">
        <v>475.65100000000001</v>
      </c>
      <c r="AI527" t="s">
        <v>22</v>
      </c>
      <c r="AJ527">
        <v>912.5</v>
      </c>
      <c r="AK527">
        <v>887.5</v>
      </c>
      <c r="AL527">
        <v>160</v>
      </c>
      <c r="AM527">
        <v>35</v>
      </c>
      <c r="AN527">
        <v>162.5</v>
      </c>
      <c r="AO527">
        <v>0</v>
      </c>
      <c r="AP527">
        <v>0</v>
      </c>
      <c r="AQ527">
        <v>0</v>
      </c>
      <c r="AR527">
        <v>27.5</v>
      </c>
      <c r="AS527">
        <v>32.5</v>
      </c>
      <c r="AT527">
        <v>2217.5</v>
      </c>
      <c r="AU527" t="s">
        <v>33</v>
      </c>
    </row>
    <row r="528" spans="1:47" x14ac:dyDescent="0.2">
      <c r="A528">
        <v>448</v>
      </c>
      <c r="B528" t="s">
        <v>315</v>
      </c>
      <c r="C528">
        <v>10</v>
      </c>
      <c r="D528" t="s">
        <v>247</v>
      </c>
      <c r="G528" t="str">
        <f t="shared" si="8"/>
        <v>HLY080110NWC2</v>
      </c>
      <c r="H528">
        <v>63.118639999999999</v>
      </c>
      <c r="I528">
        <v>-173.12200000000001</v>
      </c>
      <c r="J528" s="3">
        <v>20080319</v>
      </c>
      <c r="K528">
        <v>2008</v>
      </c>
      <c r="L528">
        <v>2.6819299999999999</v>
      </c>
      <c r="M528">
        <v>14.594049999999999</v>
      </c>
      <c r="N528">
        <v>1.07334</v>
      </c>
      <c r="O528">
        <v>1.58E-3</v>
      </c>
      <c r="P528">
        <v>0.55349000000000004</v>
      </c>
      <c r="Q528">
        <v>0</v>
      </c>
      <c r="R528">
        <v>0</v>
      </c>
      <c r="S528">
        <v>0</v>
      </c>
      <c r="T528">
        <v>1.97532</v>
      </c>
      <c r="U528">
        <v>0.76543000000000005</v>
      </c>
      <c r="V528">
        <v>21.645140000000001</v>
      </c>
      <c r="W528" t="s">
        <v>10</v>
      </c>
      <c r="X528">
        <v>47.784999999999997</v>
      </c>
      <c r="Y528">
        <v>463.80799999999999</v>
      </c>
      <c r="Z528">
        <v>13.002000000000001</v>
      </c>
      <c r="AA528">
        <v>3.5000000000000003E-2</v>
      </c>
      <c r="AB528">
        <v>39.534999999999997</v>
      </c>
      <c r="AC528">
        <v>0</v>
      </c>
      <c r="AD528">
        <v>0</v>
      </c>
      <c r="AE528">
        <v>0</v>
      </c>
      <c r="AF528">
        <v>21.24</v>
      </c>
      <c r="AG528">
        <v>23.091999999999999</v>
      </c>
      <c r="AH528">
        <v>608.49699999999996</v>
      </c>
      <c r="AI528" t="s">
        <v>22</v>
      </c>
      <c r="AJ528">
        <v>830</v>
      </c>
      <c r="AK528">
        <v>2422.5</v>
      </c>
      <c r="AL528">
        <v>770</v>
      </c>
      <c r="AM528">
        <v>5</v>
      </c>
      <c r="AN528">
        <v>15</v>
      </c>
      <c r="AO528">
        <v>0</v>
      </c>
      <c r="AP528">
        <v>0</v>
      </c>
      <c r="AQ528">
        <v>0</v>
      </c>
      <c r="AR528">
        <v>130</v>
      </c>
      <c r="AS528">
        <v>82.5</v>
      </c>
      <c r="AT528">
        <v>4255</v>
      </c>
      <c r="AU528" t="s">
        <v>34</v>
      </c>
    </row>
    <row r="529" spans="1:47" x14ac:dyDescent="0.2">
      <c r="A529">
        <v>449</v>
      </c>
      <c r="B529" t="s">
        <v>315</v>
      </c>
      <c r="C529">
        <v>11</v>
      </c>
      <c r="D529" t="s">
        <v>252</v>
      </c>
      <c r="G529" t="str">
        <f t="shared" si="8"/>
        <v>HLY080111POP3A</v>
      </c>
      <c r="H529">
        <v>62.55039</v>
      </c>
      <c r="I529">
        <v>-172.32</v>
      </c>
      <c r="J529" s="3">
        <v>20080320</v>
      </c>
      <c r="K529">
        <v>2008</v>
      </c>
      <c r="L529">
        <v>3.7187299999999999</v>
      </c>
      <c r="M529">
        <v>0.48571999999999999</v>
      </c>
      <c r="N529">
        <v>0.21021999999999999</v>
      </c>
      <c r="O529">
        <v>4.4999999999999999E-4</v>
      </c>
      <c r="P529">
        <v>0.20548</v>
      </c>
      <c r="Q529">
        <v>0</v>
      </c>
      <c r="R529">
        <v>0</v>
      </c>
      <c r="S529">
        <v>0</v>
      </c>
      <c r="T529">
        <v>1.627E-2</v>
      </c>
      <c r="U529">
        <v>0.11502999999999999</v>
      </c>
      <c r="V529">
        <v>4.7519</v>
      </c>
      <c r="W529" t="s">
        <v>9</v>
      </c>
      <c r="X529">
        <v>50.283999999999999</v>
      </c>
      <c r="Y529">
        <v>13.144</v>
      </c>
      <c r="Z529">
        <v>2.93</v>
      </c>
      <c r="AA529">
        <v>0.01</v>
      </c>
      <c r="AB529">
        <v>14.677</v>
      </c>
      <c r="AC529">
        <v>0</v>
      </c>
      <c r="AD529">
        <v>0</v>
      </c>
      <c r="AE529">
        <v>0</v>
      </c>
      <c r="AF529">
        <v>0.17499999999999999</v>
      </c>
      <c r="AG529">
        <v>1.865</v>
      </c>
      <c r="AH529">
        <v>83.084999999999994</v>
      </c>
      <c r="AI529" t="s">
        <v>21</v>
      </c>
      <c r="AJ529">
        <v>765</v>
      </c>
      <c r="AK529">
        <v>635</v>
      </c>
      <c r="AL529">
        <v>445</v>
      </c>
      <c r="AM529">
        <v>2.5</v>
      </c>
      <c r="AN529">
        <v>2.5</v>
      </c>
      <c r="AO529">
        <v>0</v>
      </c>
      <c r="AP529">
        <v>0</v>
      </c>
      <c r="AQ529">
        <v>0</v>
      </c>
      <c r="AR529">
        <v>20</v>
      </c>
      <c r="AS529">
        <v>65</v>
      </c>
      <c r="AT529">
        <v>1935</v>
      </c>
      <c r="AU529" t="s">
        <v>33</v>
      </c>
    </row>
    <row r="530" spans="1:47" x14ac:dyDescent="0.2">
      <c r="A530">
        <v>450</v>
      </c>
      <c r="B530" t="s">
        <v>315</v>
      </c>
      <c r="C530">
        <v>12</v>
      </c>
      <c r="D530" t="s">
        <v>235</v>
      </c>
      <c r="G530" t="str">
        <f t="shared" si="8"/>
        <v>HLY080112SIL3</v>
      </c>
      <c r="H530">
        <v>62.438220000000001</v>
      </c>
      <c r="I530">
        <v>-172.3</v>
      </c>
      <c r="J530" s="3">
        <v>20080320</v>
      </c>
      <c r="K530">
        <v>2008</v>
      </c>
      <c r="L530">
        <v>2.16005</v>
      </c>
      <c r="M530">
        <v>0.62866999999999995</v>
      </c>
      <c r="N530">
        <v>1.53925</v>
      </c>
      <c r="O530">
        <v>0</v>
      </c>
      <c r="P530">
        <v>0.24937000000000001</v>
      </c>
      <c r="Q530">
        <v>0</v>
      </c>
      <c r="R530">
        <v>7.3080000000000006E-2</v>
      </c>
      <c r="S530">
        <v>0</v>
      </c>
      <c r="T530">
        <v>0.50685000000000002</v>
      </c>
      <c r="U530">
        <v>4.478E-2</v>
      </c>
      <c r="V530">
        <v>5.2020499999999998</v>
      </c>
      <c r="W530" t="s">
        <v>9</v>
      </c>
      <c r="X530">
        <v>31.231000000000002</v>
      </c>
      <c r="Y530">
        <v>17.795000000000002</v>
      </c>
      <c r="Z530">
        <v>22.068999999999999</v>
      </c>
      <c r="AA530">
        <v>0</v>
      </c>
      <c r="AB530">
        <v>17.812000000000001</v>
      </c>
      <c r="AC530">
        <v>0</v>
      </c>
      <c r="AD530">
        <v>1.198</v>
      </c>
      <c r="AE530">
        <v>0</v>
      </c>
      <c r="AF530">
        <v>5.45</v>
      </c>
      <c r="AG530">
        <v>0.79500000000000004</v>
      </c>
      <c r="AH530">
        <v>96.35</v>
      </c>
      <c r="AI530" t="s">
        <v>21</v>
      </c>
      <c r="AJ530">
        <v>542.5</v>
      </c>
      <c r="AK530">
        <v>520</v>
      </c>
      <c r="AL530">
        <v>2295</v>
      </c>
      <c r="AM530">
        <v>0</v>
      </c>
      <c r="AN530">
        <v>2.5</v>
      </c>
      <c r="AO530">
        <v>0</v>
      </c>
      <c r="AP530">
        <v>2.5</v>
      </c>
      <c r="AQ530">
        <v>0</v>
      </c>
      <c r="AR530">
        <v>17.5</v>
      </c>
      <c r="AS530">
        <v>42.5</v>
      </c>
      <c r="AT530">
        <v>3422.5</v>
      </c>
      <c r="AU530" t="s">
        <v>35</v>
      </c>
    </row>
    <row r="531" spans="1:47" x14ac:dyDescent="0.2">
      <c r="A531">
        <v>451</v>
      </c>
      <c r="B531" t="s">
        <v>315</v>
      </c>
      <c r="C531">
        <v>13</v>
      </c>
      <c r="D531" t="s">
        <v>253</v>
      </c>
      <c r="G531" t="str">
        <f t="shared" si="8"/>
        <v>HLY080113SEC2.5</v>
      </c>
      <c r="H531">
        <v>62.483220000000003</v>
      </c>
      <c r="I531">
        <v>-171.84800000000001</v>
      </c>
      <c r="J531" s="3">
        <v>20080320</v>
      </c>
      <c r="K531">
        <v>2008</v>
      </c>
      <c r="L531">
        <v>2.2616000000000001</v>
      </c>
      <c r="M531">
        <v>6.9600499999999998</v>
      </c>
      <c r="N531">
        <v>1.22817</v>
      </c>
      <c r="O531">
        <v>0</v>
      </c>
      <c r="P531">
        <v>0</v>
      </c>
      <c r="Q531">
        <v>0</v>
      </c>
      <c r="R531">
        <v>0</v>
      </c>
      <c r="S531">
        <v>0.16961000000000001</v>
      </c>
      <c r="T531">
        <v>5.9799999999999999E-2</v>
      </c>
      <c r="U531">
        <v>3.8649999999999997E-2</v>
      </c>
      <c r="V531">
        <v>10.717879999999999</v>
      </c>
      <c r="W531" t="s">
        <v>10</v>
      </c>
      <c r="X531">
        <v>29.885000000000002</v>
      </c>
      <c r="Y531">
        <v>254.375</v>
      </c>
      <c r="Z531">
        <v>17.521000000000001</v>
      </c>
      <c r="AA531">
        <v>0</v>
      </c>
      <c r="AB531">
        <v>0</v>
      </c>
      <c r="AC531">
        <v>0</v>
      </c>
      <c r="AD531">
        <v>0</v>
      </c>
      <c r="AE531">
        <v>12.115</v>
      </c>
      <c r="AF531">
        <v>0.64300000000000002</v>
      </c>
      <c r="AG531">
        <v>0.69399999999999995</v>
      </c>
      <c r="AH531">
        <v>315.233</v>
      </c>
      <c r="AI531" t="s">
        <v>22</v>
      </c>
      <c r="AJ531">
        <v>645</v>
      </c>
      <c r="AK531">
        <v>1897.5</v>
      </c>
      <c r="AL531">
        <v>2110</v>
      </c>
      <c r="AM531">
        <v>0</v>
      </c>
      <c r="AN531">
        <v>0</v>
      </c>
      <c r="AO531">
        <v>0</v>
      </c>
      <c r="AP531">
        <v>0</v>
      </c>
      <c r="AQ531">
        <v>10</v>
      </c>
      <c r="AR531">
        <v>25</v>
      </c>
      <c r="AS531">
        <v>60</v>
      </c>
      <c r="AT531">
        <v>4747.5</v>
      </c>
      <c r="AU531" t="s">
        <v>35</v>
      </c>
    </row>
    <row r="532" spans="1:47" x14ac:dyDescent="0.2">
      <c r="A532">
        <v>452</v>
      </c>
      <c r="B532" t="s">
        <v>315</v>
      </c>
      <c r="C532">
        <v>14</v>
      </c>
      <c r="D532" t="s">
        <v>236</v>
      </c>
      <c r="G532" t="str">
        <f t="shared" si="8"/>
        <v>HLY080114POP4</v>
      </c>
      <c r="H532">
        <v>62.40016</v>
      </c>
      <c r="I532">
        <v>-172.70500000000001</v>
      </c>
      <c r="J532" s="3">
        <v>20080321</v>
      </c>
      <c r="K532">
        <v>2008</v>
      </c>
      <c r="L532">
        <v>3.4447000000000001</v>
      </c>
      <c r="M532">
        <v>10.13472</v>
      </c>
      <c r="N532">
        <v>0.15009</v>
      </c>
      <c r="O532">
        <v>3.9199999999999999E-3</v>
      </c>
      <c r="P532">
        <v>0.18507999999999999</v>
      </c>
      <c r="Q532">
        <v>0</v>
      </c>
      <c r="R532">
        <v>1.83E-3</v>
      </c>
      <c r="S532">
        <v>0</v>
      </c>
      <c r="T532">
        <v>0.31759999999999999</v>
      </c>
      <c r="U532">
        <v>4.0300000000000002E-2</v>
      </c>
      <c r="V532">
        <v>14.27824</v>
      </c>
      <c r="W532" t="s">
        <v>10</v>
      </c>
      <c r="X532">
        <v>54.401000000000003</v>
      </c>
      <c r="Y532">
        <v>342.09899999999999</v>
      </c>
      <c r="Z532">
        <v>1.984</v>
      </c>
      <c r="AA532">
        <v>8.6999999999999994E-2</v>
      </c>
      <c r="AB532">
        <v>13.22</v>
      </c>
      <c r="AC532">
        <v>0</v>
      </c>
      <c r="AD532">
        <v>0.03</v>
      </c>
      <c r="AE532">
        <v>0</v>
      </c>
      <c r="AF532">
        <v>3.415</v>
      </c>
      <c r="AG532">
        <v>1.778</v>
      </c>
      <c r="AH532">
        <v>417.01400000000001</v>
      </c>
      <c r="AI532" t="s">
        <v>22</v>
      </c>
      <c r="AJ532">
        <v>880</v>
      </c>
      <c r="AK532">
        <v>1390</v>
      </c>
      <c r="AL532">
        <v>182.5</v>
      </c>
      <c r="AM532">
        <v>25</v>
      </c>
      <c r="AN532">
        <v>17.5</v>
      </c>
      <c r="AO532">
        <v>0</v>
      </c>
      <c r="AP532">
        <v>10</v>
      </c>
      <c r="AQ532">
        <v>0</v>
      </c>
      <c r="AR532">
        <v>17.5</v>
      </c>
      <c r="AS532">
        <v>45</v>
      </c>
      <c r="AT532">
        <v>2567.5</v>
      </c>
      <c r="AU532" t="s">
        <v>34</v>
      </c>
    </row>
    <row r="533" spans="1:47" x14ac:dyDescent="0.2">
      <c r="A533">
        <v>453</v>
      </c>
      <c r="B533" t="s">
        <v>315</v>
      </c>
      <c r="C533">
        <v>15</v>
      </c>
      <c r="D533" t="s">
        <v>316</v>
      </c>
      <c r="G533" t="str">
        <f t="shared" si="8"/>
        <v>HLY080115FD1</v>
      </c>
      <c r="H533">
        <v>62.482349999999997</v>
      </c>
      <c r="I533">
        <v>-172.464</v>
      </c>
      <c r="J533" s="3">
        <v>20080321</v>
      </c>
      <c r="K533">
        <v>2008</v>
      </c>
      <c r="L533">
        <v>3.5401400000000001</v>
      </c>
      <c r="M533">
        <v>5.1230700000000002</v>
      </c>
      <c r="N533">
        <v>0.32203999999999999</v>
      </c>
      <c r="O533">
        <v>0</v>
      </c>
      <c r="P533">
        <v>4.8999999999999998E-3</v>
      </c>
      <c r="Q533">
        <v>0</v>
      </c>
      <c r="R533">
        <v>0</v>
      </c>
      <c r="S533">
        <v>1.81559</v>
      </c>
      <c r="T533">
        <v>3.32E-2</v>
      </c>
      <c r="U533">
        <v>1.7690000000000001E-2</v>
      </c>
      <c r="V533">
        <v>10.856629999999999</v>
      </c>
      <c r="W533" t="s">
        <v>10</v>
      </c>
      <c r="X533">
        <v>53.238</v>
      </c>
      <c r="Y533">
        <v>157.92500000000001</v>
      </c>
      <c r="Z533">
        <v>4.2759999999999998</v>
      </c>
      <c r="AA533">
        <v>0</v>
      </c>
      <c r="AB533">
        <v>0.35</v>
      </c>
      <c r="AC533">
        <v>0</v>
      </c>
      <c r="AD533">
        <v>0</v>
      </c>
      <c r="AE533">
        <v>129.685</v>
      </c>
      <c r="AF533">
        <v>0.35699999999999998</v>
      </c>
      <c r="AG533">
        <v>0.29299999999999998</v>
      </c>
      <c r="AH533">
        <v>346.12400000000002</v>
      </c>
      <c r="AI533" t="s">
        <v>22</v>
      </c>
      <c r="AJ533">
        <v>572.5</v>
      </c>
      <c r="AK533">
        <v>980</v>
      </c>
      <c r="AL533">
        <v>415</v>
      </c>
      <c r="AM533">
        <v>0</v>
      </c>
      <c r="AN533">
        <v>20</v>
      </c>
      <c r="AO533">
        <v>0</v>
      </c>
      <c r="AP533">
        <v>0</v>
      </c>
      <c r="AQ533">
        <v>40</v>
      </c>
      <c r="AR533">
        <v>20</v>
      </c>
      <c r="AS533">
        <v>47.5</v>
      </c>
      <c r="AT533">
        <v>2095</v>
      </c>
      <c r="AU533" t="s">
        <v>34</v>
      </c>
    </row>
    <row r="534" spans="1:47" x14ac:dyDescent="0.2">
      <c r="A534">
        <v>454</v>
      </c>
      <c r="B534" t="s">
        <v>315</v>
      </c>
      <c r="C534">
        <v>16</v>
      </c>
      <c r="D534" t="s">
        <v>258</v>
      </c>
      <c r="G534" t="str">
        <f t="shared" si="8"/>
        <v>HLY080116SEC2</v>
      </c>
      <c r="H534">
        <v>62.601039999999998</v>
      </c>
      <c r="I534">
        <v>-170.96799999999999</v>
      </c>
      <c r="J534" s="3">
        <v>20080321</v>
      </c>
      <c r="K534">
        <v>2008</v>
      </c>
      <c r="L534">
        <v>1.47885</v>
      </c>
      <c r="M534">
        <v>7.0595699999999999</v>
      </c>
      <c r="N534">
        <v>0.18679000000000001</v>
      </c>
      <c r="O534">
        <v>0</v>
      </c>
      <c r="P534">
        <v>0</v>
      </c>
      <c r="Q534">
        <v>0</v>
      </c>
      <c r="R534">
        <v>0</v>
      </c>
      <c r="S534">
        <v>1.4276500000000001</v>
      </c>
      <c r="T534">
        <v>0</v>
      </c>
      <c r="U534">
        <v>0.14768000000000001</v>
      </c>
      <c r="V534">
        <v>10.30054</v>
      </c>
      <c r="W534" t="s">
        <v>10</v>
      </c>
      <c r="X534">
        <v>19.951000000000001</v>
      </c>
      <c r="Y534">
        <v>218.62200000000001</v>
      </c>
      <c r="Z534">
        <v>2.633</v>
      </c>
      <c r="AA534">
        <v>0</v>
      </c>
      <c r="AB534">
        <v>0</v>
      </c>
      <c r="AC534">
        <v>0</v>
      </c>
      <c r="AD534">
        <v>0</v>
      </c>
      <c r="AE534">
        <v>101.97499999999999</v>
      </c>
      <c r="AF534">
        <v>0</v>
      </c>
      <c r="AG534">
        <v>2.3820000000000001</v>
      </c>
      <c r="AH534">
        <v>345.56299999999999</v>
      </c>
      <c r="AI534" t="s">
        <v>22</v>
      </c>
      <c r="AJ534">
        <v>320</v>
      </c>
      <c r="AK534">
        <v>772.5</v>
      </c>
      <c r="AL534">
        <v>807.5</v>
      </c>
      <c r="AM534">
        <v>0</v>
      </c>
      <c r="AN534">
        <v>0</v>
      </c>
      <c r="AO534">
        <v>0</v>
      </c>
      <c r="AP534">
        <v>0</v>
      </c>
      <c r="AQ534">
        <v>82.5</v>
      </c>
      <c r="AR534">
        <v>0</v>
      </c>
      <c r="AS534">
        <v>17.5</v>
      </c>
      <c r="AT534">
        <v>2000</v>
      </c>
      <c r="AU534" t="s">
        <v>35</v>
      </c>
    </row>
    <row r="535" spans="1:47" x14ac:dyDescent="0.2">
      <c r="A535">
        <v>455</v>
      </c>
      <c r="B535" t="s">
        <v>315</v>
      </c>
      <c r="C535">
        <v>17</v>
      </c>
      <c r="D535" t="s">
        <v>256</v>
      </c>
      <c r="G535" t="str">
        <f t="shared" si="8"/>
        <v>HLY080117NEC2</v>
      </c>
      <c r="H535">
        <v>62.423699999999997</v>
      </c>
      <c r="I535">
        <v>-170.113</v>
      </c>
      <c r="J535" s="3">
        <v>20080321</v>
      </c>
      <c r="K535">
        <v>2008</v>
      </c>
      <c r="L535">
        <v>1.0805800000000001</v>
      </c>
      <c r="M535">
        <v>0.51702000000000004</v>
      </c>
      <c r="N535">
        <v>0.33016000000000001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2.6970000000000001E-2</v>
      </c>
      <c r="U535">
        <v>1.82E-3</v>
      </c>
      <c r="V535">
        <v>1.95655</v>
      </c>
      <c r="W535" t="s">
        <v>9</v>
      </c>
      <c r="X535">
        <v>15.016999999999999</v>
      </c>
      <c r="Y535">
        <v>11.407</v>
      </c>
      <c r="Z535">
        <v>4.54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0.28999999999999998</v>
      </c>
      <c r="AG535">
        <v>4.2999999999999997E-2</v>
      </c>
      <c r="AH535">
        <v>31.297000000000001</v>
      </c>
      <c r="AI535" t="s">
        <v>21</v>
      </c>
      <c r="AJ535">
        <v>695</v>
      </c>
      <c r="AK535">
        <v>565</v>
      </c>
      <c r="AL535">
        <v>1805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30</v>
      </c>
      <c r="AS535">
        <v>80</v>
      </c>
      <c r="AT535">
        <v>3175</v>
      </c>
      <c r="AU535" t="s">
        <v>35</v>
      </c>
    </row>
    <row r="536" spans="1:47" x14ac:dyDescent="0.2">
      <c r="A536">
        <v>456</v>
      </c>
      <c r="B536" t="s">
        <v>315</v>
      </c>
      <c r="C536">
        <v>18</v>
      </c>
      <c r="D536" t="s">
        <v>317</v>
      </c>
      <c r="G536" t="str">
        <f t="shared" si="8"/>
        <v>HLY080118WAL1</v>
      </c>
      <c r="H536">
        <v>62.387079999999997</v>
      </c>
      <c r="I536">
        <v>-169.36199999999999</v>
      </c>
      <c r="J536" s="3">
        <v>20080321</v>
      </c>
      <c r="K536">
        <v>2008</v>
      </c>
      <c r="L536">
        <v>1.61731</v>
      </c>
      <c r="M536">
        <v>0.19125</v>
      </c>
      <c r="N536">
        <v>0.51673000000000002</v>
      </c>
      <c r="O536">
        <v>0</v>
      </c>
      <c r="P536">
        <v>1.8000000000000001E-4</v>
      </c>
      <c r="Q536">
        <v>0</v>
      </c>
      <c r="R536">
        <v>0</v>
      </c>
      <c r="S536">
        <v>0</v>
      </c>
      <c r="T536">
        <v>1.1809999999999999E-2</v>
      </c>
      <c r="U536">
        <v>5.3319999999999999E-2</v>
      </c>
      <c r="V536">
        <v>2.3906000000000001</v>
      </c>
      <c r="W536" t="s">
        <v>9</v>
      </c>
      <c r="X536">
        <v>23.498999999999999</v>
      </c>
      <c r="Y536">
        <v>6.4420000000000002</v>
      </c>
      <c r="Z536">
        <v>7.3339999999999996</v>
      </c>
      <c r="AA536">
        <v>0</v>
      </c>
      <c r="AB536">
        <v>1.2999999999999999E-2</v>
      </c>
      <c r="AC536">
        <v>0</v>
      </c>
      <c r="AD536">
        <v>0</v>
      </c>
      <c r="AE536">
        <v>0</v>
      </c>
      <c r="AF536">
        <v>0.127</v>
      </c>
      <c r="AG536">
        <v>1.5349999999999999</v>
      </c>
      <c r="AH536">
        <v>38.950000000000003</v>
      </c>
      <c r="AI536" t="s">
        <v>21</v>
      </c>
      <c r="AJ536">
        <v>1490</v>
      </c>
      <c r="AK536">
        <v>492.5</v>
      </c>
      <c r="AL536">
        <v>1925</v>
      </c>
      <c r="AM536">
        <v>0</v>
      </c>
      <c r="AN536">
        <v>10</v>
      </c>
      <c r="AO536">
        <v>0</v>
      </c>
      <c r="AP536">
        <v>0</v>
      </c>
      <c r="AQ536">
        <v>0</v>
      </c>
      <c r="AR536">
        <v>10</v>
      </c>
      <c r="AS536">
        <v>35</v>
      </c>
      <c r="AT536">
        <v>3962.5</v>
      </c>
      <c r="AU536" t="s">
        <v>35</v>
      </c>
    </row>
    <row r="537" spans="1:47" x14ac:dyDescent="0.2">
      <c r="A537">
        <v>457</v>
      </c>
      <c r="B537" t="s">
        <v>315</v>
      </c>
      <c r="C537">
        <v>19</v>
      </c>
      <c r="D537" t="s">
        <v>318</v>
      </c>
      <c r="G537" t="str">
        <f t="shared" si="8"/>
        <v>HLY080119WAL2</v>
      </c>
      <c r="H537">
        <v>62.393549999999998</v>
      </c>
      <c r="I537">
        <v>-169.381</v>
      </c>
      <c r="J537" s="3">
        <v>20080322</v>
      </c>
      <c r="K537">
        <v>2008</v>
      </c>
      <c r="L537">
        <v>1.41578</v>
      </c>
      <c r="M537">
        <v>4.3659999999999997E-2</v>
      </c>
      <c r="N537">
        <v>0.32141999999999998</v>
      </c>
      <c r="O537">
        <v>0</v>
      </c>
      <c r="P537">
        <v>0</v>
      </c>
      <c r="Q537">
        <v>0.13556000000000001</v>
      </c>
      <c r="R537">
        <v>0</v>
      </c>
      <c r="S537">
        <v>0</v>
      </c>
      <c r="T537">
        <v>3.2599999999999999E-3</v>
      </c>
      <c r="U537">
        <v>2.605E-2</v>
      </c>
      <c r="V537">
        <v>1.94573</v>
      </c>
      <c r="W537" t="s">
        <v>9</v>
      </c>
      <c r="X537">
        <v>19.806999999999999</v>
      </c>
      <c r="Y537">
        <v>1.35</v>
      </c>
      <c r="Z537">
        <v>4.5609999999999999</v>
      </c>
      <c r="AA537">
        <v>0</v>
      </c>
      <c r="AB537">
        <v>0</v>
      </c>
      <c r="AC537">
        <v>16.945</v>
      </c>
      <c r="AD537">
        <v>0</v>
      </c>
      <c r="AE537">
        <v>0</v>
      </c>
      <c r="AF537">
        <v>3.5000000000000003E-2</v>
      </c>
      <c r="AG537">
        <v>1.341</v>
      </c>
      <c r="AH537">
        <v>44.039000000000001</v>
      </c>
      <c r="AI537" t="s">
        <v>21</v>
      </c>
      <c r="AJ537">
        <v>727.5</v>
      </c>
      <c r="AK537">
        <v>407.5</v>
      </c>
      <c r="AL537">
        <v>1067.5</v>
      </c>
      <c r="AM537">
        <v>0</v>
      </c>
      <c r="AN537">
        <v>0</v>
      </c>
      <c r="AO537">
        <v>2.5</v>
      </c>
      <c r="AP537">
        <v>0</v>
      </c>
      <c r="AQ537">
        <v>0</v>
      </c>
      <c r="AR537">
        <v>12.5</v>
      </c>
      <c r="AS537">
        <v>15</v>
      </c>
      <c r="AT537">
        <v>2232.5</v>
      </c>
      <c r="AU537" t="s">
        <v>35</v>
      </c>
    </row>
    <row r="538" spans="1:47" x14ac:dyDescent="0.2">
      <c r="A538">
        <v>458</v>
      </c>
      <c r="B538" t="s">
        <v>315</v>
      </c>
      <c r="C538">
        <v>2</v>
      </c>
      <c r="D538" s="4" t="s">
        <v>552</v>
      </c>
      <c r="E538" s="4" t="s">
        <v>552</v>
      </c>
      <c r="F538" s="4" t="s">
        <v>279</v>
      </c>
      <c r="G538" t="str">
        <f t="shared" si="8"/>
        <v>HLY08012SLIP2</v>
      </c>
      <c r="H538">
        <v>62.048459999999999</v>
      </c>
      <c r="I538">
        <v>-175.20099999999999</v>
      </c>
      <c r="J538" s="3">
        <v>20080316</v>
      </c>
      <c r="K538">
        <v>2008</v>
      </c>
      <c r="L538">
        <v>5.0685500000000001</v>
      </c>
      <c r="M538">
        <v>6.5145</v>
      </c>
      <c r="N538">
        <v>0.10445</v>
      </c>
      <c r="O538">
        <v>2.1199999999999999E-3</v>
      </c>
      <c r="P538">
        <v>0.30281999999999998</v>
      </c>
      <c r="Q538">
        <v>0</v>
      </c>
      <c r="R538">
        <v>3.2299999999999998E-3</v>
      </c>
      <c r="S538">
        <v>0</v>
      </c>
      <c r="T538">
        <v>0.18879000000000001</v>
      </c>
      <c r="U538">
        <v>0.1321</v>
      </c>
      <c r="V538">
        <v>12.316560000000001</v>
      </c>
      <c r="W538" t="s">
        <v>10</v>
      </c>
      <c r="X538">
        <v>73.06</v>
      </c>
      <c r="Y538">
        <v>275.59699999999998</v>
      </c>
      <c r="Z538">
        <v>1.28</v>
      </c>
      <c r="AA538">
        <v>4.7E-2</v>
      </c>
      <c r="AB538">
        <v>21.63</v>
      </c>
      <c r="AC538">
        <v>0</v>
      </c>
      <c r="AD538">
        <v>5.2999999999999999E-2</v>
      </c>
      <c r="AE538">
        <v>0</v>
      </c>
      <c r="AF538">
        <v>2.0299999999999998</v>
      </c>
      <c r="AG538">
        <v>2.944</v>
      </c>
      <c r="AH538">
        <v>376.64100000000002</v>
      </c>
      <c r="AI538" t="s">
        <v>22</v>
      </c>
      <c r="AJ538">
        <v>685</v>
      </c>
      <c r="AK538">
        <v>592.5</v>
      </c>
      <c r="AL538">
        <v>160</v>
      </c>
      <c r="AM538">
        <v>10</v>
      </c>
      <c r="AN538">
        <v>150</v>
      </c>
      <c r="AO538">
        <v>0</v>
      </c>
      <c r="AP538">
        <v>10</v>
      </c>
      <c r="AQ538">
        <v>0</v>
      </c>
      <c r="AR538">
        <v>22.5</v>
      </c>
      <c r="AS538">
        <v>45</v>
      </c>
      <c r="AT538">
        <v>1675</v>
      </c>
      <c r="AU538" t="s">
        <v>33</v>
      </c>
    </row>
    <row r="539" spans="1:47" x14ac:dyDescent="0.2">
      <c r="A539">
        <v>459</v>
      </c>
      <c r="B539" t="s">
        <v>315</v>
      </c>
      <c r="C539">
        <v>24</v>
      </c>
      <c r="D539" t="s">
        <v>319</v>
      </c>
      <c r="G539" t="str">
        <f t="shared" si="8"/>
        <v>HLY080124MK10A</v>
      </c>
      <c r="H539">
        <v>62.192189999999997</v>
      </c>
      <c r="I539">
        <v>-169.01</v>
      </c>
      <c r="J539" s="3">
        <v>20080323</v>
      </c>
      <c r="K539">
        <v>2008</v>
      </c>
      <c r="L539">
        <v>0.54934000000000005</v>
      </c>
      <c r="M539">
        <v>2.121E-2</v>
      </c>
      <c r="N539">
        <v>0.46006999999999998</v>
      </c>
      <c r="O539">
        <v>0</v>
      </c>
      <c r="P539">
        <v>1.4999999999999999E-4</v>
      </c>
      <c r="Q539">
        <v>3.2000000000000003E-4</v>
      </c>
      <c r="R539">
        <v>0</v>
      </c>
      <c r="S539">
        <v>0</v>
      </c>
      <c r="T539">
        <v>8.9749999999999996E-2</v>
      </c>
      <c r="U539">
        <v>1.451E-2</v>
      </c>
      <c r="V539">
        <v>1.1353500000000001</v>
      </c>
      <c r="W539" t="s">
        <v>9</v>
      </c>
      <c r="X539">
        <v>8.4160000000000004</v>
      </c>
      <c r="Y539">
        <v>0.59499999999999997</v>
      </c>
      <c r="Z539">
        <v>6.6539999999999999</v>
      </c>
      <c r="AA539">
        <v>0</v>
      </c>
      <c r="AB539">
        <v>1.0999999999999999E-2</v>
      </c>
      <c r="AC539">
        <v>0.04</v>
      </c>
      <c r="AD539">
        <v>0</v>
      </c>
      <c r="AE539">
        <v>0</v>
      </c>
      <c r="AF539">
        <v>0.96499999999999997</v>
      </c>
      <c r="AG539">
        <v>0.39500000000000002</v>
      </c>
      <c r="AH539">
        <v>17.076000000000001</v>
      </c>
      <c r="AI539" t="s">
        <v>21</v>
      </c>
      <c r="AJ539">
        <v>882.5</v>
      </c>
      <c r="AK539">
        <v>347.5</v>
      </c>
      <c r="AL539">
        <v>3910</v>
      </c>
      <c r="AM539">
        <v>0</v>
      </c>
      <c r="AN539">
        <v>7.5</v>
      </c>
      <c r="AO539">
        <v>2.5</v>
      </c>
      <c r="AP539">
        <v>0</v>
      </c>
      <c r="AQ539">
        <v>0</v>
      </c>
      <c r="AR539">
        <v>37.5</v>
      </c>
      <c r="AS539">
        <v>87.5</v>
      </c>
      <c r="AT539">
        <v>5275</v>
      </c>
      <c r="AU539" t="s">
        <v>35</v>
      </c>
    </row>
    <row r="540" spans="1:47" x14ac:dyDescent="0.2">
      <c r="A540">
        <v>460</v>
      </c>
      <c r="B540" t="s">
        <v>315</v>
      </c>
      <c r="C540">
        <v>3</v>
      </c>
      <c r="D540" t="s">
        <v>301</v>
      </c>
      <c r="G540" t="str">
        <f t="shared" si="8"/>
        <v>HLY08013NWC4</v>
      </c>
      <c r="H540">
        <v>62.381439999999998</v>
      </c>
      <c r="I540">
        <v>-174.56700000000001</v>
      </c>
      <c r="J540" s="3">
        <v>20080317</v>
      </c>
      <c r="K540">
        <v>2008</v>
      </c>
      <c r="L540">
        <v>4.5082100000000001</v>
      </c>
      <c r="M540">
        <v>8.5191800000000004</v>
      </c>
      <c r="N540">
        <v>0.27362999999999998</v>
      </c>
      <c r="O540">
        <v>7.7490000000000003E-2</v>
      </c>
      <c r="P540">
        <v>0.72352000000000005</v>
      </c>
      <c r="Q540">
        <v>0</v>
      </c>
      <c r="R540">
        <v>1.7510000000000001E-2</v>
      </c>
      <c r="S540">
        <v>0</v>
      </c>
      <c r="T540">
        <v>0.12759999999999999</v>
      </c>
      <c r="U540">
        <v>0.36105999999999999</v>
      </c>
      <c r="V540">
        <v>14.6082</v>
      </c>
      <c r="W540" t="s">
        <v>10</v>
      </c>
      <c r="X540">
        <v>61.371000000000002</v>
      </c>
      <c r="Y540">
        <v>295.26600000000002</v>
      </c>
      <c r="Z540">
        <v>3.1440000000000001</v>
      </c>
      <c r="AA540">
        <v>1.722</v>
      </c>
      <c r="AB540">
        <v>51.68</v>
      </c>
      <c r="AC540">
        <v>0</v>
      </c>
      <c r="AD540">
        <v>0.28699999999999998</v>
      </c>
      <c r="AE540">
        <v>0</v>
      </c>
      <c r="AF540">
        <v>1.3720000000000001</v>
      </c>
      <c r="AG540">
        <v>9.032</v>
      </c>
      <c r="AH540">
        <v>423.87400000000002</v>
      </c>
      <c r="AI540" t="s">
        <v>22</v>
      </c>
      <c r="AJ540">
        <v>742.5</v>
      </c>
      <c r="AK540">
        <v>355</v>
      </c>
      <c r="AL540">
        <v>192.5</v>
      </c>
      <c r="AM540">
        <v>70</v>
      </c>
      <c r="AN540">
        <v>40</v>
      </c>
      <c r="AO540">
        <v>0</v>
      </c>
      <c r="AP540">
        <v>12.5</v>
      </c>
      <c r="AQ540">
        <v>0</v>
      </c>
      <c r="AR540">
        <v>27.5</v>
      </c>
      <c r="AS540">
        <v>95</v>
      </c>
      <c r="AT540">
        <v>1535</v>
      </c>
      <c r="AU540" t="s">
        <v>33</v>
      </c>
    </row>
    <row r="541" spans="1:47" x14ac:dyDescent="0.2">
      <c r="A541">
        <v>461</v>
      </c>
      <c r="B541" t="s">
        <v>315</v>
      </c>
      <c r="C541">
        <v>4</v>
      </c>
      <c r="D541" t="s">
        <v>239</v>
      </c>
      <c r="G541" t="str">
        <f t="shared" si="8"/>
        <v>HLY08014VNG3.5</v>
      </c>
      <c r="H541">
        <v>62.567999999999998</v>
      </c>
      <c r="I541">
        <v>-173.57900000000001</v>
      </c>
      <c r="J541" s="3">
        <v>20080317</v>
      </c>
      <c r="K541">
        <v>2008</v>
      </c>
      <c r="L541">
        <v>3.56176</v>
      </c>
      <c r="M541">
        <v>19.547720000000002</v>
      </c>
      <c r="N541">
        <v>0.11624</v>
      </c>
      <c r="O541">
        <v>4.3699999999999998E-3</v>
      </c>
      <c r="P541">
        <v>0.39473000000000003</v>
      </c>
      <c r="Q541">
        <v>0</v>
      </c>
      <c r="R541">
        <v>0</v>
      </c>
      <c r="S541">
        <v>0</v>
      </c>
      <c r="T541">
        <v>1.3054399999999999</v>
      </c>
      <c r="U541">
        <v>0.11792</v>
      </c>
      <c r="V541">
        <v>25.048179999999999</v>
      </c>
      <c r="W541" t="s">
        <v>10</v>
      </c>
      <c r="X541">
        <v>59.408000000000001</v>
      </c>
      <c r="Y541">
        <v>657.15700000000004</v>
      </c>
      <c r="Z541">
        <v>1.411</v>
      </c>
      <c r="AA541">
        <v>9.7000000000000003E-2</v>
      </c>
      <c r="AB541">
        <v>28.195</v>
      </c>
      <c r="AC541">
        <v>0</v>
      </c>
      <c r="AD541">
        <v>0</v>
      </c>
      <c r="AE541">
        <v>0</v>
      </c>
      <c r="AF541">
        <v>14.037000000000001</v>
      </c>
      <c r="AG541">
        <v>2.6850000000000001</v>
      </c>
      <c r="AH541">
        <v>762.99</v>
      </c>
      <c r="AI541" t="s">
        <v>22</v>
      </c>
      <c r="AJ541">
        <v>782.5</v>
      </c>
      <c r="AK541">
        <v>1987.5</v>
      </c>
      <c r="AL541">
        <v>280</v>
      </c>
      <c r="AM541">
        <v>20</v>
      </c>
      <c r="AN541">
        <v>20</v>
      </c>
      <c r="AO541">
        <v>0</v>
      </c>
      <c r="AP541">
        <v>0</v>
      </c>
      <c r="AQ541">
        <v>0</v>
      </c>
      <c r="AR541">
        <v>27.5</v>
      </c>
      <c r="AS541">
        <v>37.5</v>
      </c>
      <c r="AT541">
        <v>3155</v>
      </c>
      <c r="AU541" t="s">
        <v>34</v>
      </c>
    </row>
    <row r="542" spans="1:47" x14ac:dyDescent="0.2">
      <c r="A542">
        <v>462</v>
      </c>
      <c r="B542" t="s">
        <v>315</v>
      </c>
      <c r="C542">
        <v>5</v>
      </c>
      <c r="D542" t="s">
        <v>260</v>
      </c>
      <c r="G542" t="str">
        <f t="shared" si="8"/>
        <v>HLY08015SWC2</v>
      </c>
      <c r="H542">
        <v>62.915140000000001</v>
      </c>
      <c r="I542">
        <v>-172.298</v>
      </c>
      <c r="J542" s="3">
        <v>20080317</v>
      </c>
      <c r="K542">
        <v>2008</v>
      </c>
      <c r="L542">
        <v>5.4407300000000003</v>
      </c>
      <c r="M542">
        <v>8.3923100000000002</v>
      </c>
      <c r="N542">
        <v>0.81571000000000005</v>
      </c>
      <c r="O542">
        <v>8.7749999999999995E-2</v>
      </c>
      <c r="P542">
        <v>0.93023</v>
      </c>
      <c r="Q542">
        <v>0</v>
      </c>
      <c r="R542">
        <v>1.086E-2</v>
      </c>
      <c r="S542">
        <v>2.5200999999999998</v>
      </c>
      <c r="T542">
        <v>0.20161999999999999</v>
      </c>
      <c r="U542">
        <v>0.43075999999999998</v>
      </c>
      <c r="V542">
        <v>18.830069999999999</v>
      </c>
      <c r="W542" t="s">
        <v>10</v>
      </c>
      <c r="X542">
        <v>91.272000000000006</v>
      </c>
      <c r="Y542">
        <v>240.15700000000001</v>
      </c>
      <c r="Z542">
        <v>9.3919999999999995</v>
      </c>
      <c r="AA542">
        <v>1.95</v>
      </c>
      <c r="AB542">
        <v>66.444999999999993</v>
      </c>
      <c r="AC542">
        <v>0</v>
      </c>
      <c r="AD542">
        <v>0.17799999999999999</v>
      </c>
      <c r="AE542">
        <v>180.00700000000001</v>
      </c>
      <c r="AF542">
        <v>2.1680000000000001</v>
      </c>
      <c r="AG542">
        <v>10.202</v>
      </c>
      <c r="AH542">
        <v>601.77099999999996</v>
      </c>
      <c r="AI542" t="s">
        <v>22</v>
      </c>
      <c r="AJ542">
        <v>1850</v>
      </c>
      <c r="AK542">
        <v>517.5</v>
      </c>
      <c r="AL542">
        <v>662.5</v>
      </c>
      <c r="AM542">
        <v>15</v>
      </c>
      <c r="AN542">
        <v>47.5</v>
      </c>
      <c r="AO542">
        <v>0</v>
      </c>
      <c r="AP542">
        <v>20</v>
      </c>
      <c r="AQ542">
        <v>45</v>
      </c>
      <c r="AR542">
        <v>5</v>
      </c>
      <c r="AS542">
        <v>60</v>
      </c>
      <c r="AT542">
        <v>3222.5</v>
      </c>
      <c r="AU542" t="s">
        <v>33</v>
      </c>
    </row>
    <row r="543" spans="1:47" x14ac:dyDescent="0.2">
      <c r="A543">
        <v>463</v>
      </c>
      <c r="B543" t="s">
        <v>315</v>
      </c>
      <c r="C543">
        <v>6</v>
      </c>
      <c r="D543" s="4" t="s">
        <v>555</v>
      </c>
      <c r="E543" s="4" t="s">
        <v>555</v>
      </c>
      <c r="F543" s="4" t="s">
        <v>246</v>
      </c>
      <c r="G543" t="str">
        <f t="shared" si="8"/>
        <v>HLY08016SLIP4</v>
      </c>
      <c r="H543">
        <v>63.033119999999997</v>
      </c>
      <c r="I543">
        <v>-173.446</v>
      </c>
      <c r="J543" s="3">
        <v>20080318</v>
      </c>
      <c r="K543">
        <v>2008</v>
      </c>
      <c r="L543">
        <v>4.2334100000000001</v>
      </c>
      <c r="M543">
        <v>19.546279999999999</v>
      </c>
      <c r="N543">
        <v>0.30962000000000001</v>
      </c>
      <c r="O543">
        <v>0</v>
      </c>
      <c r="P543">
        <v>0.15998000000000001</v>
      </c>
      <c r="Q543">
        <v>0</v>
      </c>
      <c r="R543">
        <v>1.5299999999999999E-3</v>
      </c>
      <c r="S543">
        <v>0</v>
      </c>
      <c r="T543">
        <v>0.85467000000000004</v>
      </c>
      <c r="U543">
        <v>0.309</v>
      </c>
      <c r="V543">
        <v>25.414490000000001</v>
      </c>
      <c r="W543" t="s">
        <v>10</v>
      </c>
      <c r="X543">
        <v>74.450999999999993</v>
      </c>
      <c r="Y543">
        <v>546.89499999999998</v>
      </c>
      <c r="Z543">
        <v>3.4540000000000002</v>
      </c>
      <c r="AA543">
        <v>0</v>
      </c>
      <c r="AB543">
        <v>11.427</v>
      </c>
      <c r="AC543">
        <v>0</v>
      </c>
      <c r="AD543">
        <v>2.5000000000000001E-2</v>
      </c>
      <c r="AE543">
        <v>0</v>
      </c>
      <c r="AF543">
        <v>9.19</v>
      </c>
      <c r="AG543">
        <v>6.5549999999999997</v>
      </c>
      <c r="AH543">
        <v>651.99699999999996</v>
      </c>
      <c r="AI543" t="s">
        <v>22</v>
      </c>
      <c r="AJ543">
        <v>852.5</v>
      </c>
      <c r="AK543">
        <v>1565</v>
      </c>
      <c r="AL543">
        <v>272.5</v>
      </c>
      <c r="AM543">
        <v>0</v>
      </c>
      <c r="AN543">
        <v>20</v>
      </c>
      <c r="AO543">
        <v>0</v>
      </c>
      <c r="AP543">
        <v>17.5</v>
      </c>
      <c r="AQ543">
        <v>0</v>
      </c>
      <c r="AR543">
        <v>22.5</v>
      </c>
      <c r="AS543">
        <v>47.5</v>
      </c>
      <c r="AT543">
        <v>2797.5</v>
      </c>
      <c r="AU543" t="s">
        <v>34</v>
      </c>
    </row>
    <row r="544" spans="1:47" x14ac:dyDescent="0.2">
      <c r="A544">
        <v>464</v>
      </c>
      <c r="B544" t="s">
        <v>315</v>
      </c>
      <c r="C544">
        <v>7</v>
      </c>
      <c r="D544" t="s">
        <v>243</v>
      </c>
      <c r="G544" t="str">
        <f t="shared" si="8"/>
        <v>HLY08017NWC3</v>
      </c>
      <c r="H544">
        <v>62.798879999999997</v>
      </c>
      <c r="I544">
        <v>-173.929</v>
      </c>
      <c r="J544" s="3">
        <v>20080318</v>
      </c>
      <c r="K544">
        <v>2008</v>
      </c>
      <c r="L544">
        <v>5.1668799999999999</v>
      </c>
      <c r="M544">
        <v>9.6138700000000004</v>
      </c>
      <c r="N544">
        <v>0.43275999999999998</v>
      </c>
      <c r="O544">
        <v>0</v>
      </c>
      <c r="P544">
        <v>0.40355000000000002</v>
      </c>
      <c r="Q544">
        <v>0</v>
      </c>
      <c r="R544">
        <v>1.4E-3</v>
      </c>
      <c r="S544">
        <v>0</v>
      </c>
      <c r="T544">
        <v>1.16631</v>
      </c>
      <c r="U544">
        <v>0.16087000000000001</v>
      </c>
      <c r="V544">
        <v>16.945640000000001</v>
      </c>
      <c r="W544" t="s">
        <v>10</v>
      </c>
      <c r="X544">
        <v>92.588999999999999</v>
      </c>
      <c r="Y544">
        <v>267.85700000000003</v>
      </c>
      <c r="Z544">
        <v>4.8879999999999999</v>
      </c>
      <c r="AA544">
        <v>0</v>
      </c>
      <c r="AB544">
        <v>28.824999999999999</v>
      </c>
      <c r="AC544">
        <v>0</v>
      </c>
      <c r="AD544">
        <v>2.3E-2</v>
      </c>
      <c r="AE544">
        <v>0</v>
      </c>
      <c r="AF544">
        <v>12.541</v>
      </c>
      <c r="AG544">
        <v>3.3889999999999998</v>
      </c>
      <c r="AH544">
        <v>410.11200000000002</v>
      </c>
      <c r="AI544" t="s">
        <v>22</v>
      </c>
      <c r="AJ544">
        <v>1152.5</v>
      </c>
      <c r="AK544">
        <v>1522.5</v>
      </c>
      <c r="AL544">
        <v>1290</v>
      </c>
      <c r="AM544">
        <v>0</v>
      </c>
      <c r="AN544">
        <v>27.5</v>
      </c>
      <c r="AO544">
        <v>0</v>
      </c>
      <c r="AP544">
        <v>5</v>
      </c>
      <c r="AQ544">
        <v>0</v>
      </c>
      <c r="AR544">
        <v>47.5</v>
      </c>
      <c r="AS544">
        <v>45</v>
      </c>
      <c r="AT544">
        <v>4090</v>
      </c>
      <c r="AU544" t="s">
        <v>34</v>
      </c>
    </row>
    <row r="545" spans="1:47" x14ac:dyDescent="0.2">
      <c r="A545">
        <v>465</v>
      </c>
      <c r="B545" t="s">
        <v>315</v>
      </c>
      <c r="C545">
        <v>8</v>
      </c>
      <c r="D545" t="s">
        <v>308</v>
      </c>
      <c r="G545" t="str">
        <f t="shared" si="8"/>
        <v>HLY08018NWC4A</v>
      </c>
      <c r="H545">
        <v>62.577800000000003</v>
      </c>
      <c r="I545">
        <v>-174.16499999999999</v>
      </c>
      <c r="J545" s="3">
        <v>20080318</v>
      </c>
      <c r="K545">
        <v>2008</v>
      </c>
      <c r="L545">
        <v>4.1202500000000004</v>
      </c>
      <c r="M545">
        <v>6.7802699999999998</v>
      </c>
      <c r="N545">
        <v>0.57848999999999995</v>
      </c>
      <c r="O545">
        <v>0</v>
      </c>
      <c r="P545">
        <v>0.63865000000000005</v>
      </c>
      <c r="Q545">
        <v>0</v>
      </c>
      <c r="R545">
        <v>2.349E-2</v>
      </c>
      <c r="S545">
        <v>0</v>
      </c>
      <c r="T545">
        <v>4.9759999999999999E-2</v>
      </c>
      <c r="U545">
        <v>0.35929</v>
      </c>
      <c r="V545">
        <v>12.5502</v>
      </c>
      <c r="W545" t="s">
        <v>10</v>
      </c>
      <c r="X545">
        <v>60.866</v>
      </c>
      <c r="Y545">
        <v>184.95599999999999</v>
      </c>
      <c r="Z545">
        <v>8.3569999999999993</v>
      </c>
      <c r="AA545">
        <v>0</v>
      </c>
      <c r="AB545">
        <v>45.618000000000002</v>
      </c>
      <c r="AC545">
        <v>0</v>
      </c>
      <c r="AD545">
        <v>0.38500000000000001</v>
      </c>
      <c r="AE545">
        <v>0</v>
      </c>
      <c r="AF545">
        <v>0.53500000000000003</v>
      </c>
      <c r="AG545">
        <v>7.4950000000000001</v>
      </c>
      <c r="AH545">
        <v>308.21199999999999</v>
      </c>
      <c r="AI545" t="s">
        <v>22</v>
      </c>
      <c r="AJ545">
        <v>987.5</v>
      </c>
      <c r="AK545">
        <v>1247.5</v>
      </c>
      <c r="AL545">
        <v>200</v>
      </c>
      <c r="AM545">
        <v>0</v>
      </c>
      <c r="AN545">
        <v>115</v>
      </c>
      <c r="AO545">
        <v>0</v>
      </c>
      <c r="AP545">
        <v>2.5</v>
      </c>
      <c r="AQ545">
        <v>0</v>
      </c>
      <c r="AR545">
        <v>55</v>
      </c>
      <c r="AS545">
        <v>115</v>
      </c>
      <c r="AT545">
        <v>2722.5</v>
      </c>
      <c r="AU545" t="s">
        <v>34</v>
      </c>
    </row>
    <row r="546" spans="1:47" x14ac:dyDescent="0.2">
      <c r="A546">
        <v>466</v>
      </c>
      <c r="B546" t="s">
        <v>315</v>
      </c>
      <c r="C546">
        <v>9</v>
      </c>
      <c r="D546" t="s">
        <v>244</v>
      </c>
      <c r="G546" t="str">
        <f t="shared" si="8"/>
        <v>HLY08019DLN3</v>
      </c>
      <c r="H546">
        <v>62.878740000000001</v>
      </c>
      <c r="I546">
        <v>-174.53800000000001</v>
      </c>
      <c r="J546" s="3">
        <v>20080319</v>
      </c>
      <c r="K546">
        <v>2008</v>
      </c>
      <c r="L546">
        <v>4.3444000000000003</v>
      </c>
      <c r="M546">
        <v>11.536809999999999</v>
      </c>
      <c r="N546">
        <v>4.1770000000000002E-2</v>
      </c>
      <c r="O546">
        <v>1.8000000000000001E-4</v>
      </c>
      <c r="P546">
        <v>0.53624000000000005</v>
      </c>
      <c r="Q546">
        <v>0</v>
      </c>
      <c r="R546">
        <v>0</v>
      </c>
      <c r="S546">
        <v>0</v>
      </c>
      <c r="T546">
        <v>4.0090000000000001E-2</v>
      </c>
      <c r="U546">
        <v>0.50105999999999995</v>
      </c>
      <c r="V546">
        <v>17.00055</v>
      </c>
      <c r="W546" t="s">
        <v>10</v>
      </c>
      <c r="X546">
        <v>78.713999999999999</v>
      </c>
      <c r="Y546">
        <v>310.58</v>
      </c>
      <c r="Z546">
        <v>0.505</v>
      </c>
      <c r="AA546">
        <v>4.0000000000000001E-3</v>
      </c>
      <c r="AB546">
        <v>38.302999999999997</v>
      </c>
      <c r="AC546">
        <v>0</v>
      </c>
      <c r="AD546">
        <v>0</v>
      </c>
      <c r="AE546">
        <v>0</v>
      </c>
      <c r="AF546">
        <v>0.43099999999999999</v>
      </c>
      <c r="AG546">
        <v>9.2870000000000008</v>
      </c>
      <c r="AH546">
        <v>437.82400000000001</v>
      </c>
      <c r="AI546" t="s">
        <v>22</v>
      </c>
      <c r="AJ546">
        <v>1210</v>
      </c>
      <c r="AK546">
        <v>817.5</v>
      </c>
      <c r="AL546">
        <v>62.5</v>
      </c>
      <c r="AM546">
        <v>2.5</v>
      </c>
      <c r="AN546">
        <v>60</v>
      </c>
      <c r="AO546">
        <v>0</v>
      </c>
      <c r="AP546">
        <v>0</v>
      </c>
      <c r="AQ546">
        <v>0</v>
      </c>
      <c r="AR546">
        <v>27.5</v>
      </c>
      <c r="AS546">
        <v>27.5</v>
      </c>
      <c r="AT546">
        <v>2207.5</v>
      </c>
      <c r="AU546" t="s">
        <v>33</v>
      </c>
    </row>
    <row r="547" spans="1:47" x14ac:dyDescent="0.2">
      <c r="A547">
        <v>467</v>
      </c>
      <c r="B547" t="s">
        <v>320</v>
      </c>
      <c r="C547">
        <v>101</v>
      </c>
      <c r="D547" t="s">
        <v>321</v>
      </c>
      <c r="G547" t="str">
        <f t="shared" si="8"/>
        <v>HLY0802101ZZ13</v>
      </c>
      <c r="H547">
        <v>58.963200000000001</v>
      </c>
      <c r="I547">
        <v>-177.12950000000001</v>
      </c>
      <c r="J547" s="3">
        <v>20080426</v>
      </c>
      <c r="K547">
        <v>2008</v>
      </c>
      <c r="L547">
        <v>1.05965</v>
      </c>
      <c r="M547">
        <v>2.189E-2</v>
      </c>
      <c r="N547">
        <v>0.44013000000000002</v>
      </c>
      <c r="O547">
        <v>0</v>
      </c>
      <c r="P547">
        <v>2.4499999999999999E-3</v>
      </c>
      <c r="Q547">
        <v>0</v>
      </c>
      <c r="R547">
        <v>0</v>
      </c>
      <c r="S547">
        <v>2.99E-3</v>
      </c>
      <c r="T547">
        <v>0</v>
      </c>
      <c r="U547">
        <v>0.1447</v>
      </c>
      <c r="V547">
        <v>1.67181</v>
      </c>
      <c r="W547" t="s">
        <v>9</v>
      </c>
      <c r="X547">
        <v>14.714</v>
      </c>
      <c r="Y547">
        <v>0.82299999999999995</v>
      </c>
      <c r="Z547">
        <v>6.3780000000000001</v>
      </c>
      <c r="AA547">
        <v>0</v>
      </c>
      <c r="AB547">
        <v>0.17499999999999999</v>
      </c>
      <c r="AC547">
        <v>0</v>
      </c>
      <c r="AD547">
        <v>0</v>
      </c>
      <c r="AE547">
        <v>7.2999999999999995E-2</v>
      </c>
      <c r="AF547">
        <v>0</v>
      </c>
      <c r="AG547">
        <v>1.865</v>
      </c>
      <c r="AH547">
        <v>24.027999999999999</v>
      </c>
      <c r="AI547" t="s">
        <v>21</v>
      </c>
      <c r="AJ547">
        <v>500</v>
      </c>
      <c r="AK547">
        <v>607.5</v>
      </c>
      <c r="AL547">
        <v>277.5</v>
      </c>
      <c r="AM547">
        <v>0</v>
      </c>
      <c r="AN547">
        <v>55</v>
      </c>
      <c r="AO547">
        <v>0</v>
      </c>
      <c r="AP547">
        <v>0</v>
      </c>
      <c r="AQ547">
        <v>2.5</v>
      </c>
      <c r="AR547">
        <v>0</v>
      </c>
      <c r="AS547">
        <v>105</v>
      </c>
      <c r="AT547">
        <v>1547.5</v>
      </c>
      <c r="AU547" t="s">
        <v>34</v>
      </c>
    </row>
    <row r="548" spans="1:47" x14ac:dyDescent="0.2">
      <c r="A548">
        <v>468</v>
      </c>
      <c r="B548" t="s">
        <v>320</v>
      </c>
      <c r="C548">
        <v>110</v>
      </c>
      <c r="D548" t="s">
        <v>322</v>
      </c>
      <c r="G548" t="str">
        <f t="shared" si="8"/>
        <v>HLY0802110ICE</v>
      </c>
      <c r="H548">
        <v>62.2607</v>
      </c>
      <c r="I548">
        <v>-172.55779999999999</v>
      </c>
      <c r="J548" s="3">
        <v>20080429</v>
      </c>
      <c r="K548">
        <v>2008</v>
      </c>
      <c r="L548">
        <v>5.5626300000000004</v>
      </c>
      <c r="M548">
        <v>8.4778000000000002</v>
      </c>
      <c r="N548">
        <v>0.36119000000000001</v>
      </c>
      <c r="O548">
        <v>3.2000000000000003E-4</v>
      </c>
      <c r="P548">
        <v>2.5520000000000001E-2</v>
      </c>
      <c r="Q548">
        <v>0</v>
      </c>
      <c r="R548">
        <v>0</v>
      </c>
      <c r="S548">
        <v>0</v>
      </c>
      <c r="T548">
        <v>0</v>
      </c>
      <c r="U548">
        <v>0.50187999999999999</v>
      </c>
      <c r="V548">
        <v>14.92934</v>
      </c>
      <c r="W548" t="s">
        <v>10</v>
      </c>
      <c r="X548">
        <v>81.436000000000007</v>
      </c>
      <c r="Y548">
        <v>258.62900000000002</v>
      </c>
      <c r="Z548">
        <v>4.99</v>
      </c>
      <c r="AA548">
        <v>7.0000000000000001E-3</v>
      </c>
      <c r="AB548">
        <v>1.823</v>
      </c>
      <c r="AC548">
        <v>0</v>
      </c>
      <c r="AD548">
        <v>0</v>
      </c>
      <c r="AE548">
        <v>0</v>
      </c>
      <c r="AF548">
        <v>0</v>
      </c>
      <c r="AG548">
        <v>7.8490000000000002</v>
      </c>
      <c r="AH548">
        <v>354.73399999999998</v>
      </c>
      <c r="AI548" t="s">
        <v>22</v>
      </c>
      <c r="AJ548">
        <v>1087.5</v>
      </c>
      <c r="AK548">
        <v>1185</v>
      </c>
      <c r="AL548">
        <v>922.5</v>
      </c>
      <c r="AM548">
        <v>5</v>
      </c>
      <c r="AN548">
        <v>22.5</v>
      </c>
      <c r="AO548">
        <v>0</v>
      </c>
      <c r="AP548">
        <v>0</v>
      </c>
      <c r="AQ548">
        <v>0</v>
      </c>
      <c r="AR548">
        <v>0</v>
      </c>
      <c r="AS548">
        <v>130</v>
      </c>
      <c r="AT548">
        <v>3352.5</v>
      </c>
      <c r="AU548" t="s">
        <v>34</v>
      </c>
    </row>
    <row r="549" spans="1:47" x14ac:dyDescent="0.2">
      <c r="A549">
        <v>469</v>
      </c>
      <c r="B549" t="s">
        <v>320</v>
      </c>
      <c r="C549">
        <v>111</v>
      </c>
      <c r="D549" t="s">
        <v>323</v>
      </c>
      <c r="G549" t="str">
        <f t="shared" si="8"/>
        <v>HLY080211170M58</v>
      </c>
      <c r="H549">
        <v>62.196800000000003</v>
      </c>
      <c r="I549">
        <v>-174.7088</v>
      </c>
      <c r="J549" s="3">
        <v>20080429</v>
      </c>
      <c r="K549">
        <v>2008</v>
      </c>
      <c r="L549">
        <v>3.7105199999999998</v>
      </c>
      <c r="M549">
        <v>1.8571299999999999</v>
      </c>
      <c r="N549">
        <v>0.81154999999999999</v>
      </c>
      <c r="O549">
        <v>0.12950999999999999</v>
      </c>
      <c r="P549">
        <v>0.57079000000000002</v>
      </c>
      <c r="Q549">
        <v>0</v>
      </c>
      <c r="R549">
        <v>0</v>
      </c>
      <c r="S549">
        <v>0</v>
      </c>
      <c r="T549">
        <v>0</v>
      </c>
      <c r="U549">
        <v>2.0409299999999999</v>
      </c>
      <c r="V549">
        <v>9.1204300000000007</v>
      </c>
      <c r="W549" t="s">
        <v>9</v>
      </c>
      <c r="X549">
        <v>49.070999999999998</v>
      </c>
      <c r="Y549">
        <v>52.902000000000001</v>
      </c>
      <c r="Z549">
        <v>10.103999999999999</v>
      </c>
      <c r="AA549">
        <v>2.8780000000000001</v>
      </c>
      <c r="AB549">
        <v>40.771000000000001</v>
      </c>
      <c r="AC549">
        <v>0</v>
      </c>
      <c r="AD549">
        <v>0</v>
      </c>
      <c r="AE549">
        <v>0</v>
      </c>
      <c r="AF549">
        <v>0</v>
      </c>
      <c r="AG549">
        <v>25.286999999999999</v>
      </c>
      <c r="AH549">
        <v>181.01300000000001</v>
      </c>
      <c r="AI549" t="s">
        <v>22</v>
      </c>
      <c r="AJ549">
        <v>967.5</v>
      </c>
      <c r="AK549">
        <v>2707.5</v>
      </c>
      <c r="AL549">
        <v>537.5</v>
      </c>
      <c r="AM549">
        <v>32.5</v>
      </c>
      <c r="AN549">
        <v>75</v>
      </c>
      <c r="AO549">
        <v>0</v>
      </c>
      <c r="AP549">
        <v>0</v>
      </c>
      <c r="AQ549">
        <v>0</v>
      </c>
      <c r="AR549">
        <v>0</v>
      </c>
      <c r="AS549">
        <v>190</v>
      </c>
      <c r="AT549">
        <v>4510</v>
      </c>
      <c r="AU549" t="s">
        <v>34</v>
      </c>
    </row>
    <row r="550" spans="1:47" x14ac:dyDescent="0.2">
      <c r="A550">
        <v>470</v>
      </c>
      <c r="B550" t="s">
        <v>320</v>
      </c>
      <c r="C550">
        <v>116</v>
      </c>
      <c r="D550" t="s">
        <v>324</v>
      </c>
      <c r="G550" t="str">
        <f t="shared" si="8"/>
        <v>HLY080211670M53</v>
      </c>
      <c r="H550">
        <v>61.5625</v>
      </c>
      <c r="I550">
        <v>-173.71520000000001</v>
      </c>
      <c r="J550" s="3">
        <v>20080501</v>
      </c>
      <c r="K550">
        <v>2008</v>
      </c>
      <c r="L550">
        <v>3.8106399999999998</v>
      </c>
      <c r="M550">
        <v>2.29156</v>
      </c>
      <c r="N550">
        <v>0.25628000000000001</v>
      </c>
      <c r="O550">
        <v>0</v>
      </c>
      <c r="P550">
        <v>0.22991</v>
      </c>
      <c r="Q550">
        <v>0</v>
      </c>
      <c r="R550">
        <v>0</v>
      </c>
      <c r="S550">
        <v>0</v>
      </c>
      <c r="T550">
        <v>0</v>
      </c>
      <c r="U550">
        <v>0.11233</v>
      </c>
      <c r="V550">
        <v>6.7007199999999996</v>
      </c>
      <c r="W550" t="s">
        <v>9</v>
      </c>
      <c r="X550">
        <v>54.415999999999997</v>
      </c>
      <c r="Y550">
        <v>84.906999999999996</v>
      </c>
      <c r="Z550">
        <v>3.4769999999999999</v>
      </c>
      <c r="AA550">
        <v>0</v>
      </c>
      <c r="AB550">
        <v>16.422000000000001</v>
      </c>
      <c r="AC550">
        <v>0</v>
      </c>
      <c r="AD550">
        <v>0</v>
      </c>
      <c r="AE550">
        <v>0</v>
      </c>
      <c r="AF550">
        <v>0</v>
      </c>
      <c r="AG550">
        <v>1.5529999999999999</v>
      </c>
      <c r="AH550">
        <v>160.77500000000001</v>
      </c>
      <c r="AI550" t="s">
        <v>22</v>
      </c>
      <c r="AJ550">
        <v>1462.5</v>
      </c>
      <c r="AK550">
        <v>2107.5</v>
      </c>
      <c r="AL550">
        <v>670</v>
      </c>
      <c r="AM550">
        <v>0</v>
      </c>
      <c r="AN550">
        <v>367.5</v>
      </c>
      <c r="AO550">
        <v>0</v>
      </c>
      <c r="AP550">
        <v>0</v>
      </c>
      <c r="AQ550">
        <v>0</v>
      </c>
      <c r="AR550">
        <v>0</v>
      </c>
      <c r="AS550">
        <v>95</v>
      </c>
      <c r="AT550">
        <v>4702.5</v>
      </c>
      <c r="AU550" t="s">
        <v>34</v>
      </c>
    </row>
    <row r="551" spans="1:47" x14ac:dyDescent="0.2">
      <c r="A551">
        <v>471</v>
      </c>
      <c r="B551" t="s">
        <v>320</v>
      </c>
      <c r="C551">
        <v>149</v>
      </c>
      <c r="D551" t="s">
        <v>325</v>
      </c>
      <c r="G551" t="str">
        <f t="shared" si="8"/>
        <v>HLY0802149NP7</v>
      </c>
      <c r="H551">
        <v>57.888199999999998</v>
      </c>
      <c r="I551">
        <v>-169.21619999999999</v>
      </c>
      <c r="J551" s="3">
        <v>20080503</v>
      </c>
      <c r="K551">
        <v>2008</v>
      </c>
      <c r="L551">
        <v>3.69842</v>
      </c>
      <c r="M551">
        <v>1.8596900000000001</v>
      </c>
      <c r="N551">
        <v>20.05125</v>
      </c>
      <c r="O551">
        <v>0.12950999999999999</v>
      </c>
      <c r="P551">
        <v>0.57079000000000002</v>
      </c>
      <c r="Q551">
        <v>0</v>
      </c>
      <c r="R551">
        <v>0</v>
      </c>
      <c r="S551">
        <v>0</v>
      </c>
      <c r="T551">
        <v>0</v>
      </c>
      <c r="U551">
        <v>2.03844</v>
      </c>
      <c r="V551">
        <v>28.348099999999999</v>
      </c>
      <c r="W551" t="s">
        <v>11</v>
      </c>
      <c r="X551">
        <v>48.826999999999998</v>
      </c>
      <c r="Y551">
        <v>52.968000000000004</v>
      </c>
      <c r="Z551">
        <v>270.07799999999997</v>
      </c>
      <c r="AA551">
        <v>2.8780000000000001</v>
      </c>
      <c r="AB551">
        <v>40.771000000000001</v>
      </c>
      <c r="AC551">
        <v>0</v>
      </c>
      <c r="AD551">
        <v>0</v>
      </c>
      <c r="AE551">
        <v>0</v>
      </c>
      <c r="AF551">
        <v>0</v>
      </c>
      <c r="AG551">
        <v>25.236000000000001</v>
      </c>
      <c r="AH551">
        <v>440.75799999999998</v>
      </c>
      <c r="AI551" t="s">
        <v>23</v>
      </c>
      <c r="AJ551">
        <v>965</v>
      </c>
      <c r="AK551">
        <v>2707.5</v>
      </c>
      <c r="AL551">
        <v>537.5</v>
      </c>
      <c r="AM551">
        <v>32.5</v>
      </c>
      <c r="AN551">
        <v>75</v>
      </c>
      <c r="AO551">
        <v>0</v>
      </c>
      <c r="AP551">
        <v>0</v>
      </c>
      <c r="AQ551">
        <v>0</v>
      </c>
      <c r="AR551">
        <v>0</v>
      </c>
      <c r="AS551">
        <v>190</v>
      </c>
      <c r="AT551">
        <v>4507.5</v>
      </c>
      <c r="AU551" t="s">
        <v>34</v>
      </c>
    </row>
    <row r="552" spans="1:47" x14ac:dyDescent="0.2">
      <c r="A552">
        <v>472</v>
      </c>
      <c r="B552" t="s">
        <v>320</v>
      </c>
      <c r="C552">
        <v>15</v>
      </c>
      <c r="D552" t="s">
        <v>326</v>
      </c>
      <c r="G552" t="str">
        <f t="shared" si="8"/>
        <v>HLY080215NP1</v>
      </c>
      <c r="H552">
        <v>59.455800000000004</v>
      </c>
      <c r="I552">
        <v>-167.77500000000001</v>
      </c>
      <c r="J552" s="3">
        <v>20080403</v>
      </c>
      <c r="K552">
        <v>2008</v>
      </c>
      <c r="L552">
        <v>1.28165</v>
      </c>
      <c r="M552">
        <v>0.14097000000000001</v>
      </c>
      <c r="N552">
        <v>6.5860000000000002E-2</v>
      </c>
      <c r="O552">
        <v>0</v>
      </c>
      <c r="P552">
        <v>5.7999999999999996E-3</v>
      </c>
      <c r="Q552">
        <v>0</v>
      </c>
      <c r="R552">
        <v>0</v>
      </c>
      <c r="S552">
        <v>0</v>
      </c>
      <c r="T552">
        <v>0</v>
      </c>
      <c r="U552">
        <v>0.12321</v>
      </c>
      <c r="V552">
        <v>1.6174900000000001</v>
      </c>
      <c r="W552" t="s">
        <v>9</v>
      </c>
      <c r="X552">
        <v>17.32</v>
      </c>
      <c r="Y552">
        <v>4.3090000000000002</v>
      </c>
      <c r="Z552">
        <v>0.88700000000000001</v>
      </c>
      <c r="AA552">
        <v>0</v>
      </c>
      <c r="AB552">
        <v>0.41399999999999998</v>
      </c>
      <c r="AC552">
        <v>0</v>
      </c>
      <c r="AD552">
        <v>0</v>
      </c>
      <c r="AE552">
        <v>0</v>
      </c>
      <c r="AF552">
        <v>0</v>
      </c>
      <c r="AG552">
        <v>2.081</v>
      </c>
      <c r="AH552">
        <v>25.010999999999999</v>
      </c>
      <c r="AI552" t="s">
        <v>21</v>
      </c>
      <c r="AJ552">
        <v>825</v>
      </c>
      <c r="AK552">
        <v>257.5</v>
      </c>
      <c r="AL552">
        <v>212.5</v>
      </c>
      <c r="AM552">
        <v>0</v>
      </c>
      <c r="AN552">
        <v>32.5</v>
      </c>
      <c r="AO552">
        <v>0</v>
      </c>
      <c r="AP552">
        <v>0</v>
      </c>
      <c r="AQ552">
        <v>0</v>
      </c>
      <c r="AR552">
        <v>0</v>
      </c>
      <c r="AS552">
        <v>455</v>
      </c>
      <c r="AT552">
        <v>1782.5</v>
      </c>
      <c r="AU552" t="s">
        <v>33</v>
      </c>
    </row>
    <row r="553" spans="1:47" x14ac:dyDescent="0.2">
      <c r="A553">
        <v>473</v>
      </c>
      <c r="B553" t="s">
        <v>320</v>
      </c>
      <c r="C553">
        <v>20</v>
      </c>
      <c r="D553" t="s">
        <v>327</v>
      </c>
      <c r="G553" t="str">
        <f t="shared" si="8"/>
        <v>HLY080220MN4</v>
      </c>
      <c r="H553">
        <v>59.822499999999998</v>
      </c>
      <c r="I553">
        <v>-169.65029999999999</v>
      </c>
      <c r="J553" s="3">
        <v>20080405</v>
      </c>
      <c r="K553">
        <v>2008</v>
      </c>
      <c r="L553">
        <v>1.2068000000000001</v>
      </c>
      <c r="M553">
        <v>0.1976</v>
      </c>
      <c r="N553">
        <v>0.17579</v>
      </c>
      <c r="O553">
        <v>0</v>
      </c>
      <c r="P553">
        <v>6.7000000000000002E-4</v>
      </c>
      <c r="Q553">
        <v>0</v>
      </c>
      <c r="R553">
        <v>0</v>
      </c>
      <c r="S553">
        <v>0</v>
      </c>
      <c r="T553">
        <v>0</v>
      </c>
      <c r="U553">
        <v>4.0629999999999999E-2</v>
      </c>
      <c r="V553">
        <v>1.6214900000000001</v>
      </c>
      <c r="W553" t="s">
        <v>9</v>
      </c>
      <c r="X553">
        <v>18.422000000000001</v>
      </c>
      <c r="Y553">
        <v>4.5490000000000004</v>
      </c>
      <c r="Z553">
        <v>2.556</v>
      </c>
      <c r="AA553">
        <v>0</v>
      </c>
      <c r="AB553">
        <v>4.8000000000000001E-2</v>
      </c>
      <c r="AC553">
        <v>0</v>
      </c>
      <c r="AD553">
        <v>0</v>
      </c>
      <c r="AE553">
        <v>0</v>
      </c>
      <c r="AF553">
        <v>0</v>
      </c>
      <c r="AG553">
        <v>0.94199999999999995</v>
      </c>
      <c r="AH553">
        <v>26.516999999999999</v>
      </c>
      <c r="AI553" t="s">
        <v>21</v>
      </c>
      <c r="AJ553">
        <v>1630</v>
      </c>
      <c r="AK553">
        <v>62.5</v>
      </c>
      <c r="AL553">
        <v>497.5</v>
      </c>
      <c r="AM553">
        <v>0</v>
      </c>
      <c r="AN553">
        <v>75</v>
      </c>
      <c r="AO553">
        <v>0</v>
      </c>
      <c r="AP553">
        <v>0</v>
      </c>
      <c r="AQ553">
        <v>0</v>
      </c>
      <c r="AR553">
        <v>0</v>
      </c>
      <c r="AS553">
        <v>152.5</v>
      </c>
      <c r="AT553">
        <v>2417.5</v>
      </c>
      <c r="AU553" t="s">
        <v>33</v>
      </c>
    </row>
    <row r="554" spans="1:47" x14ac:dyDescent="0.2">
      <c r="A554">
        <v>474</v>
      </c>
      <c r="B554" t="s">
        <v>320</v>
      </c>
      <c r="C554">
        <v>23</v>
      </c>
      <c r="D554" t="s">
        <v>328</v>
      </c>
      <c r="G554" t="str">
        <f t="shared" si="8"/>
        <v>HLY080223MN7</v>
      </c>
      <c r="H554">
        <v>59.908200000000001</v>
      </c>
      <c r="I554">
        <v>-171.5668</v>
      </c>
      <c r="J554" s="3">
        <v>20080405</v>
      </c>
      <c r="K554">
        <v>2008</v>
      </c>
      <c r="L554">
        <v>2.9764599999999999</v>
      </c>
      <c r="M554">
        <v>9.8100000000000007E-2</v>
      </c>
      <c r="N554">
        <v>1.0019100000000001</v>
      </c>
      <c r="O554">
        <v>0</v>
      </c>
      <c r="P554">
        <v>1.159E-2</v>
      </c>
      <c r="Q554">
        <v>0</v>
      </c>
      <c r="R554">
        <v>3.5749999999999997E-2</v>
      </c>
      <c r="S554">
        <v>0</v>
      </c>
      <c r="T554">
        <v>0</v>
      </c>
      <c r="U554">
        <v>0.12870999999999999</v>
      </c>
      <c r="V554">
        <v>4.2525199999999996</v>
      </c>
      <c r="W554" t="s">
        <v>9</v>
      </c>
      <c r="X554">
        <v>40.101999999999997</v>
      </c>
      <c r="Y554">
        <v>5.6459999999999999</v>
      </c>
      <c r="Z554">
        <v>14.756</v>
      </c>
      <c r="AA554">
        <v>0</v>
      </c>
      <c r="AB554">
        <v>0.82799999999999996</v>
      </c>
      <c r="AC554">
        <v>0</v>
      </c>
      <c r="AD554">
        <v>0.58599999999999997</v>
      </c>
      <c r="AE554">
        <v>0</v>
      </c>
      <c r="AF554">
        <v>0</v>
      </c>
      <c r="AG554">
        <v>2.7810000000000001</v>
      </c>
      <c r="AH554">
        <v>64.698999999999998</v>
      </c>
      <c r="AI554" t="s">
        <v>21</v>
      </c>
      <c r="AJ554">
        <v>600</v>
      </c>
      <c r="AK554">
        <v>307.5</v>
      </c>
      <c r="AL554">
        <v>2097.5</v>
      </c>
      <c r="AM554">
        <v>0</v>
      </c>
      <c r="AN554">
        <v>1652.5</v>
      </c>
      <c r="AO554">
        <v>0</v>
      </c>
      <c r="AP554">
        <v>2.5</v>
      </c>
      <c r="AQ554">
        <v>0</v>
      </c>
      <c r="AR554">
        <v>0</v>
      </c>
      <c r="AS554">
        <v>75</v>
      </c>
      <c r="AT554">
        <v>4735</v>
      </c>
      <c r="AU554" t="s">
        <v>35</v>
      </c>
    </row>
    <row r="555" spans="1:47" x14ac:dyDescent="0.2">
      <c r="A555">
        <v>475</v>
      </c>
      <c r="B555" t="s">
        <v>320</v>
      </c>
      <c r="C555">
        <v>25</v>
      </c>
      <c r="D555" t="s">
        <v>329</v>
      </c>
      <c r="G555" t="str">
        <f t="shared" si="8"/>
        <v>HLY080225MN8.5</v>
      </c>
      <c r="H555">
        <v>59.881999999999998</v>
      </c>
      <c r="I555">
        <v>-172.73220000000001</v>
      </c>
      <c r="J555" s="3">
        <v>20080407</v>
      </c>
      <c r="K555">
        <v>2008</v>
      </c>
      <c r="L555">
        <v>1.86815</v>
      </c>
      <c r="M555">
        <v>0.37291999999999997</v>
      </c>
      <c r="N555">
        <v>0.20441000000000001</v>
      </c>
      <c r="O555">
        <v>0</v>
      </c>
      <c r="P555">
        <v>8.3400000000000002E-3</v>
      </c>
      <c r="Q555">
        <v>0</v>
      </c>
      <c r="R555">
        <v>0</v>
      </c>
      <c r="S555">
        <v>0</v>
      </c>
      <c r="T555">
        <v>0</v>
      </c>
      <c r="U555">
        <v>0.22508</v>
      </c>
      <c r="V555">
        <v>2.6789000000000001</v>
      </c>
      <c r="W555" t="s">
        <v>9</v>
      </c>
      <c r="X555">
        <v>26.382999999999999</v>
      </c>
      <c r="Y555">
        <v>19.805</v>
      </c>
      <c r="Z555">
        <v>2.8079999999999998</v>
      </c>
      <c r="AA555">
        <v>0</v>
      </c>
      <c r="AB555">
        <v>0.59599999999999997</v>
      </c>
      <c r="AC555">
        <v>0</v>
      </c>
      <c r="AD555">
        <v>0</v>
      </c>
      <c r="AE555">
        <v>0</v>
      </c>
      <c r="AF555">
        <v>0</v>
      </c>
      <c r="AG555">
        <v>4.9740000000000002</v>
      </c>
      <c r="AH555">
        <v>54.566000000000003</v>
      </c>
      <c r="AI555" t="s">
        <v>21</v>
      </c>
      <c r="AJ555">
        <v>682.5</v>
      </c>
      <c r="AK555">
        <v>430</v>
      </c>
      <c r="AL555">
        <v>1282.5</v>
      </c>
      <c r="AM555">
        <v>0</v>
      </c>
      <c r="AN555">
        <v>952.5</v>
      </c>
      <c r="AO555">
        <v>0</v>
      </c>
      <c r="AP555">
        <v>0</v>
      </c>
      <c r="AQ555">
        <v>0</v>
      </c>
      <c r="AR555">
        <v>0</v>
      </c>
      <c r="AS555">
        <v>190</v>
      </c>
      <c r="AT555">
        <v>3537.5</v>
      </c>
      <c r="AU555" t="s">
        <v>35</v>
      </c>
    </row>
    <row r="556" spans="1:47" x14ac:dyDescent="0.2">
      <c r="A556">
        <v>476</v>
      </c>
      <c r="B556" t="s">
        <v>320</v>
      </c>
      <c r="C556">
        <v>28</v>
      </c>
      <c r="D556" t="s">
        <v>330</v>
      </c>
      <c r="G556" t="str">
        <f t="shared" si="8"/>
        <v>HLY080228MN12</v>
      </c>
      <c r="H556">
        <v>59.902200000000001</v>
      </c>
      <c r="I556">
        <v>-174.61869999999999</v>
      </c>
      <c r="J556" s="3">
        <v>20080407</v>
      </c>
      <c r="K556">
        <v>2008</v>
      </c>
      <c r="L556">
        <v>4.2388000000000003</v>
      </c>
      <c r="M556">
        <v>0.45323000000000002</v>
      </c>
      <c r="N556">
        <v>5.3710000000000001E-2</v>
      </c>
      <c r="O556">
        <v>6.3E-3</v>
      </c>
      <c r="P556">
        <v>3.3820000000000003E-2</v>
      </c>
      <c r="Q556">
        <v>9.0000000000000006E-5</v>
      </c>
      <c r="R556">
        <v>0</v>
      </c>
      <c r="S556">
        <v>0</v>
      </c>
      <c r="T556">
        <v>0</v>
      </c>
      <c r="U556">
        <v>0.35644999999999999</v>
      </c>
      <c r="V556">
        <v>5.1424000000000003</v>
      </c>
      <c r="W556" t="s">
        <v>9</v>
      </c>
      <c r="X556">
        <v>64.209000000000003</v>
      </c>
      <c r="Y556">
        <v>12.817</v>
      </c>
      <c r="Z556">
        <v>0.71899999999999997</v>
      </c>
      <c r="AA556">
        <v>0.14000000000000001</v>
      </c>
      <c r="AB556">
        <v>2.4159999999999999</v>
      </c>
      <c r="AC556">
        <v>8.0000000000000002E-3</v>
      </c>
      <c r="AD556">
        <v>0</v>
      </c>
      <c r="AE556">
        <v>0</v>
      </c>
      <c r="AF556">
        <v>0</v>
      </c>
      <c r="AG556">
        <v>6.7469999999999999</v>
      </c>
      <c r="AH556">
        <v>87.055999999999997</v>
      </c>
      <c r="AI556" t="s">
        <v>21</v>
      </c>
      <c r="AJ556">
        <v>517.5</v>
      </c>
      <c r="AK556">
        <v>215</v>
      </c>
      <c r="AL556">
        <v>137.5</v>
      </c>
      <c r="AM556">
        <v>22.5</v>
      </c>
      <c r="AN556">
        <v>252.5</v>
      </c>
      <c r="AO556">
        <v>2.5</v>
      </c>
      <c r="AP556">
        <v>0</v>
      </c>
      <c r="AQ556">
        <v>0</v>
      </c>
      <c r="AR556">
        <v>0</v>
      </c>
      <c r="AS556">
        <v>330</v>
      </c>
      <c r="AT556">
        <v>1477.5</v>
      </c>
      <c r="AU556" t="s">
        <v>33</v>
      </c>
    </row>
    <row r="557" spans="1:47" x14ac:dyDescent="0.2">
      <c r="A557">
        <v>477</v>
      </c>
      <c r="B557" t="s">
        <v>320</v>
      </c>
      <c r="C557">
        <v>31</v>
      </c>
      <c r="D557" t="s">
        <v>331</v>
      </c>
      <c r="G557" t="str">
        <f t="shared" si="8"/>
        <v>HLY080231MN15</v>
      </c>
      <c r="H557">
        <v>59.901200000000003</v>
      </c>
      <c r="I557">
        <v>-176.42019999999999</v>
      </c>
      <c r="J557" s="3">
        <v>20080408</v>
      </c>
      <c r="K557">
        <v>2008</v>
      </c>
      <c r="L557">
        <v>1.43245</v>
      </c>
      <c r="M557">
        <v>9.1319999999999998E-2</v>
      </c>
      <c r="N557">
        <v>3.7089999999999998E-2</v>
      </c>
      <c r="O557">
        <v>1.1299999999999999E-3</v>
      </c>
      <c r="P557">
        <v>1.0499999999999999E-3</v>
      </c>
      <c r="Q557">
        <v>0</v>
      </c>
      <c r="R557">
        <v>1.2E-4</v>
      </c>
      <c r="S557">
        <v>0</v>
      </c>
      <c r="T557">
        <v>0</v>
      </c>
      <c r="U557">
        <v>0.21646000000000001</v>
      </c>
      <c r="V557">
        <v>1.77962</v>
      </c>
      <c r="W557" t="s">
        <v>9</v>
      </c>
      <c r="X557">
        <v>21.579000000000001</v>
      </c>
      <c r="Y557">
        <v>3.2749999999999999</v>
      </c>
      <c r="Z557">
        <v>0.49199999999999999</v>
      </c>
      <c r="AA557">
        <v>2.5000000000000001E-2</v>
      </c>
      <c r="AB557">
        <v>7.4999999999999997E-2</v>
      </c>
      <c r="AC557">
        <v>0</v>
      </c>
      <c r="AD557">
        <v>2E-3</v>
      </c>
      <c r="AE557">
        <v>0</v>
      </c>
      <c r="AF557">
        <v>0</v>
      </c>
      <c r="AG557">
        <v>5.9809999999999999</v>
      </c>
      <c r="AH557">
        <v>31.428999999999998</v>
      </c>
      <c r="AI557" t="s">
        <v>21</v>
      </c>
      <c r="AJ557">
        <v>625</v>
      </c>
      <c r="AK557">
        <v>1200</v>
      </c>
      <c r="AL557">
        <v>122.5</v>
      </c>
      <c r="AM557">
        <v>20</v>
      </c>
      <c r="AN557">
        <v>25</v>
      </c>
      <c r="AO557">
        <v>0</v>
      </c>
      <c r="AP557">
        <v>0</v>
      </c>
      <c r="AQ557">
        <v>0</v>
      </c>
      <c r="AR557">
        <v>0</v>
      </c>
      <c r="AS557">
        <v>230</v>
      </c>
      <c r="AT557">
        <v>2222.5</v>
      </c>
      <c r="AU557" t="s">
        <v>34</v>
      </c>
    </row>
    <row r="558" spans="1:47" x14ac:dyDescent="0.2">
      <c r="A558">
        <v>478</v>
      </c>
      <c r="B558" t="s">
        <v>320</v>
      </c>
      <c r="C558">
        <v>38</v>
      </c>
      <c r="D558" t="s">
        <v>332</v>
      </c>
      <c r="G558" t="str">
        <f t="shared" si="8"/>
        <v>HLY080238SL12</v>
      </c>
      <c r="H558">
        <v>62.191800000000001</v>
      </c>
      <c r="I558">
        <v>-175.12880000000001</v>
      </c>
      <c r="J558" s="3">
        <v>20080411</v>
      </c>
      <c r="K558">
        <v>2008</v>
      </c>
      <c r="L558">
        <v>4.0643099999999999</v>
      </c>
      <c r="M558">
        <v>4.7013800000000003</v>
      </c>
      <c r="N558">
        <v>7.2109999999999994E-2</v>
      </c>
      <c r="O558">
        <v>2.7899999999999999E-3</v>
      </c>
      <c r="P558">
        <v>0.25374999999999998</v>
      </c>
      <c r="Q558">
        <v>0</v>
      </c>
      <c r="R558">
        <v>6.0999999999999997E-4</v>
      </c>
      <c r="S558">
        <v>0.62609000000000004</v>
      </c>
      <c r="T558">
        <v>0</v>
      </c>
      <c r="U558">
        <v>0.52258000000000004</v>
      </c>
      <c r="V558">
        <v>10.24362</v>
      </c>
      <c r="W558" t="s">
        <v>10</v>
      </c>
      <c r="X558">
        <v>61.805</v>
      </c>
      <c r="Y558">
        <v>126.93899999999999</v>
      </c>
      <c r="Z558">
        <v>0.89300000000000002</v>
      </c>
      <c r="AA558">
        <v>6.2E-2</v>
      </c>
      <c r="AB558">
        <v>18.125</v>
      </c>
      <c r="AC558">
        <v>0</v>
      </c>
      <c r="AD558">
        <v>0.01</v>
      </c>
      <c r="AE558">
        <v>44.720999999999997</v>
      </c>
      <c r="AF558">
        <v>0</v>
      </c>
      <c r="AG558">
        <v>8.0559999999999992</v>
      </c>
      <c r="AH558">
        <v>260.61099999999999</v>
      </c>
      <c r="AI558" t="s">
        <v>22</v>
      </c>
      <c r="AJ558">
        <v>1147.5</v>
      </c>
      <c r="AK558">
        <v>1412.5</v>
      </c>
      <c r="AL558">
        <v>157.5</v>
      </c>
      <c r="AM558">
        <v>20</v>
      </c>
      <c r="AN558">
        <v>180</v>
      </c>
      <c r="AO558">
        <v>0</v>
      </c>
      <c r="AP558">
        <v>5</v>
      </c>
      <c r="AQ558">
        <v>12.5</v>
      </c>
      <c r="AR558">
        <v>0</v>
      </c>
      <c r="AS558">
        <v>140</v>
      </c>
      <c r="AT558">
        <v>3075</v>
      </c>
      <c r="AU558" t="s">
        <v>34</v>
      </c>
    </row>
    <row r="559" spans="1:47" x14ac:dyDescent="0.2">
      <c r="A559">
        <v>479</v>
      </c>
      <c r="B559" t="s">
        <v>320</v>
      </c>
      <c r="C559">
        <v>43</v>
      </c>
      <c r="D559" t="s">
        <v>333</v>
      </c>
      <c r="G559" t="str">
        <f t="shared" si="8"/>
        <v>HLY080243SL8.25</v>
      </c>
      <c r="H559">
        <v>62.085999999999999</v>
      </c>
      <c r="I559">
        <v>-172.83029999999999</v>
      </c>
      <c r="J559" s="3">
        <v>20080413</v>
      </c>
      <c r="K559">
        <v>2008</v>
      </c>
      <c r="L559">
        <v>3.1248900000000002</v>
      </c>
      <c r="M559">
        <v>1.9052500000000001</v>
      </c>
      <c r="N559">
        <v>0.36934</v>
      </c>
      <c r="O559">
        <v>1.8500000000000001E-3</v>
      </c>
      <c r="P559">
        <v>6.3000000000000003E-4</v>
      </c>
      <c r="Q559">
        <v>0</v>
      </c>
      <c r="R559">
        <v>1.4E-3</v>
      </c>
      <c r="S559">
        <v>8.2299999999999995E-3</v>
      </c>
      <c r="T559">
        <v>0</v>
      </c>
      <c r="U559">
        <v>0.62926000000000004</v>
      </c>
      <c r="V559">
        <v>6.0408499999999998</v>
      </c>
      <c r="W559" t="s">
        <v>9</v>
      </c>
      <c r="X559">
        <v>45.884999999999998</v>
      </c>
      <c r="Y559">
        <v>53.335999999999999</v>
      </c>
      <c r="Z559">
        <v>5.1429999999999998</v>
      </c>
      <c r="AA559">
        <v>4.1000000000000002E-2</v>
      </c>
      <c r="AB559">
        <v>4.4999999999999998E-2</v>
      </c>
      <c r="AC559">
        <v>0</v>
      </c>
      <c r="AD559">
        <v>2.3E-2</v>
      </c>
      <c r="AE559">
        <v>0.58799999999999997</v>
      </c>
      <c r="AF559">
        <v>0</v>
      </c>
      <c r="AG559">
        <v>8.7050000000000001</v>
      </c>
      <c r="AH559">
        <v>113.76600000000001</v>
      </c>
      <c r="AI559" t="s">
        <v>22</v>
      </c>
      <c r="AJ559">
        <v>1245</v>
      </c>
      <c r="AK559">
        <v>305</v>
      </c>
      <c r="AL559">
        <v>1152.5</v>
      </c>
      <c r="AM559">
        <v>27.5</v>
      </c>
      <c r="AN559">
        <v>15</v>
      </c>
      <c r="AO559">
        <v>0</v>
      </c>
      <c r="AP559">
        <v>2.5</v>
      </c>
      <c r="AQ559">
        <v>2.5</v>
      </c>
      <c r="AR559">
        <v>0</v>
      </c>
      <c r="AS559">
        <v>130</v>
      </c>
      <c r="AT559">
        <v>2880</v>
      </c>
      <c r="AU559" t="s">
        <v>33</v>
      </c>
    </row>
    <row r="560" spans="1:47" x14ac:dyDescent="0.2">
      <c r="A560">
        <v>480</v>
      </c>
      <c r="B560" t="s">
        <v>320</v>
      </c>
      <c r="C560">
        <v>46</v>
      </c>
      <c r="D560" t="s">
        <v>334</v>
      </c>
      <c r="G560" t="str">
        <f t="shared" si="8"/>
        <v>HLY080246SL6</v>
      </c>
      <c r="H560">
        <v>61.961300000000001</v>
      </c>
      <c r="I560">
        <v>-171.20699999999999</v>
      </c>
      <c r="J560" s="3">
        <v>20080413</v>
      </c>
      <c r="K560">
        <v>2008</v>
      </c>
      <c r="L560">
        <v>1.73868</v>
      </c>
      <c r="M560">
        <v>0.58760000000000001</v>
      </c>
      <c r="N560">
        <v>0.71226999999999996</v>
      </c>
      <c r="O560">
        <v>1.3999999999999999E-4</v>
      </c>
      <c r="P560">
        <v>6.9999999999999994E-5</v>
      </c>
      <c r="Q560">
        <v>0</v>
      </c>
      <c r="R560">
        <v>0</v>
      </c>
      <c r="S560">
        <v>1.6000000000000001E-4</v>
      </c>
      <c r="T560">
        <v>0</v>
      </c>
      <c r="U560">
        <v>0.23765</v>
      </c>
      <c r="V560">
        <v>3.27657</v>
      </c>
      <c r="W560" t="s">
        <v>9</v>
      </c>
      <c r="X560">
        <v>26.870999999999999</v>
      </c>
      <c r="Y560">
        <v>15.045999999999999</v>
      </c>
      <c r="Z560">
        <v>10.284000000000001</v>
      </c>
      <c r="AA560">
        <v>3.0000000000000001E-3</v>
      </c>
      <c r="AB560">
        <v>5.0000000000000001E-3</v>
      </c>
      <c r="AC560">
        <v>0</v>
      </c>
      <c r="AD560">
        <v>0</v>
      </c>
      <c r="AE560">
        <v>4.0000000000000001E-3</v>
      </c>
      <c r="AF560">
        <v>0</v>
      </c>
      <c r="AG560">
        <v>2.7320000000000002</v>
      </c>
      <c r="AH560">
        <v>54.945</v>
      </c>
      <c r="AI560" t="s">
        <v>21</v>
      </c>
      <c r="AJ560">
        <v>445</v>
      </c>
      <c r="AK560">
        <v>1255</v>
      </c>
      <c r="AL560">
        <v>342.5</v>
      </c>
      <c r="AM560">
        <v>2.5</v>
      </c>
      <c r="AN560">
        <v>5</v>
      </c>
      <c r="AO560">
        <v>0</v>
      </c>
      <c r="AP560">
        <v>0</v>
      </c>
      <c r="AQ560">
        <v>2.5</v>
      </c>
      <c r="AR560">
        <v>0</v>
      </c>
      <c r="AS560">
        <v>37.5</v>
      </c>
      <c r="AT560">
        <v>2090</v>
      </c>
      <c r="AU560" t="s">
        <v>34</v>
      </c>
    </row>
    <row r="561" spans="1:47" x14ac:dyDescent="0.2">
      <c r="A561">
        <v>481</v>
      </c>
      <c r="B561" t="s">
        <v>320</v>
      </c>
      <c r="C561">
        <v>52</v>
      </c>
      <c r="D561" t="s">
        <v>335</v>
      </c>
      <c r="G561" t="str">
        <f t="shared" si="8"/>
        <v>HLY080252W1</v>
      </c>
      <c r="H561">
        <v>60.598799999999997</v>
      </c>
      <c r="I561">
        <v>-167.392</v>
      </c>
      <c r="J561" s="3">
        <v>20080414</v>
      </c>
      <c r="K561">
        <v>2008</v>
      </c>
      <c r="L561">
        <v>1.87293</v>
      </c>
      <c r="M561">
        <v>0.45267000000000002</v>
      </c>
      <c r="N561">
        <v>0.15692999999999999</v>
      </c>
      <c r="O561">
        <v>0</v>
      </c>
      <c r="P561">
        <v>3.0000000000000001E-5</v>
      </c>
      <c r="Q561">
        <v>9.8300000000000002E-3</v>
      </c>
      <c r="R561">
        <v>0</v>
      </c>
      <c r="S561">
        <v>0</v>
      </c>
      <c r="T561">
        <v>0</v>
      </c>
      <c r="U561">
        <v>4.5850000000000002E-2</v>
      </c>
      <c r="V561">
        <v>2.5382400000000001</v>
      </c>
      <c r="W561" t="s">
        <v>9</v>
      </c>
      <c r="X561">
        <v>27.158999999999999</v>
      </c>
      <c r="Y561">
        <v>16.725999999999999</v>
      </c>
      <c r="Z561">
        <v>2.0470000000000002</v>
      </c>
      <c r="AA561">
        <v>0</v>
      </c>
      <c r="AB561">
        <v>2E-3</v>
      </c>
      <c r="AC561">
        <v>1.117</v>
      </c>
      <c r="AD561">
        <v>0</v>
      </c>
      <c r="AE561">
        <v>0</v>
      </c>
      <c r="AF561">
        <v>0</v>
      </c>
      <c r="AG561">
        <v>0.86099999999999999</v>
      </c>
      <c r="AH561">
        <v>47.911999999999999</v>
      </c>
      <c r="AI561" t="s">
        <v>21</v>
      </c>
      <c r="AJ561">
        <v>3545</v>
      </c>
      <c r="AK561">
        <v>62.5</v>
      </c>
      <c r="AL561">
        <v>325</v>
      </c>
      <c r="AM561">
        <v>0</v>
      </c>
      <c r="AN561">
        <v>2.5</v>
      </c>
      <c r="AO561">
        <v>147.5</v>
      </c>
      <c r="AP561">
        <v>0</v>
      </c>
      <c r="AQ561">
        <v>0</v>
      </c>
      <c r="AR561">
        <v>0</v>
      </c>
      <c r="AS561">
        <v>145</v>
      </c>
      <c r="AT561">
        <v>4227.5</v>
      </c>
      <c r="AU561" t="s">
        <v>33</v>
      </c>
    </row>
    <row r="562" spans="1:47" x14ac:dyDescent="0.2">
      <c r="A562">
        <v>482</v>
      </c>
      <c r="B562" t="s">
        <v>320</v>
      </c>
      <c r="C562">
        <v>59</v>
      </c>
      <c r="D562" t="s">
        <v>336</v>
      </c>
      <c r="G562" t="str">
        <f t="shared" si="8"/>
        <v>HLY080259W7.5</v>
      </c>
      <c r="H562">
        <v>59.888300000000001</v>
      </c>
      <c r="I562">
        <v>-171.2962</v>
      </c>
      <c r="J562" s="3">
        <v>20080416</v>
      </c>
      <c r="K562">
        <v>2008</v>
      </c>
      <c r="L562">
        <v>1.56928</v>
      </c>
      <c r="M562">
        <v>9.1889999999999999E-2</v>
      </c>
      <c r="N562">
        <v>0.12478</v>
      </c>
      <c r="O562">
        <v>3.9577100000000001</v>
      </c>
      <c r="P562">
        <v>9.2399999999999996E-2</v>
      </c>
      <c r="Q562">
        <v>0</v>
      </c>
      <c r="R562">
        <v>0</v>
      </c>
      <c r="S562">
        <v>0</v>
      </c>
      <c r="T562">
        <v>0</v>
      </c>
      <c r="U562">
        <v>0.14868000000000001</v>
      </c>
      <c r="V562">
        <v>5.9847400000000004</v>
      </c>
      <c r="W562" t="s">
        <v>12</v>
      </c>
      <c r="X562">
        <v>23.555</v>
      </c>
      <c r="Y562">
        <v>2.6829999999999998</v>
      </c>
      <c r="Z562">
        <v>1.696</v>
      </c>
      <c r="AA562">
        <v>87.948999999999998</v>
      </c>
      <c r="AB562">
        <v>6.6</v>
      </c>
      <c r="AC562">
        <v>0</v>
      </c>
      <c r="AD562">
        <v>0</v>
      </c>
      <c r="AE562">
        <v>0</v>
      </c>
      <c r="AF562">
        <v>0</v>
      </c>
      <c r="AG562">
        <v>3.2909999999999999</v>
      </c>
      <c r="AH562">
        <v>125.774</v>
      </c>
      <c r="AI562" t="s">
        <v>24</v>
      </c>
      <c r="AJ562">
        <v>907.5</v>
      </c>
      <c r="AK562">
        <v>250</v>
      </c>
      <c r="AL562">
        <v>545</v>
      </c>
      <c r="AM562">
        <v>2.5</v>
      </c>
      <c r="AN562">
        <v>1702.5</v>
      </c>
      <c r="AO562">
        <v>0</v>
      </c>
      <c r="AP562">
        <v>0</v>
      </c>
      <c r="AQ562">
        <v>0</v>
      </c>
      <c r="AR562">
        <v>0</v>
      </c>
      <c r="AS562">
        <v>152.5</v>
      </c>
      <c r="AT562">
        <v>3560</v>
      </c>
      <c r="AU562" t="s">
        <v>37</v>
      </c>
    </row>
    <row r="563" spans="1:47" x14ac:dyDescent="0.2">
      <c r="A563">
        <v>483</v>
      </c>
      <c r="B563" t="s">
        <v>320</v>
      </c>
      <c r="C563">
        <v>62</v>
      </c>
      <c r="D563" t="s">
        <v>325</v>
      </c>
      <c r="G563" t="str">
        <f t="shared" si="8"/>
        <v>HLY080262NP7</v>
      </c>
      <c r="H563">
        <v>57.941800000000001</v>
      </c>
      <c r="I563">
        <v>-169.20169999999999</v>
      </c>
      <c r="J563" s="3">
        <v>20080418</v>
      </c>
      <c r="K563">
        <v>2008</v>
      </c>
      <c r="L563">
        <v>1.30535</v>
      </c>
      <c r="M563">
        <v>0.12698999999999999</v>
      </c>
      <c r="N563">
        <v>0.35383999999999999</v>
      </c>
      <c r="O563">
        <v>0</v>
      </c>
      <c r="P563">
        <v>3.0000000000000001E-5</v>
      </c>
      <c r="Q563">
        <v>0</v>
      </c>
      <c r="R563">
        <v>1.208E-2</v>
      </c>
      <c r="S563">
        <v>0</v>
      </c>
      <c r="T563">
        <v>0</v>
      </c>
      <c r="U563">
        <v>0.18234</v>
      </c>
      <c r="V563">
        <v>1.9806299999999999</v>
      </c>
      <c r="W563" t="s">
        <v>9</v>
      </c>
      <c r="X563">
        <v>19.213000000000001</v>
      </c>
      <c r="Y563">
        <v>3.6309999999999998</v>
      </c>
      <c r="Z563">
        <v>4.6180000000000003</v>
      </c>
      <c r="AA563">
        <v>0</v>
      </c>
      <c r="AB563">
        <v>2E-3</v>
      </c>
      <c r="AC563">
        <v>0</v>
      </c>
      <c r="AD563">
        <v>0.30199999999999999</v>
      </c>
      <c r="AE563">
        <v>0</v>
      </c>
      <c r="AF563">
        <v>0</v>
      </c>
      <c r="AG563">
        <v>2.4460000000000002</v>
      </c>
      <c r="AH563">
        <v>30.212</v>
      </c>
      <c r="AI563" t="s">
        <v>21</v>
      </c>
      <c r="AJ563">
        <v>680</v>
      </c>
      <c r="AK563">
        <v>180</v>
      </c>
      <c r="AL563">
        <v>632.5</v>
      </c>
      <c r="AM563">
        <v>0</v>
      </c>
      <c r="AN563">
        <v>2.5</v>
      </c>
      <c r="AO563">
        <v>0</v>
      </c>
      <c r="AP563">
        <v>2.5</v>
      </c>
      <c r="AQ563">
        <v>0</v>
      </c>
      <c r="AR563">
        <v>0</v>
      </c>
      <c r="AS563">
        <v>302.5</v>
      </c>
      <c r="AT563">
        <v>1800</v>
      </c>
      <c r="AU563" t="s">
        <v>33</v>
      </c>
    </row>
    <row r="564" spans="1:47" x14ac:dyDescent="0.2">
      <c r="A564">
        <v>484</v>
      </c>
      <c r="B564" t="s">
        <v>320</v>
      </c>
      <c r="C564">
        <v>63</v>
      </c>
      <c r="D564" t="s">
        <v>337</v>
      </c>
      <c r="G564" t="str">
        <f t="shared" si="8"/>
        <v>HLY080263NP3</v>
      </c>
      <c r="H564">
        <v>58.8352</v>
      </c>
      <c r="I564">
        <v>-168.15649999999999</v>
      </c>
      <c r="J564" s="3">
        <v>20080419</v>
      </c>
      <c r="K564">
        <v>2008</v>
      </c>
      <c r="L564">
        <v>0.98057000000000005</v>
      </c>
      <c r="M564">
        <v>0.14174999999999999</v>
      </c>
      <c r="N564">
        <v>24.40033</v>
      </c>
      <c r="O564">
        <v>2.7E-4</v>
      </c>
      <c r="P564">
        <v>5.9500000000000004E-3</v>
      </c>
      <c r="Q564">
        <v>0</v>
      </c>
      <c r="R564">
        <v>0.15933</v>
      </c>
      <c r="S564">
        <v>0</v>
      </c>
      <c r="T564">
        <v>0</v>
      </c>
      <c r="U564">
        <v>6.1999999999999998E-3</v>
      </c>
      <c r="V564">
        <v>25.694400000000002</v>
      </c>
      <c r="W564" t="s">
        <v>11</v>
      </c>
      <c r="X564">
        <v>12.798999999999999</v>
      </c>
      <c r="Y564">
        <v>5.5579999999999998</v>
      </c>
      <c r="Z564">
        <v>301.43</v>
      </c>
      <c r="AA564">
        <v>6.0000000000000001E-3</v>
      </c>
      <c r="AB564">
        <v>0.42499999999999999</v>
      </c>
      <c r="AC564">
        <v>0</v>
      </c>
      <c r="AD564">
        <v>2.6120000000000001</v>
      </c>
      <c r="AE564">
        <v>0</v>
      </c>
      <c r="AF564">
        <v>0</v>
      </c>
      <c r="AG564">
        <v>0.27300000000000002</v>
      </c>
      <c r="AH564">
        <v>323.10300000000001</v>
      </c>
      <c r="AI564" t="s">
        <v>23</v>
      </c>
      <c r="AJ564">
        <v>532.5</v>
      </c>
      <c r="AK564">
        <v>1905</v>
      </c>
      <c r="AL564">
        <v>235</v>
      </c>
      <c r="AM564">
        <v>7.5</v>
      </c>
      <c r="AN564">
        <v>232.5</v>
      </c>
      <c r="AO564">
        <v>0</v>
      </c>
      <c r="AP564">
        <v>0</v>
      </c>
      <c r="AQ564">
        <v>0</v>
      </c>
      <c r="AR564">
        <v>0</v>
      </c>
      <c r="AS564">
        <v>25</v>
      </c>
      <c r="AT564">
        <v>2937.5</v>
      </c>
      <c r="AU564" t="s">
        <v>34</v>
      </c>
    </row>
    <row r="565" spans="1:47" x14ac:dyDescent="0.2">
      <c r="A565">
        <v>485</v>
      </c>
      <c r="B565" t="s">
        <v>320</v>
      </c>
      <c r="C565">
        <v>75</v>
      </c>
      <c r="D565" t="s">
        <v>338</v>
      </c>
      <c r="G565" t="str">
        <f t="shared" si="8"/>
        <v>HLY080275BS1</v>
      </c>
      <c r="H565">
        <v>57.854999999999997</v>
      </c>
      <c r="I565">
        <v>-171.78020000000001</v>
      </c>
      <c r="J565" s="3">
        <v>20080421</v>
      </c>
      <c r="K565">
        <v>2008</v>
      </c>
      <c r="L565">
        <v>1.0995900000000001</v>
      </c>
      <c r="M565">
        <v>2.0215399999999999</v>
      </c>
      <c r="N565">
        <v>0.16453000000000001</v>
      </c>
      <c r="O565">
        <v>1.31E-3</v>
      </c>
      <c r="P565">
        <v>0.12053999999999999</v>
      </c>
      <c r="Q565">
        <v>0</v>
      </c>
      <c r="R565">
        <v>0</v>
      </c>
      <c r="S565">
        <v>0</v>
      </c>
      <c r="T565">
        <v>0</v>
      </c>
      <c r="U565">
        <v>0.10041</v>
      </c>
      <c r="V565">
        <v>3.5079199999999999</v>
      </c>
      <c r="W565" t="s">
        <v>10</v>
      </c>
      <c r="X565">
        <v>15.571999999999999</v>
      </c>
      <c r="Y565">
        <v>91.884</v>
      </c>
      <c r="Z565">
        <v>2.2629999999999999</v>
      </c>
      <c r="AA565">
        <v>2.9000000000000001E-2</v>
      </c>
      <c r="AB565">
        <v>8.61</v>
      </c>
      <c r="AC565">
        <v>0</v>
      </c>
      <c r="AD565">
        <v>0</v>
      </c>
      <c r="AE565">
        <v>0</v>
      </c>
      <c r="AF565">
        <v>0</v>
      </c>
      <c r="AG565">
        <v>1.8089999999999999</v>
      </c>
      <c r="AH565">
        <v>120.167</v>
      </c>
      <c r="AI565" t="s">
        <v>22</v>
      </c>
      <c r="AJ565">
        <v>492.5</v>
      </c>
      <c r="AK565">
        <v>3505</v>
      </c>
      <c r="AL565">
        <v>665</v>
      </c>
      <c r="AM565">
        <v>15</v>
      </c>
      <c r="AN565">
        <v>1967.5</v>
      </c>
      <c r="AO565">
        <v>0</v>
      </c>
      <c r="AP565">
        <v>0</v>
      </c>
      <c r="AQ565">
        <v>0</v>
      </c>
      <c r="AR565">
        <v>0</v>
      </c>
      <c r="AS565">
        <v>405</v>
      </c>
      <c r="AT565">
        <v>7050</v>
      </c>
      <c r="AU565" t="s">
        <v>34</v>
      </c>
    </row>
    <row r="566" spans="1:47" x14ac:dyDescent="0.2">
      <c r="A566">
        <v>486</v>
      </c>
      <c r="B566" t="s">
        <v>320</v>
      </c>
      <c r="C566">
        <v>87</v>
      </c>
      <c r="D566" t="s">
        <v>339</v>
      </c>
      <c r="G566" t="str">
        <f t="shared" si="8"/>
        <v>HLY080287ZZ8</v>
      </c>
      <c r="H566">
        <v>59.344000000000001</v>
      </c>
      <c r="I566">
        <v>-175.80850000000001</v>
      </c>
      <c r="J566" s="3">
        <v>20080424</v>
      </c>
      <c r="K566">
        <v>2008</v>
      </c>
      <c r="L566">
        <v>1.19652</v>
      </c>
      <c r="M566">
        <v>6.2300000000000001E-2</v>
      </c>
      <c r="N566">
        <v>3.0839999999999999E-2</v>
      </c>
      <c r="O566">
        <v>8.4600000000000005E-3</v>
      </c>
      <c r="P566">
        <v>0</v>
      </c>
      <c r="Q566">
        <v>0</v>
      </c>
      <c r="R566">
        <v>1.5299999999999999E-3</v>
      </c>
      <c r="S566">
        <v>0</v>
      </c>
      <c r="T566">
        <v>0</v>
      </c>
      <c r="U566">
        <v>0.33674999999999999</v>
      </c>
      <c r="V566">
        <v>1.6364000000000001</v>
      </c>
      <c r="W566" t="s">
        <v>9</v>
      </c>
      <c r="X566">
        <v>17.521000000000001</v>
      </c>
      <c r="Y566">
        <v>2.0350000000000001</v>
      </c>
      <c r="Z566">
        <v>0.41599999999999998</v>
      </c>
      <c r="AA566">
        <v>0.188</v>
      </c>
      <c r="AB566">
        <v>0</v>
      </c>
      <c r="AC566">
        <v>0</v>
      </c>
      <c r="AD566">
        <v>2.5000000000000001E-2</v>
      </c>
      <c r="AE566">
        <v>0</v>
      </c>
      <c r="AF566">
        <v>0</v>
      </c>
      <c r="AG566">
        <v>27.021000000000001</v>
      </c>
      <c r="AH566">
        <v>47.206000000000003</v>
      </c>
      <c r="AI566" t="s">
        <v>30</v>
      </c>
      <c r="AJ566">
        <v>905</v>
      </c>
      <c r="AK566">
        <v>765</v>
      </c>
      <c r="AL566">
        <v>130</v>
      </c>
      <c r="AM566">
        <v>15</v>
      </c>
      <c r="AN566">
        <v>2.5</v>
      </c>
      <c r="AO566">
        <v>0</v>
      </c>
      <c r="AP566">
        <v>2.5</v>
      </c>
      <c r="AQ566">
        <v>0</v>
      </c>
      <c r="AR566">
        <v>0</v>
      </c>
      <c r="AS566">
        <v>155</v>
      </c>
      <c r="AT566">
        <v>1975</v>
      </c>
      <c r="AU566" t="s">
        <v>33</v>
      </c>
    </row>
    <row r="567" spans="1:47" x14ac:dyDescent="0.2">
      <c r="A567">
        <v>487</v>
      </c>
      <c r="B567" t="s">
        <v>320</v>
      </c>
      <c r="C567">
        <v>9</v>
      </c>
      <c r="D567" t="s">
        <v>325</v>
      </c>
      <c r="G567" t="str">
        <f t="shared" si="8"/>
        <v>HLY08029NP7</v>
      </c>
      <c r="H567">
        <v>57.918799999999997</v>
      </c>
      <c r="I567">
        <v>-169.19319999999999</v>
      </c>
      <c r="J567" s="3">
        <v>20080402</v>
      </c>
      <c r="K567">
        <v>2008</v>
      </c>
      <c r="L567">
        <v>1.1254200000000001</v>
      </c>
      <c r="M567">
        <v>8.0869999999999997E-2</v>
      </c>
      <c r="N567">
        <v>0.32501000000000002</v>
      </c>
      <c r="O567">
        <v>0</v>
      </c>
      <c r="P567">
        <v>1.5650000000000001E-2</v>
      </c>
      <c r="Q567">
        <v>1.8600000000000001E-3</v>
      </c>
      <c r="R567">
        <v>0</v>
      </c>
      <c r="S567">
        <v>0</v>
      </c>
      <c r="T567">
        <v>0</v>
      </c>
      <c r="U567">
        <v>6.6269999999999996E-2</v>
      </c>
      <c r="V567">
        <v>1.6150800000000001</v>
      </c>
      <c r="W567" t="s">
        <v>9</v>
      </c>
      <c r="X567">
        <v>16.013000000000002</v>
      </c>
      <c r="Y567">
        <v>1.958</v>
      </c>
      <c r="Z567">
        <v>4.4370000000000003</v>
      </c>
      <c r="AA567">
        <v>0</v>
      </c>
      <c r="AB567">
        <v>1.1180000000000001</v>
      </c>
      <c r="AC567">
        <v>0.23200000000000001</v>
      </c>
      <c r="AD567">
        <v>0</v>
      </c>
      <c r="AE567">
        <v>0</v>
      </c>
      <c r="AF567">
        <v>0</v>
      </c>
      <c r="AG567">
        <v>2.1669999999999998</v>
      </c>
      <c r="AH567">
        <v>25.925000000000001</v>
      </c>
      <c r="AI567" t="s">
        <v>21</v>
      </c>
      <c r="AJ567">
        <v>650</v>
      </c>
      <c r="AK567">
        <v>427.5</v>
      </c>
      <c r="AL567">
        <v>2345</v>
      </c>
      <c r="AM567">
        <v>0</v>
      </c>
      <c r="AN567">
        <v>1290</v>
      </c>
      <c r="AO567">
        <v>5</v>
      </c>
      <c r="AP567">
        <v>0</v>
      </c>
      <c r="AQ567">
        <v>0</v>
      </c>
      <c r="AR567">
        <v>0</v>
      </c>
      <c r="AS567">
        <v>122.5</v>
      </c>
      <c r="AT567">
        <v>4840</v>
      </c>
      <c r="AU567" t="s">
        <v>35</v>
      </c>
    </row>
    <row r="568" spans="1:47" x14ac:dyDescent="0.2">
      <c r="A568">
        <v>1021</v>
      </c>
      <c r="B568" t="s">
        <v>468</v>
      </c>
      <c r="C568">
        <v>1</v>
      </c>
      <c r="D568" t="s">
        <v>469</v>
      </c>
      <c r="G568" t="str">
        <f t="shared" si="8"/>
        <v>SHELL081BPLN100</v>
      </c>
      <c r="H568">
        <v>72.049949999999995</v>
      </c>
      <c r="I568">
        <v>-164.599917</v>
      </c>
      <c r="J568" s="3">
        <v>20080806</v>
      </c>
      <c r="K568">
        <v>2008</v>
      </c>
      <c r="L568">
        <v>5.1729700000000003</v>
      </c>
      <c r="M568">
        <v>4.5499499999999999</v>
      </c>
      <c r="N568">
        <v>0.12611</v>
      </c>
      <c r="O568">
        <v>0</v>
      </c>
      <c r="P568">
        <v>0</v>
      </c>
      <c r="Q568">
        <v>0</v>
      </c>
      <c r="R568">
        <v>0</v>
      </c>
      <c r="S568">
        <v>0.72223000000000004</v>
      </c>
      <c r="T568">
        <v>0</v>
      </c>
      <c r="U568">
        <v>0.26097999999999999</v>
      </c>
      <c r="V568">
        <v>10.832240000000001</v>
      </c>
      <c r="W568" t="s">
        <v>9</v>
      </c>
      <c r="X568">
        <v>77.984999999999999</v>
      </c>
      <c r="Y568">
        <v>192.55600000000001</v>
      </c>
      <c r="Z568">
        <v>1.756</v>
      </c>
      <c r="AA568">
        <v>0</v>
      </c>
      <c r="AB568">
        <v>0</v>
      </c>
      <c r="AC568">
        <v>0</v>
      </c>
      <c r="AD568">
        <v>0</v>
      </c>
      <c r="AE568">
        <v>51.588000000000001</v>
      </c>
      <c r="AF568">
        <v>0</v>
      </c>
      <c r="AG568">
        <v>2.8769999999999998</v>
      </c>
      <c r="AH568">
        <v>326.762</v>
      </c>
      <c r="AI568" t="s">
        <v>22</v>
      </c>
      <c r="AJ568">
        <v>170</v>
      </c>
      <c r="AK568">
        <v>220</v>
      </c>
      <c r="AL568">
        <v>57.5</v>
      </c>
      <c r="AM568">
        <v>0</v>
      </c>
      <c r="AN568">
        <v>0</v>
      </c>
      <c r="AO568">
        <v>0</v>
      </c>
      <c r="AP568">
        <v>0</v>
      </c>
      <c r="AQ568">
        <v>2.5</v>
      </c>
      <c r="AR568">
        <v>0</v>
      </c>
      <c r="AS568">
        <v>20</v>
      </c>
      <c r="AT568">
        <v>470</v>
      </c>
      <c r="AU568" t="s">
        <v>34</v>
      </c>
    </row>
    <row r="569" spans="1:47" x14ac:dyDescent="0.2">
      <c r="A569">
        <v>1022</v>
      </c>
      <c r="B569" t="s">
        <v>468</v>
      </c>
      <c r="C569">
        <v>11</v>
      </c>
      <c r="D569" t="s">
        <v>470</v>
      </c>
      <c r="G569" t="str">
        <f t="shared" si="8"/>
        <v>SHELL0811BW20</v>
      </c>
      <c r="H569">
        <v>70.905783</v>
      </c>
      <c r="I569">
        <v>-160.61484999999999</v>
      </c>
      <c r="J569" s="3">
        <v>20080808</v>
      </c>
      <c r="K569">
        <v>2008</v>
      </c>
      <c r="L569">
        <v>3.54799</v>
      </c>
      <c r="M569">
        <v>8.4040000000000004E-2</v>
      </c>
      <c r="N569">
        <v>2.5981900000000002</v>
      </c>
      <c r="O569">
        <v>0.18328</v>
      </c>
      <c r="P569">
        <v>9.0600000000000003E-3</v>
      </c>
      <c r="Q569">
        <v>0</v>
      </c>
      <c r="R569">
        <v>0</v>
      </c>
      <c r="S569">
        <v>1.92513</v>
      </c>
      <c r="T569">
        <v>0</v>
      </c>
      <c r="U569">
        <v>1.20479</v>
      </c>
      <c r="V569">
        <v>9.5524799999999992</v>
      </c>
      <c r="W569" t="s">
        <v>9</v>
      </c>
      <c r="X569">
        <v>49.252000000000002</v>
      </c>
      <c r="Y569">
        <v>2.556</v>
      </c>
      <c r="Z569">
        <v>36.601999999999997</v>
      </c>
      <c r="AA569">
        <v>4.0730000000000004</v>
      </c>
      <c r="AB569">
        <v>0.64700000000000002</v>
      </c>
      <c r="AC569">
        <v>0</v>
      </c>
      <c r="AD569">
        <v>0</v>
      </c>
      <c r="AE569">
        <v>51.74</v>
      </c>
      <c r="AF569">
        <v>0</v>
      </c>
      <c r="AG569">
        <v>59.18</v>
      </c>
      <c r="AH569">
        <v>204.05</v>
      </c>
      <c r="AI569" t="s">
        <v>30</v>
      </c>
      <c r="AJ569">
        <v>936.66600000000005</v>
      </c>
      <c r="AK569">
        <v>80</v>
      </c>
      <c r="AL569">
        <v>2096.6669999999999</v>
      </c>
      <c r="AM569">
        <v>110</v>
      </c>
      <c r="AN569">
        <v>16.667000000000002</v>
      </c>
      <c r="AO569">
        <v>0</v>
      </c>
      <c r="AP569">
        <v>0</v>
      </c>
      <c r="AQ569">
        <v>30</v>
      </c>
      <c r="AR569">
        <v>0</v>
      </c>
      <c r="AS569">
        <v>80</v>
      </c>
      <c r="AT569">
        <v>3350</v>
      </c>
      <c r="AU569" t="s">
        <v>35</v>
      </c>
    </row>
    <row r="570" spans="1:47" x14ac:dyDescent="0.2">
      <c r="A570">
        <v>1023</v>
      </c>
      <c r="B570" t="s">
        <v>468</v>
      </c>
      <c r="C570">
        <v>12</v>
      </c>
      <c r="D570" t="s">
        <v>471</v>
      </c>
      <c r="G570" t="str">
        <f t="shared" si="8"/>
        <v>SHELL0812BW35</v>
      </c>
      <c r="H570">
        <v>71.110950000000003</v>
      </c>
      <c r="I570">
        <v>-161.07445000000001</v>
      </c>
      <c r="J570" s="3">
        <v>20080808</v>
      </c>
      <c r="K570">
        <v>2008</v>
      </c>
      <c r="L570">
        <v>5.4480300000000002</v>
      </c>
      <c r="M570">
        <v>3.492</v>
      </c>
      <c r="N570">
        <v>0.54823</v>
      </c>
      <c r="O570">
        <v>4.34002</v>
      </c>
      <c r="P570">
        <v>1.0148200000000001</v>
      </c>
      <c r="Q570">
        <v>0</v>
      </c>
      <c r="R570">
        <v>0</v>
      </c>
      <c r="S570">
        <v>3.6470000000000002E-2</v>
      </c>
      <c r="T570">
        <v>0</v>
      </c>
      <c r="U570">
        <v>8.7550000000000003E-2</v>
      </c>
      <c r="V570">
        <v>14.96712</v>
      </c>
      <c r="W570" t="s">
        <v>9</v>
      </c>
      <c r="X570">
        <v>75.281000000000006</v>
      </c>
      <c r="Y570">
        <v>211.02600000000001</v>
      </c>
      <c r="Z570">
        <v>7.4980000000000002</v>
      </c>
      <c r="AA570">
        <v>96.444999999999993</v>
      </c>
      <c r="AB570">
        <v>72.486999999999995</v>
      </c>
      <c r="AC570">
        <v>0</v>
      </c>
      <c r="AD570">
        <v>0</v>
      </c>
      <c r="AE570">
        <v>2.605</v>
      </c>
      <c r="AF570">
        <v>0</v>
      </c>
      <c r="AG570">
        <v>2.169</v>
      </c>
      <c r="AH570">
        <v>467.51100000000002</v>
      </c>
      <c r="AI570" t="s">
        <v>22</v>
      </c>
      <c r="AJ570">
        <v>475</v>
      </c>
      <c r="AK570">
        <v>125</v>
      </c>
      <c r="AL570">
        <v>415</v>
      </c>
      <c r="AM570">
        <v>15</v>
      </c>
      <c r="AN570">
        <v>187.5</v>
      </c>
      <c r="AO570">
        <v>0</v>
      </c>
      <c r="AP570">
        <v>0</v>
      </c>
      <c r="AQ570">
        <v>2.5</v>
      </c>
      <c r="AR570">
        <v>0</v>
      </c>
      <c r="AS570">
        <v>60</v>
      </c>
      <c r="AT570">
        <v>1280</v>
      </c>
      <c r="AU570" t="s">
        <v>33</v>
      </c>
    </row>
    <row r="571" spans="1:47" x14ac:dyDescent="0.2">
      <c r="A571">
        <v>1024</v>
      </c>
      <c r="B571" t="s">
        <v>468</v>
      </c>
      <c r="C571">
        <v>13</v>
      </c>
      <c r="D571" t="s">
        <v>472</v>
      </c>
      <c r="G571" t="str">
        <f t="shared" si="8"/>
        <v>SHELL0813BPL20</v>
      </c>
      <c r="H571">
        <v>70.022767000000002</v>
      </c>
      <c r="I571">
        <v>-163.670433</v>
      </c>
      <c r="J571" s="3">
        <v>20080809</v>
      </c>
      <c r="K571">
        <v>2008</v>
      </c>
      <c r="L571">
        <v>3.2500000000000001E-2</v>
      </c>
      <c r="M571">
        <v>1.0450999999999999</v>
      </c>
      <c r="N571">
        <v>2.8760000000000001E-2</v>
      </c>
      <c r="O571">
        <v>0</v>
      </c>
      <c r="P571">
        <v>0.17196</v>
      </c>
      <c r="Q571">
        <v>10.136200000000001</v>
      </c>
      <c r="R571">
        <v>0</v>
      </c>
      <c r="S571">
        <v>0</v>
      </c>
      <c r="T571">
        <v>0</v>
      </c>
      <c r="U571">
        <v>4.2900000000000004E-3</v>
      </c>
      <c r="V571">
        <v>11.418810000000001</v>
      </c>
      <c r="W571" t="s">
        <v>14</v>
      </c>
      <c r="X571">
        <v>0.45400000000000001</v>
      </c>
      <c r="Y571">
        <v>67.135999999999996</v>
      </c>
      <c r="Z571">
        <v>0.41499999999999998</v>
      </c>
      <c r="AA571">
        <v>0</v>
      </c>
      <c r="AB571">
        <v>12.282999999999999</v>
      </c>
      <c r="AC571">
        <v>1267.0250000000001</v>
      </c>
      <c r="AD571">
        <v>0</v>
      </c>
      <c r="AE571">
        <v>0</v>
      </c>
      <c r="AF571">
        <v>0</v>
      </c>
      <c r="AG571">
        <v>0.317</v>
      </c>
      <c r="AH571">
        <v>1347.63</v>
      </c>
      <c r="AI571" t="s">
        <v>26</v>
      </c>
      <c r="AJ571">
        <v>40</v>
      </c>
      <c r="AK571">
        <v>95</v>
      </c>
      <c r="AL571">
        <v>25</v>
      </c>
      <c r="AM571">
        <v>0</v>
      </c>
      <c r="AN571">
        <v>5</v>
      </c>
      <c r="AO571">
        <v>342.5</v>
      </c>
      <c r="AP571">
        <v>0</v>
      </c>
      <c r="AQ571">
        <v>0</v>
      </c>
      <c r="AR571">
        <v>0</v>
      </c>
      <c r="AS571">
        <v>15</v>
      </c>
      <c r="AT571">
        <v>522.5</v>
      </c>
      <c r="AU571" t="s">
        <v>38</v>
      </c>
    </row>
    <row r="572" spans="1:47" x14ac:dyDescent="0.2">
      <c r="A572">
        <v>1025</v>
      </c>
      <c r="B572" t="s">
        <v>468</v>
      </c>
      <c r="C572">
        <v>15</v>
      </c>
      <c r="D572" t="s">
        <v>473</v>
      </c>
      <c r="G572" t="str">
        <f t="shared" si="8"/>
        <v>SHELL0815BCL12</v>
      </c>
      <c r="H572">
        <v>69.036033000000003</v>
      </c>
      <c r="I572">
        <v>-166.58623299999999</v>
      </c>
      <c r="J572" s="3">
        <v>20080810</v>
      </c>
      <c r="K572">
        <v>2008</v>
      </c>
      <c r="L572">
        <v>0.93286999999999998</v>
      </c>
      <c r="M572">
        <v>5.49892</v>
      </c>
      <c r="N572">
        <v>0</v>
      </c>
      <c r="O572">
        <v>0</v>
      </c>
      <c r="P572">
        <v>1E-4</v>
      </c>
      <c r="Q572">
        <v>0</v>
      </c>
      <c r="R572">
        <v>0</v>
      </c>
      <c r="S572">
        <v>3.49E-3</v>
      </c>
      <c r="T572">
        <v>0</v>
      </c>
      <c r="U572">
        <v>1.1809999999999999E-2</v>
      </c>
      <c r="V572">
        <v>6.44719</v>
      </c>
      <c r="W572" t="s">
        <v>10</v>
      </c>
      <c r="X572">
        <v>14.901</v>
      </c>
      <c r="Y572">
        <v>277.49700000000001</v>
      </c>
      <c r="Z572">
        <v>0</v>
      </c>
      <c r="AA572">
        <v>0</v>
      </c>
      <c r="AB572">
        <v>7.0000000000000001E-3</v>
      </c>
      <c r="AC572">
        <v>0</v>
      </c>
      <c r="AD572">
        <v>0</v>
      </c>
      <c r="AE572">
        <v>8.5000000000000006E-2</v>
      </c>
      <c r="AF572">
        <v>0</v>
      </c>
      <c r="AG572">
        <v>0.47199999999999998</v>
      </c>
      <c r="AH572">
        <v>292.96199999999999</v>
      </c>
      <c r="AI572" t="s">
        <v>22</v>
      </c>
      <c r="AJ572">
        <v>162.5</v>
      </c>
      <c r="AK572">
        <v>492.5</v>
      </c>
      <c r="AL572">
        <v>0</v>
      </c>
      <c r="AM572">
        <v>0</v>
      </c>
      <c r="AN572">
        <v>2.5</v>
      </c>
      <c r="AO572">
        <v>0</v>
      </c>
      <c r="AP572">
        <v>0</v>
      </c>
      <c r="AQ572">
        <v>5</v>
      </c>
      <c r="AR572">
        <v>0</v>
      </c>
      <c r="AS572">
        <v>12.5</v>
      </c>
      <c r="AT572">
        <v>675</v>
      </c>
      <c r="AU572" t="s">
        <v>34</v>
      </c>
    </row>
    <row r="573" spans="1:47" x14ac:dyDescent="0.2">
      <c r="A573">
        <v>1026</v>
      </c>
      <c r="B573" t="s">
        <v>468</v>
      </c>
      <c r="C573">
        <v>16</v>
      </c>
      <c r="D573" t="s">
        <v>474</v>
      </c>
      <c r="G573" t="str">
        <f t="shared" si="8"/>
        <v>SHELL0816BCL50</v>
      </c>
      <c r="H573">
        <v>69.490099999999998</v>
      </c>
      <c r="I573">
        <v>-167.776567</v>
      </c>
      <c r="J573" s="3">
        <v>20080810</v>
      </c>
      <c r="K573">
        <v>2008</v>
      </c>
      <c r="L573">
        <v>4.8086700000000002</v>
      </c>
      <c r="M573">
        <v>0.60521000000000003</v>
      </c>
      <c r="N573">
        <v>3.3140000000000003E-2</v>
      </c>
      <c r="O573">
        <v>1.42439</v>
      </c>
      <c r="P573">
        <v>1.7799999999999999E-3</v>
      </c>
      <c r="Q573">
        <v>0</v>
      </c>
      <c r="R573">
        <v>0</v>
      </c>
      <c r="S573">
        <v>0.46883999999999998</v>
      </c>
      <c r="T573">
        <v>0</v>
      </c>
      <c r="U573">
        <v>0.18972</v>
      </c>
      <c r="V573">
        <v>7.5317499999999997</v>
      </c>
      <c r="W573" t="s">
        <v>9</v>
      </c>
      <c r="X573">
        <v>68.427000000000007</v>
      </c>
      <c r="Y573">
        <v>34.859000000000002</v>
      </c>
      <c r="Z573">
        <v>0.45800000000000002</v>
      </c>
      <c r="AA573">
        <v>31.652999999999999</v>
      </c>
      <c r="AB573">
        <v>0.127</v>
      </c>
      <c r="AC573">
        <v>0</v>
      </c>
      <c r="AD573">
        <v>0</v>
      </c>
      <c r="AE573">
        <v>11.435</v>
      </c>
      <c r="AF573">
        <v>0</v>
      </c>
      <c r="AG573">
        <v>7.7679999999999998</v>
      </c>
      <c r="AH573">
        <v>154.727</v>
      </c>
      <c r="AI573" t="s">
        <v>21</v>
      </c>
      <c r="AJ573">
        <v>635</v>
      </c>
      <c r="AK573">
        <v>52.5</v>
      </c>
      <c r="AL573">
        <v>22.5</v>
      </c>
      <c r="AM573">
        <v>20</v>
      </c>
      <c r="AN573">
        <v>10</v>
      </c>
      <c r="AO573">
        <v>0</v>
      </c>
      <c r="AP573">
        <v>0</v>
      </c>
      <c r="AQ573">
        <v>22.5</v>
      </c>
      <c r="AR573">
        <v>0</v>
      </c>
      <c r="AS573">
        <v>50</v>
      </c>
      <c r="AT573">
        <v>812.5</v>
      </c>
      <c r="AU573" t="s">
        <v>33</v>
      </c>
    </row>
    <row r="574" spans="1:47" x14ac:dyDescent="0.2">
      <c r="A574">
        <v>1027</v>
      </c>
      <c r="B574" t="s">
        <v>468</v>
      </c>
      <c r="C574">
        <v>17</v>
      </c>
      <c r="D574" t="s">
        <v>475</v>
      </c>
      <c r="G574" t="str">
        <f t="shared" si="8"/>
        <v>SHELL0817BCLN40</v>
      </c>
      <c r="H574">
        <v>70.148832999999996</v>
      </c>
      <c r="I574">
        <v>-167.7792</v>
      </c>
      <c r="J574" s="3">
        <v>20080810</v>
      </c>
      <c r="K574">
        <v>2008</v>
      </c>
      <c r="L574">
        <v>6.2596100000000003</v>
      </c>
      <c r="M574">
        <v>1.9733700000000001</v>
      </c>
      <c r="N574">
        <v>0.18440000000000001</v>
      </c>
      <c r="O574">
        <v>3.8085800000000001</v>
      </c>
      <c r="P574">
        <v>3.0550000000000001E-2</v>
      </c>
      <c r="Q574">
        <v>0</v>
      </c>
      <c r="R574">
        <v>5.0319999999999997E-2</v>
      </c>
      <c r="S574">
        <v>20.941649999999999</v>
      </c>
      <c r="T574">
        <v>0</v>
      </c>
      <c r="U574">
        <v>2.0392600000000001</v>
      </c>
      <c r="V574">
        <v>35.287739999999999</v>
      </c>
      <c r="W574" t="s">
        <v>16</v>
      </c>
      <c r="X574">
        <v>91.05</v>
      </c>
      <c r="Y574">
        <v>115.054</v>
      </c>
      <c r="Z574">
        <v>2.552</v>
      </c>
      <c r="AA574">
        <v>84.635000000000005</v>
      </c>
      <c r="AB574">
        <v>2.1819999999999999</v>
      </c>
      <c r="AC574">
        <v>0</v>
      </c>
      <c r="AD574">
        <v>1.258</v>
      </c>
      <c r="AE574">
        <v>510.77199999999999</v>
      </c>
      <c r="AF574">
        <v>0</v>
      </c>
      <c r="AG574">
        <v>90.343000000000004</v>
      </c>
      <c r="AH574">
        <v>897.846</v>
      </c>
      <c r="AI574" t="s">
        <v>28</v>
      </c>
      <c r="AJ574">
        <v>527.5</v>
      </c>
      <c r="AK574">
        <v>192.5</v>
      </c>
      <c r="AL574">
        <v>112.5</v>
      </c>
      <c r="AM574">
        <v>135</v>
      </c>
      <c r="AN574">
        <v>30</v>
      </c>
      <c r="AO574">
        <v>0</v>
      </c>
      <c r="AP574">
        <v>2.5</v>
      </c>
      <c r="AQ574">
        <v>55</v>
      </c>
      <c r="AR574">
        <v>0</v>
      </c>
      <c r="AS574">
        <v>152.5</v>
      </c>
      <c r="AT574">
        <v>1207.5</v>
      </c>
      <c r="AU574" t="s">
        <v>33</v>
      </c>
    </row>
    <row r="575" spans="1:47" x14ac:dyDescent="0.2">
      <c r="A575">
        <v>1028</v>
      </c>
      <c r="B575" t="s">
        <v>468</v>
      </c>
      <c r="C575">
        <v>18</v>
      </c>
      <c r="D575" t="s">
        <v>476</v>
      </c>
      <c r="G575" t="str">
        <f t="shared" si="8"/>
        <v>SHELL0818BCLN80</v>
      </c>
      <c r="H575">
        <v>70.836033</v>
      </c>
      <c r="I575">
        <v>-167.78375</v>
      </c>
      <c r="J575" s="3">
        <v>20080811</v>
      </c>
      <c r="K575">
        <v>2008</v>
      </c>
      <c r="L575">
        <v>2.589</v>
      </c>
      <c r="M575">
        <v>5.55443</v>
      </c>
      <c r="N575">
        <v>0.60824999999999996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2.6255600000000001</v>
      </c>
      <c r="V575">
        <v>11.37724</v>
      </c>
      <c r="W575" t="s">
        <v>10</v>
      </c>
      <c r="X575">
        <v>40.241</v>
      </c>
      <c r="Y575">
        <v>164.05600000000001</v>
      </c>
      <c r="Z575">
        <v>8.1419999999999995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28.875</v>
      </c>
      <c r="AH575">
        <v>241.31399999999999</v>
      </c>
      <c r="AI575" t="s">
        <v>22</v>
      </c>
      <c r="AJ575">
        <v>202.5</v>
      </c>
      <c r="AK575">
        <v>610</v>
      </c>
      <c r="AL575">
        <v>192.5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72.5</v>
      </c>
      <c r="AT575">
        <v>1077.5</v>
      </c>
      <c r="AU575" t="s">
        <v>34</v>
      </c>
    </row>
    <row r="576" spans="1:47" x14ac:dyDescent="0.2">
      <c r="A576">
        <v>1029</v>
      </c>
      <c r="B576" t="s">
        <v>468</v>
      </c>
      <c r="C576">
        <v>19</v>
      </c>
      <c r="D576" t="s">
        <v>477</v>
      </c>
      <c r="G576" t="str">
        <f t="shared" si="8"/>
        <v>SHELL0819LB5</v>
      </c>
      <c r="H576">
        <v>71.069166999999993</v>
      </c>
      <c r="I576">
        <v>-166.00148300000001</v>
      </c>
      <c r="J576" s="3">
        <v>20080811</v>
      </c>
      <c r="K576">
        <v>2008</v>
      </c>
      <c r="L576">
        <v>1.7531000000000001</v>
      </c>
      <c r="M576">
        <v>3.6341199999999998</v>
      </c>
      <c r="N576">
        <v>5.1970000000000002E-2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2.7519999999999999E-2</v>
      </c>
      <c r="V576">
        <v>5.46671</v>
      </c>
      <c r="W576" t="s">
        <v>10</v>
      </c>
      <c r="X576">
        <v>26.382000000000001</v>
      </c>
      <c r="Y576">
        <v>197.48699999999999</v>
      </c>
      <c r="Z576">
        <v>0.70699999999999996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0.97199999999999998</v>
      </c>
      <c r="AH576">
        <v>225.548</v>
      </c>
      <c r="AI576" t="s">
        <v>22</v>
      </c>
      <c r="AJ576">
        <v>110</v>
      </c>
      <c r="AK576">
        <v>275</v>
      </c>
      <c r="AL576">
        <v>30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20</v>
      </c>
      <c r="AT576">
        <v>435</v>
      </c>
      <c r="AU576" t="s">
        <v>34</v>
      </c>
    </row>
    <row r="577" spans="1:47" x14ac:dyDescent="0.2">
      <c r="A577">
        <v>1030</v>
      </c>
      <c r="B577" t="s">
        <v>468</v>
      </c>
      <c r="C577">
        <v>2</v>
      </c>
      <c r="D577" t="s">
        <v>478</v>
      </c>
      <c r="G577" t="str">
        <f t="shared" si="8"/>
        <v>SHELL082BPLN80</v>
      </c>
      <c r="H577">
        <v>71.740482999999998</v>
      </c>
      <c r="I577">
        <v>-164.59055000000001</v>
      </c>
      <c r="J577" s="3">
        <v>20080806</v>
      </c>
      <c r="K577">
        <v>2008</v>
      </c>
      <c r="L577">
        <v>5.0933099999999998</v>
      </c>
      <c r="M577">
        <v>1.4067700000000001</v>
      </c>
      <c r="N577">
        <v>0.20726</v>
      </c>
      <c r="O577">
        <v>0</v>
      </c>
      <c r="P577">
        <v>0.26904</v>
      </c>
      <c r="Q577">
        <v>0</v>
      </c>
      <c r="R577">
        <v>0</v>
      </c>
      <c r="S577">
        <v>2.5899999999999999E-3</v>
      </c>
      <c r="T577">
        <v>0</v>
      </c>
      <c r="U577">
        <v>0.12856999999999999</v>
      </c>
      <c r="V577">
        <v>7.1075400000000002</v>
      </c>
      <c r="W577" t="s">
        <v>9</v>
      </c>
      <c r="X577">
        <v>70.911000000000001</v>
      </c>
      <c r="Y577">
        <v>73.212999999999994</v>
      </c>
      <c r="Z577">
        <v>2.927</v>
      </c>
      <c r="AA577">
        <v>0</v>
      </c>
      <c r="AB577">
        <v>19.216999999999999</v>
      </c>
      <c r="AC577">
        <v>0</v>
      </c>
      <c r="AD577">
        <v>0</v>
      </c>
      <c r="AE577">
        <v>0.185</v>
      </c>
      <c r="AF577">
        <v>0</v>
      </c>
      <c r="AG577">
        <v>3.6760000000000002</v>
      </c>
      <c r="AH577">
        <v>170.12899999999999</v>
      </c>
      <c r="AI577" t="s">
        <v>22</v>
      </c>
      <c r="AJ577">
        <v>200</v>
      </c>
      <c r="AK577">
        <v>100</v>
      </c>
      <c r="AL577">
        <v>80</v>
      </c>
      <c r="AM577">
        <v>0</v>
      </c>
      <c r="AN577">
        <v>12.5</v>
      </c>
      <c r="AO577">
        <v>0</v>
      </c>
      <c r="AP577">
        <v>0</v>
      </c>
      <c r="AQ577">
        <v>5</v>
      </c>
      <c r="AR577">
        <v>0</v>
      </c>
      <c r="AS577">
        <v>40</v>
      </c>
      <c r="AT577">
        <v>437.5</v>
      </c>
      <c r="AU577" t="s">
        <v>33</v>
      </c>
    </row>
    <row r="578" spans="1:47" x14ac:dyDescent="0.2">
      <c r="A578">
        <v>1031</v>
      </c>
      <c r="B578" t="s">
        <v>468</v>
      </c>
      <c r="C578">
        <v>20</v>
      </c>
      <c r="D578" t="s">
        <v>479</v>
      </c>
      <c r="G578" t="str">
        <f t="shared" si="8"/>
        <v>SHELL0820LB6</v>
      </c>
      <c r="H578">
        <v>71.400467000000006</v>
      </c>
      <c r="I578">
        <v>-165.99251699999999</v>
      </c>
      <c r="J578" s="3">
        <v>20080811</v>
      </c>
      <c r="K578">
        <v>2008</v>
      </c>
      <c r="L578">
        <v>2.0831400000000002</v>
      </c>
      <c r="M578">
        <v>1.1954199999999999</v>
      </c>
      <c r="N578">
        <v>1.3509999999999999E-2</v>
      </c>
      <c r="O578">
        <v>5.94E-3</v>
      </c>
      <c r="P578">
        <v>0</v>
      </c>
      <c r="Q578">
        <v>0</v>
      </c>
      <c r="R578">
        <v>0</v>
      </c>
      <c r="S578">
        <v>0.69632000000000005</v>
      </c>
      <c r="T578">
        <v>0</v>
      </c>
      <c r="U578">
        <v>0.39404</v>
      </c>
      <c r="V578">
        <v>4.3883700000000001</v>
      </c>
      <c r="W578" t="s">
        <v>9</v>
      </c>
      <c r="X578">
        <v>30.873999999999999</v>
      </c>
      <c r="Y578">
        <v>52.351999999999997</v>
      </c>
      <c r="Z578">
        <v>0.17899999999999999</v>
      </c>
      <c r="AA578">
        <v>0.13200000000000001</v>
      </c>
      <c r="AB578">
        <v>0</v>
      </c>
      <c r="AC578">
        <v>0</v>
      </c>
      <c r="AD578">
        <v>0</v>
      </c>
      <c r="AE578">
        <v>49.737000000000002</v>
      </c>
      <c r="AF578">
        <v>0</v>
      </c>
      <c r="AG578">
        <v>4.4450000000000003</v>
      </c>
      <c r="AH578">
        <v>137.71899999999999</v>
      </c>
      <c r="AI578" t="s">
        <v>22</v>
      </c>
      <c r="AJ578">
        <v>72.5</v>
      </c>
      <c r="AK578">
        <v>542.5</v>
      </c>
      <c r="AL578">
        <v>10</v>
      </c>
      <c r="AM578">
        <v>5</v>
      </c>
      <c r="AN578">
        <v>0</v>
      </c>
      <c r="AO578">
        <v>0</v>
      </c>
      <c r="AP578">
        <v>0</v>
      </c>
      <c r="AQ578">
        <v>2.5</v>
      </c>
      <c r="AR578">
        <v>0</v>
      </c>
      <c r="AS578">
        <v>15</v>
      </c>
      <c r="AT578">
        <v>647.5</v>
      </c>
      <c r="AU578" t="s">
        <v>34</v>
      </c>
    </row>
    <row r="579" spans="1:47" x14ac:dyDescent="0.2">
      <c r="A579">
        <v>1032</v>
      </c>
      <c r="B579" t="s">
        <v>468</v>
      </c>
      <c r="C579">
        <v>21</v>
      </c>
      <c r="D579" t="s">
        <v>480</v>
      </c>
      <c r="G579" t="str">
        <f t="shared" ref="G579:G642" si="9">CONCATENATE(B579,C579,D579)</f>
        <v>SHELL0821LB6.5</v>
      </c>
      <c r="H579">
        <v>71.598950000000002</v>
      </c>
      <c r="I579">
        <v>-166.00534999999999</v>
      </c>
      <c r="J579" s="3">
        <v>20080811</v>
      </c>
      <c r="K579">
        <v>2008</v>
      </c>
      <c r="L579">
        <v>1.24587</v>
      </c>
      <c r="M579">
        <v>1.5549500000000001</v>
      </c>
      <c r="N579">
        <v>6.6250000000000003E-2</v>
      </c>
      <c r="O579">
        <v>0</v>
      </c>
      <c r="P579">
        <v>1E-4</v>
      </c>
      <c r="Q579">
        <v>2.35602</v>
      </c>
      <c r="R579">
        <v>0</v>
      </c>
      <c r="S579">
        <v>0.39176</v>
      </c>
      <c r="T579">
        <v>0</v>
      </c>
      <c r="U579">
        <v>0.12307</v>
      </c>
      <c r="V579">
        <v>5.7380199999999997</v>
      </c>
      <c r="W579" t="s">
        <v>14</v>
      </c>
      <c r="X579">
        <v>19.79</v>
      </c>
      <c r="Y579">
        <v>62.152000000000001</v>
      </c>
      <c r="Z579">
        <v>0.87</v>
      </c>
      <c r="AA579">
        <v>0</v>
      </c>
      <c r="AB579">
        <v>7.0000000000000001E-3</v>
      </c>
      <c r="AC579">
        <v>294.50299999999999</v>
      </c>
      <c r="AD579">
        <v>0</v>
      </c>
      <c r="AE579">
        <v>9.5549999999999997</v>
      </c>
      <c r="AF579">
        <v>0</v>
      </c>
      <c r="AG579">
        <v>2.2799999999999998</v>
      </c>
      <c r="AH579">
        <v>389.15699999999998</v>
      </c>
      <c r="AI579" t="s">
        <v>26</v>
      </c>
      <c r="AJ579">
        <v>102.5</v>
      </c>
      <c r="AK579">
        <v>350</v>
      </c>
      <c r="AL579">
        <v>12.5</v>
      </c>
      <c r="AM579">
        <v>0</v>
      </c>
      <c r="AN579">
        <v>2.5</v>
      </c>
      <c r="AO579">
        <v>77.5</v>
      </c>
      <c r="AP579">
        <v>0</v>
      </c>
      <c r="AQ579">
        <v>2.5</v>
      </c>
      <c r="AR579">
        <v>0</v>
      </c>
      <c r="AS579">
        <v>32.5</v>
      </c>
      <c r="AT579">
        <v>580</v>
      </c>
      <c r="AU579" t="s">
        <v>34</v>
      </c>
    </row>
    <row r="580" spans="1:47" x14ac:dyDescent="0.2">
      <c r="A580">
        <v>1033</v>
      </c>
      <c r="B580" t="s">
        <v>468</v>
      </c>
      <c r="C580">
        <v>22</v>
      </c>
      <c r="D580" t="s">
        <v>481</v>
      </c>
      <c r="G580" t="str">
        <f t="shared" si="9"/>
        <v>SHELL0822LB4</v>
      </c>
      <c r="H580">
        <v>70.733249999999998</v>
      </c>
      <c r="I580">
        <v>-166.00765000000001</v>
      </c>
      <c r="J580" s="3">
        <v>20080812</v>
      </c>
      <c r="K580">
        <v>2008</v>
      </c>
      <c r="L580">
        <v>3.60961</v>
      </c>
      <c r="M580">
        <v>3.1017399999999999</v>
      </c>
      <c r="N580">
        <v>0.11699</v>
      </c>
      <c r="O580">
        <v>3.159E-2</v>
      </c>
      <c r="P580">
        <v>2.49E-3</v>
      </c>
      <c r="Q580">
        <v>0</v>
      </c>
      <c r="R580">
        <v>0</v>
      </c>
      <c r="S580">
        <v>2.53E-2</v>
      </c>
      <c r="T580">
        <v>0</v>
      </c>
      <c r="U580">
        <v>0.87965000000000004</v>
      </c>
      <c r="V580">
        <v>7.7673699999999997</v>
      </c>
      <c r="W580" t="s">
        <v>9</v>
      </c>
      <c r="X580">
        <v>50.581000000000003</v>
      </c>
      <c r="Y580">
        <v>185.32499999999999</v>
      </c>
      <c r="Z580">
        <v>1.6930000000000001</v>
      </c>
      <c r="AA580">
        <v>0.70199999999999996</v>
      </c>
      <c r="AB580">
        <v>0.17799999999999999</v>
      </c>
      <c r="AC580">
        <v>0</v>
      </c>
      <c r="AD580">
        <v>0</v>
      </c>
      <c r="AE580">
        <v>0.61699999999999999</v>
      </c>
      <c r="AF580">
        <v>0</v>
      </c>
      <c r="AG580">
        <v>31.18</v>
      </c>
      <c r="AH580">
        <v>270.27600000000001</v>
      </c>
      <c r="AI580" t="s">
        <v>22</v>
      </c>
      <c r="AJ580">
        <v>650</v>
      </c>
      <c r="AK580">
        <v>87.5</v>
      </c>
      <c r="AL580">
        <v>52.5</v>
      </c>
      <c r="AM580">
        <v>5</v>
      </c>
      <c r="AN580">
        <v>7.5</v>
      </c>
      <c r="AO580">
        <v>0</v>
      </c>
      <c r="AP580">
        <v>0</v>
      </c>
      <c r="AQ580">
        <v>5</v>
      </c>
      <c r="AR580">
        <v>0</v>
      </c>
      <c r="AS580">
        <v>45</v>
      </c>
      <c r="AT580">
        <v>852.5</v>
      </c>
      <c r="AU580" t="s">
        <v>33</v>
      </c>
    </row>
    <row r="581" spans="1:47" x14ac:dyDescent="0.2">
      <c r="A581">
        <v>1034</v>
      </c>
      <c r="B581" t="s">
        <v>468</v>
      </c>
      <c r="C581">
        <v>3</v>
      </c>
      <c r="D581" t="s">
        <v>482</v>
      </c>
      <c r="G581" t="str">
        <f t="shared" si="9"/>
        <v>SHELL083BPLN60</v>
      </c>
      <c r="H581">
        <v>71.397750000000002</v>
      </c>
      <c r="I581">
        <v>-164.59973299999999</v>
      </c>
      <c r="J581" s="3">
        <v>20080807</v>
      </c>
      <c r="K581">
        <v>2008</v>
      </c>
      <c r="L581">
        <v>3.1516999999999999</v>
      </c>
      <c r="M581">
        <v>2.8678699999999999</v>
      </c>
      <c r="N581">
        <v>0.27451999999999999</v>
      </c>
      <c r="O581">
        <v>2.4750000000000001</v>
      </c>
      <c r="P581">
        <v>0.58375999999999995</v>
      </c>
      <c r="Q581">
        <v>0</v>
      </c>
      <c r="R581">
        <v>0</v>
      </c>
      <c r="S581">
        <v>0</v>
      </c>
      <c r="T581">
        <v>0</v>
      </c>
      <c r="U581">
        <v>0.17018</v>
      </c>
      <c r="V581">
        <v>9.5230300000000003</v>
      </c>
      <c r="W581" t="s">
        <v>9</v>
      </c>
      <c r="X581">
        <v>45.148000000000003</v>
      </c>
      <c r="Y581">
        <v>108.375</v>
      </c>
      <c r="Z581">
        <v>3.7559999999999998</v>
      </c>
      <c r="AA581">
        <v>55</v>
      </c>
      <c r="AB581">
        <v>41.697000000000003</v>
      </c>
      <c r="AC581">
        <v>0</v>
      </c>
      <c r="AD581">
        <v>0</v>
      </c>
      <c r="AE581">
        <v>0</v>
      </c>
      <c r="AF581">
        <v>0</v>
      </c>
      <c r="AG581">
        <v>5.907</v>
      </c>
      <c r="AH581">
        <v>259.88299999999998</v>
      </c>
      <c r="AI581" t="s">
        <v>22</v>
      </c>
      <c r="AJ581">
        <v>145</v>
      </c>
      <c r="AK581">
        <v>237.5</v>
      </c>
      <c r="AL581">
        <v>187.5</v>
      </c>
      <c r="AM581">
        <v>5</v>
      </c>
      <c r="AN581">
        <v>87.5</v>
      </c>
      <c r="AO581">
        <v>0</v>
      </c>
      <c r="AP581">
        <v>0</v>
      </c>
      <c r="AQ581">
        <v>0</v>
      </c>
      <c r="AR581">
        <v>0</v>
      </c>
      <c r="AS581">
        <v>40</v>
      </c>
      <c r="AT581">
        <v>702.5</v>
      </c>
      <c r="AU581" t="s">
        <v>34</v>
      </c>
    </row>
    <row r="582" spans="1:47" x14ac:dyDescent="0.2">
      <c r="A582">
        <v>1035</v>
      </c>
      <c r="B582" t="s">
        <v>468</v>
      </c>
      <c r="C582">
        <v>4</v>
      </c>
      <c r="D582" t="s">
        <v>483</v>
      </c>
      <c r="G582" t="str">
        <f t="shared" si="9"/>
        <v>SHELL084BPLN40</v>
      </c>
      <c r="H582">
        <v>71.066383000000002</v>
      </c>
      <c r="I582">
        <v>-164.58860000000001</v>
      </c>
      <c r="J582" s="3">
        <v>20080807</v>
      </c>
      <c r="K582">
        <v>2008</v>
      </c>
      <c r="L582">
        <v>10.47209</v>
      </c>
      <c r="M582">
        <v>0.98087000000000002</v>
      </c>
      <c r="N582">
        <v>3.8129999999999997E-2</v>
      </c>
      <c r="O582">
        <v>0.78264</v>
      </c>
      <c r="P582">
        <v>0.82501999999999998</v>
      </c>
      <c r="Q582">
        <v>0</v>
      </c>
      <c r="R582">
        <v>0</v>
      </c>
      <c r="S582">
        <v>0.17856</v>
      </c>
      <c r="T582">
        <v>0</v>
      </c>
      <c r="U582">
        <v>0.17343</v>
      </c>
      <c r="V582">
        <v>13.45074</v>
      </c>
      <c r="W582" t="s">
        <v>9</v>
      </c>
      <c r="X582">
        <v>150.11500000000001</v>
      </c>
      <c r="Y582">
        <v>23.152999999999999</v>
      </c>
      <c r="Z582">
        <v>0.48499999999999999</v>
      </c>
      <c r="AA582">
        <v>17.391999999999999</v>
      </c>
      <c r="AB582">
        <v>58.93</v>
      </c>
      <c r="AC582">
        <v>0</v>
      </c>
      <c r="AD582">
        <v>0</v>
      </c>
      <c r="AE582">
        <v>4.3550000000000004</v>
      </c>
      <c r="AF582">
        <v>0</v>
      </c>
      <c r="AG582">
        <v>17.341000000000001</v>
      </c>
      <c r="AH582">
        <v>271.77100000000002</v>
      </c>
      <c r="AI582" t="s">
        <v>21</v>
      </c>
      <c r="AJ582">
        <v>265</v>
      </c>
      <c r="AK582">
        <v>115</v>
      </c>
      <c r="AL582">
        <v>30</v>
      </c>
      <c r="AM582">
        <v>2.5</v>
      </c>
      <c r="AN582">
        <v>127.5</v>
      </c>
      <c r="AO582">
        <v>0</v>
      </c>
      <c r="AP582">
        <v>0</v>
      </c>
      <c r="AQ582">
        <v>2.5</v>
      </c>
      <c r="AR582">
        <v>0</v>
      </c>
      <c r="AS582">
        <v>12.5</v>
      </c>
      <c r="AT582">
        <v>555</v>
      </c>
      <c r="AU582" t="s">
        <v>33</v>
      </c>
    </row>
    <row r="583" spans="1:47" x14ac:dyDescent="0.2">
      <c r="A583">
        <v>1036</v>
      </c>
      <c r="B583" t="s">
        <v>468</v>
      </c>
      <c r="C583">
        <v>5</v>
      </c>
      <c r="D583" t="s">
        <v>484</v>
      </c>
      <c r="G583" t="str">
        <f t="shared" si="9"/>
        <v>SHELL085BPLN20</v>
      </c>
      <c r="H583">
        <v>70.736517000000006</v>
      </c>
      <c r="I583">
        <v>-164.60898299999999</v>
      </c>
      <c r="J583" s="3">
        <v>20080807</v>
      </c>
      <c r="K583">
        <v>2008</v>
      </c>
      <c r="L583">
        <v>2.9786700000000002</v>
      </c>
      <c r="M583">
        <v>3.0838199999999998</v>
      </c>
      <c r="N583">
        <v>4.1790000000000001E-2</v>
      </c>
      <c r="O583">
        <v>0</v>
      </c>
      <c r="P583">
        <v>3.6609999999999997E-2</v>
      </c>
      <c r="Q583">
        <v>0</v>
      </c>
      <c r="R583">
        <v>0</v>
      </c>
      <c r="S583">
        <v>1.8450000000000001E-2</v>
      </c>
      <c r="T583">
        <v>1.0229999999999999</v>
      </c>
      <c r="U583">
        <v>0.31668000000000002</v>
      </c>
      <c r="V583">
        <v>7.4990199999999998</v>
      </c>
      <c r="W583" t="s">
        <v>10</v>
      </c>
      <c r="X583">
        <v>44.19</v>
      </c>
      <c r="Y583">
        <v>153.53700000000001</v>
      </c>
      <c r="Z583">
        <v>0.48799999999999999</v>
      </c>
      <c r="AA583">
        <v>0</v>
      </c>
      <c r="AB583">
        <v>2.6150000000000002</v>
      </c>
      <c r="AC583">
        <v>0</v>
      </c>
      <c r="AD583">
        <v>0</v>
      </c>
      <c r="AE583">
        <v>0.45</v>
      </c>
      <c r="AF583">
        <v>11</v>
      </c>
      <c r="AG583">
        <v>3.6429999999999998</v>
      </c>
      <c r="AH583">
        <v>215.923</v>
      </c>
      <c r="AI583" t="s">
        <v>22</v>
      </c>
      <c r="AJ583">
        <v>177.5</v>
      </c>
      <c r="AK583">
        <v>157.5</v>
      </c>
      <c r="AL583">
        <v>25</v>
      </c>
      <c r="AM583">
        <v>0</v>
      </c>
      <c r="AN583">
        <v>2.5</v>
      </c>
      <c r="AO583">
        <v>0</v>
      </c>
      <c r="AP583">
        <v>0</v>
      </c>
      <c r="AQ583">
        <v>2.5</v>
      </c>
      <c r="AR583">
        <v>2.5</v>
      </c>
      <c r="AS583">
        <v>80</v>
      </c>
      <c r="AT583">
        <v>447.5</v>
      </c>
      <c r="AU583" t="s">
        <v>33</v>
      </c>
    </row>
    <row r="584" spans="1:47" x14ac:dyDescent="0.2">
      <c r="A584">
        <v>1037</v>
      </c>
      <c r="B584" t="s">
        <v>468</v>
      </c>
      <c r="C584">
        <v>6</v>
      </c>
      <c r="D584" t="s">
        <v>485</v>
      </c>
      <c r="G584" t="str">
        <f t="shared" si="9"/>
        <v>SHELL086BPL50</v>
      </c>
      <c r="H584">
        <v>70.405332999999999</v>
      </c>
      <c r="I584">
        <v>-164.58663300000001</v>
      </c>
      <c r="J584" s="3">
        <v>20080807</v>
      </c>
      <c r="K584">
        <v>2008</v>
      </c>
      <c r="L584">
        <v>1.97081</v>
      </c>
      <c r="M584">
        <v>4.6484399999999999</v>
      </c>
      <c r="N584">
        <v>8.0920000000000006E-2</v>
      </c>
      <c r="O584">
        <v>6.9389999999999993E-2</v>
      </c>
      <c r="P584">
        <v>3.7659999999999999E-2</v>
      </c>
      <c r="Q584">
        <v>0</v>
      </c>
      <c r="R584">
        <v>0</v>
      </c>
      <c r="S584">
        <v>0</v>
      </c>
      <c r="T584">
        <v>0</v>
      </c>
      <c r="U584">
        <v>5.5190000000000003E-2</v>
      </c>
      <c r="V584">
        <v>6.8624099999999997</v>
      </c>
      <c r="W584" t="s">
        <v>10</v>
      </c>
      <c r="X584">
        <v>28.748999999999999</v>
      </c>
      <c r="Y584">
        <v>255.67699999999999</v>
      </c>
      <c r="Z584">
        <v>1.1200000000000001</v>
      </c>
      <c r="AA584">
        <v>1.542</v>
      </c>
      <c r="AB584">
        <v>2.69</v>
      </c>
      <c r="AC584">
        <v>0</v>
      </c>
      <c r="AD584">
        <v>0</v>
      </c>
      <c r="AE584">
        <v>0</v>
      </c>
      <c r="AF584">
        <v>0</v>
      </c>
      <c r="AG584">
        <v>4.4269999999999996</v>
      </c>
      <c r="AH584">
        <v>294.20499999999998</v>
      </c>
      <c r="AI584" t="s">
        <v>22</v>
      </c>
      <c r="AJ584">
        <v>270</v>
      </c>
      <c r="AK584">
        <v>102.5</v>
      </c>
      <c r="AL584">
        <v>20</v>
      </c>
      <c r="AM584">
        <v>2.5</v>
      </c>
      <c r="AN584">
        <v>2.5</v>
      </c>
      <c r="AO584">
        <v>0</v>
      </c>
      <c r="AP584">
        <v>0</v>
      </c>
      <c r="AQ584">
        <v>0</v>
      </c>
      <c r="AR584">
        <v>0</v>
      </c>
      <c r="AS584">
        <v>15</v>
      </c>
      <c r="AT584">
        <v>412.5</v>
      </c>
      <c r="AU584" t="s">
        <v>33</v>
      </c>
    </row>
    <row r="585" spans="1:47" x14ac:dyDescent="0.2">
      <c r="A585">
        <v>1038</v>
      </c>
      <c r="B585" t="s">
        <v>468</v>
      </c>
      <c r="C585">
        <v>7</v>
      </c>
      <c r="D585" t="s">
        <v>486</v>
      </c>
      <c r="G585" t="str">
        <f t="shared" si="9"/>
        <v>SHELL087BPL35</v>
      </c>
      <c r="H585">
        <v>70.213949999999997</v>
      </c>
      <c r="I585">
        <v>-164.115183</v>
      </c>
      <c r="J585" s="3">
        <v>20080807</v>
      </c>
      <c r="K585">
        <v>2008</v>
      </c>
      <c r="L585">
        <v>0.25829999999999997</v>
      </c>
      <c r="M585">
        <v>1.468E-2</v>
      </c>
      <c r="N585">
        <v>4.1700000000000001E-3</v>
      </c>
      <c r="O585">
        <v>0</v>
      </c>
      <c r="P585">
        <v>0.19434999999999999</v>
      </c>
      <c r="Q585">
        <v>9.4124800000000004</v>
      </c>
      <c r="R585">
        <v>0</v>
      </c>
      <c r="S585">
        <v>0</v>
      </c>
      <c r="T585">
        <v>0</v>
      </c>
      <c r="U585">
        <v>2.48E-3</v>
      </c>
      <c r="V585">
        <v>9.8864599999999996</v>
      </c>
      <c r="W585" t="s">
        <v>14</v>
      </c>
      <c r="X585">
        <v>3.5049999999999999</v>
      </c>
      <c r="Y585">
        <v>0.38200000000000001</v>
      </c>
      <c r="Z585">
        <v>0.06</v>
      </c>
      <c r="AA585">
        <v>0</v>
      </c>
      <c r="AB585">
        <v>13.882</v>
      </c>
      <c r="AC585">
        <v>1176.56</v>
      </c>
      <c r="AD585">
        <v>0</v>
      </c>
      <c r="AE585">
        <v>0</v>
      </c>
      <c r="AF585">
        <v>0</v>
      </c>
      <c r="AG585">
        <v>0.248</v>
      </c>
      <c r="AH585">
        <v>1194.6369999999999</v>
      </c>
      <c r="AI585" t="s">
        <v>26</v>
      </c>
      <c r="AJ585">
        <v>57.5</v>
      </c>
      <c r="AK585">
        <v>32.5</v>
      </c>
      <c r="AL585">
        <v>5</v>
      </c>
      <c r="AM585">
        <v>0</v>
      </c>
      <c r="AN585">
        <v>2.5</v>
      </c>
      <c r="AO585">
        <v>297.5</v>
      </c>
      <c r="AP585">
        <v>0</v>
      </c>
      <c r="AQ585">
        <v>0</v>
      </c>
      <c r="AR585">
        <v>0</v>
      </c>
      <c r="AS585">
        <v>10</v>
      </c>
      <c r="AT585">
        <v>405</v>
      </c>
      <c r="AU585" t="s">
        <v>38</v>
      </c>
    </row>
    <row r="586" spans="1:47" x14ac:dyDescent="0.2">
      <c r="A586">
        <v>1039</v>
      </c>
      <c r="B586" t="s">
        <v>468</v>
      </c>
      <c r="C586">
        <v>9</v>
      </c>
      <c r="D586" t="s">
        <v>487</v>
      </c>
      <c r="G586" t="str">
        <f t="shared" si="9"/>
        <v>SHELL089BW5</v>
      </c>
      <c r="H586">
        <v>70.714167000000003</v>
      </c>
      <c r="I586">
        <v>-160.186767</v>
      </c>
      <c r="J586" s="3">
        <v>20080808</v>
      </c>
      <c r="K586">
        <v>2008</v>
      </c>
      <c r="L586">
        <v>0.95164000000000004</v>
      </c>
      <c r="M586">
        <v>0</v>
      </c>
      <c r="N586">
        <v>1.44319</v>
      </c>
      <c r="O586">
        <v>0</v>
      </c>
      <c r="P586">
        <v>2.4320000000000001E-2</v>
      </c>
      <c r="Q586">
        <v>0.23912</v>
      </c>
      <c r="R586">
        <v>0</v>
      </c>
      <c r="S586">
        <v>0</v>
      </c>
      <c r="T586">
        <v>0</v>
      </c>
      <c r="U586">
        <v>2.6800000000000001E-3</v>
      </c>
      <c r="V586">
        <v>2.6609500000000001</v>
      </c>
      <c r="W586" t="s">
        <v>11</v>
      </c>
      <c r="X586">
        <v>10.018000000000001</v>
      </c>
      <c r="Y586">
        <v>0</v>
      </c>
      <c r="Z586">
        <v>18.742000000000001</v>
      </c>
      <c r="AA586">
        <v>0</v>
      </c>
      <c r="AB586">
        <v>1.7370000000000001</v>
      </c>
      <c r="AC586">
        <v>29.89</v>
      </c>
      <c r="AD586">
        <v>0</v>
      </c>
      <c r="AE586">
        <v>0</v>
      </c>
      <c r="AF586">
        <v>0</v>
      </c>
      <c r="AG586">
        <v>0.26800000000000002</v>
      </c>
      <c r="AH586">
        <v>60.655000000000001</v>
      </c>
      <c r="AI586" t="s">
        <v>26</v>
      </c>
      <c r="AJ586">
        <v>7.5</v>
      </c>
      <c r="AK586">
        <v>0</v>
      </c>
      <c r="AL586">
        <v>427.5</v>
      </c>
      <c r="AM586">
        <v>0</v>
      </c>
      <c r="AN586">
        <v>15</v>
      </c>
      <c r="AO586">
        <v>2.5</v>
      </c>
      <c r="AP586">
        <v>0</v>
      </c>
      <c r="AQ586">
        <v>0</v>
      </c>
      <c r="AR586">
        <v>0</v>
      </c>
      <c r="AS586">
        <v>10</v>
      </c>
      <c r="AT586">
        <v>462.5</v>
      </c>
      <c r="AU586" t="s">
        <v>35</v>
      </c>
    </row>
    <row r="587" spans="1:47" x14ac:dyDescent="0.2">
      <c r="A587">
        <v>2040</v>
      </c>
      <c r="B587" t="s">
        <v>786</v>
      </c>
      <c r="C587">
        <v>35</v>
      </c>
      <c r="D587" t="s">
        <v>551</v>
      </c>
      <c r="G587" t="str">
        <f t="shared" si="9"/>
        <v>SWL200835SLIP1</v>
      </c>
      <c r="H587">
        <v>62.013883329999999</v>
      </c>
      <c r="I587">
        <v>-175.0560667</v>
      </c>
      <c r="J587" s="3">
        <v>20080715</v>
      </c>
      <c r="K587">
        <v>2008</v>
      </c>
      <c r="L587">
        <v>7.6512500000000001</v>
      </c>
      <c r="M587">
        <v>5.2398899999999999</v>
      </c>
      <c r="N587">
        <v>9.7210000000000005E-2</v>
      </c>
      <c r="O587">
        <v>7.0200000000000002E-3</v>
      </c>
      <c r="P587">
        <v>0.36220999999999998</v>
      </c>
      <c r="Q587">
        <v>0</v>
      </c>
      <c r="R587">
        <v>0</v>
      </c>
      <c r="S587">
        <v>0.14668</v>
      </c>
      <c r="T587">
        <v>0.12425</v>
      </c>
      <c r="U587">
        <v>3.635E-2</v>
      </c>
      <c r="V587">
        <v>13.664859999999999</v>
      </c>
      <c r="W587" t="s">
        <v>9</v>
      </c>
      <c r="X587">
        <v>113.916</v>
      </c>
      <c r="Y587">
        <v>154.56700000000001</v>
      </c>
      <c r="Z587">
        <v>1.2669999999999999</v>
      </c>
      <c r="AA587">
        <v>0.156</v>
      </c>
      <c r="AB587">
        <v>25.872</v>
      </c>
      <c r="AC587">
        <v>0</v>
      </c>
      <c r="AD587">
        <v>0</v>
      </c>
      <c r="AE587">
        <v>10.477</v>
      </c>
      <c r="AF587">
        <v>1.3360000000000001</v>
      </c>
      <c r="AG587">
        <v>0.8</v>
      </c>
      <c r="AH587">
        <v>308.39100000000002</v>
      </c>
      <c r="AI587" t="s">
        <v>22</v>
      </c>
      <c r="AJ587">
        <v>1210</v>
      </c>
      <c r="AK587">
        <v>852.5</v>
      </c>
      <c r="AL587">
        <v>330</v>
      </c>
      <c r="AM587">
        <v>45</v>
      </c>
      <c r="AN587">
        <v>275</v>
      </c>
      <c r="AO587">
        <v>0</v>
      </c>
      <c r="AP587">
        <v>0</v>
      </c>
      <c r="AQ587">
        <v>15</v>
      </c>
      <c r="AR587">
        <v>25</v>
      </c>
      <c r="AS587">
        <v>117.5</v>
      </c>
      <c r="AT587">
        <v>2870</v>
      </c>
      <c r="AU587" t="s">
        <v>33</v>
      </c>
    </row>
    <row r="588" spans="1:47" x14ac:dyDescent="0.2">
      <c r="A588">
        <v>2041</v>
      </c>
      <c r="B588" t="s">
        <v>786</v>
      </c>
      <c r="C588">
        <v>36</v>
      </c>
      <c r="D588" t="s">
        <v>552</v>
      </c>
      <c r="G588" t="str">
        <f t="shared" si="9"/>
        <v>SWL200836SLIP2</v>
      </c>
      <c r="H588">
        <v>62.050283329999999</v>
      </c>
      <c r="I588">
        <v>-175.20521669999999</v>
      </c>
      <c r="J588" s="3">
        <v>20080716</v>
      </c>
      <c r="K588">
        <v>2008</v>
      </c>
      <c r="L588">
        <v>4.1108000000000002</v>
      </c>
      <c r="M588">
        <v>2.8972500000000001</v>
      </c>
      <c r="N588">
        <v>0.26158999999999999</v>
      </c>
      <c r="O588">
        <v>3.9199999999999999E-3</v>
      </c>
      <c r="P588">
        <v>0.42849999999999999</v>
      </c>
      <c r="Q588">
        <v>0</v>
      </c>
      <c r="R588">
        <v>0</v>
      </c>
      <c r="S588">
        <v>0</v>
      </c>
      <c r="T588">
        <v>0.21315999999999999</v>
      </c>
      <c r="U588">
        <v>8.9899999999999994E-2</v>
      </c>
      <c r="V588">
        <v>8.0051199999999998</v>
      </c>
      <c r="W588" t="s">
        <v>9</v>
      </c>
      <c r="X588">
        <v>61.320999999999998</v>
      </c>
      <c r="Y588">
        <v>80.95</v>
      </c>
      <c r="Z588">
        <v>3.4630000000000001</v>
      </c>
      <c r="AA588">
        <v>8.6999999999999994E-2</v>
      </c>
      <c r="AB588">
        <v>30.606999999999999</v>
      </c>
      <c r="AC588">
        <v>0</v>
      </c>
      <c r="AD588">
        <v>0</v>
      </c>
      <c r="AE588">
        <v>0</v>
      </c>
      <c r="AF588">
        <v>2.2919999999999998</v>
      </c>
      <c r="AG588">
        <v>1.6519999999999999</v>
      </c>
      <c r="AH588">
        <v>180.37200000000001</v>
      </c>
      <c r="AI588" t="s">
        <v>22</v>
      </c>
      <c r="AJ588">
        <v>975</v>
      </c>
      <c r="AK588">
        <v>867.5</v>
      </c>
      <c r="AL588">
        <v>335</v>
      </c>
      <c r="AM588">
        <v>17.5</v>
      </c>
      <c r="AN588">
        <v>175</v>
      </c>
      <c r="AO588">
        <v>0</v>
      </c>
      <c r="AP588">
        <v>0</v>
      </c>
      <c r="AQ588">
        <v>0</v>
      </c>
      <c r="AR588">
        <v>12.5</v>
      </c>
      <c r="AS588">
        <v>87.5</v>
      </c>
      <c r="AT588">
        <v>2470</v>
      </c>
      <c r="AU588" t="s">
        <v>33</v>
      </c>
    </row>
    <row r="589" spans="1:47" x14ac:dyDescent="0.2">
      <c r="A589">
        <v>2042</v>
      </c>
      <c r="B589" t="s">
        <v>786</v>
      </c>
      <c r="C589">
        <v>37</v>
      </c>
      <c r="D589" t="s">
        <v>553</v>
      </c>
      <c r="G589" t="str">
        <f t="shared" si="9"/>
        <v>SWL200837SLIP3</v>
      </c>
      <c r="H589">
        <v>62.393433330000001</v>
      </c>
      <c r="I589">
        <v>-174.57040000000001</v>
      </c>
      <c r="J589" s="3">
        <v>20080716</v>
      </c>
      <c r="K589">
        <v>2008</v>
      </c>
      <c r="L589">
        <v>6.7045599999999999</v>
      </c>
      <c r="M589">
        <v>4.8186900000000001</v>
      </c>
      <c r="N589">
        <v>0.28687000000000001</v>
      </c>
      <c r="O589">
        <v>1.7690000000000001E-2</v>
      </c>
      <c r="P589">
        <v>0.65573000000000004</v>
      </c>
      <c r="Q589">
        <v>0</v>
      </c>
      <c r="R589">
        <v>9.1E-4</v>
      </c>
      <c r="S589">
        <v>0.61136999999999997</v>
      </c>
      <c r="T589">
        <v>1.4558199999999999</v>
      </c>
      <c r="U589">
        <v>0.21448999999999999</v>
      </c>
      <c r="V589">
        <v>14.76613</v>
      </c>
      <c r="W589" t="s">
        <v>9</v>
      </c>
      <c r="X589">
        <v>91.358999999999995</v>
      </c>
      <c r="Y589">
        <v>151.607</v>
      </c>
      <c r="Z589">
        <v>3.5430000000000001</v>
      </c>
      <c r="AA589">
        <v>0.39300000000000002</v>
      </c>
      <c r="AB589">
        <v>46.838000000000001</v>
      </c>
      <c r="AC589">
        <v>0</v>
      </c>
      <c r="AD589">
        <v>1.4999999999999999E-2</v>
      </c>
      <c r="AE589">
        <v>43.668999999999997</v>
      </c>
      <c r="AF589">
        <v>15.654</v>
      </c>
      <c r="AG589">
        <v>4.9329999999999998</v>
      </c>
      <c r="AH589">
        <v>358.01100000000002</v>
      </c>
      <c r="AI589" t="s">
        <v>22</v>
      </c>
      <c r="AJ589">
        <v>1667.5</v>
      </c>
      <c r="AK589">
        <v>432.5</v>
      </c>
      <c r="AL589">
        <v>507.5</v>
      </c>
      <c r="AM589">
        <v>62.5</v>
      </c>
      <c r="AN589">
        <v>82.5</v>
      </c>
      <c r="AO589">
        <v>0</v>
      </c>
      <c r="AP589">
        <v>15</v>
      </c>
      <c r="AQ589">
        <v>12.5</v>
      </c>
      <c r="AR589">
        <v>35</v>
      </c>
      <c r="AS589">
        <v>170</v>
      </c>
      <c r="AT589">
        <v>2985</v>
      </c>
      <c r="AU589" t="s">
        <v>33</v>
      </c>
    </row>
    <row r="590" spans="1:47" x14ac:dyDescent="0.2">
      <c r="A590">
        <v>2043</v>
      </c>
      <c r="B590" t="s">
        <v>786</v>
      </c>
      <c r="C590">
        <v>38</v>
      </c>
      <c r="D590" t="s">
        <v>554</v>
      </c>
      <c r="G590" t="str">
        <f t="shared" si="9"/>
        <v>SWL200838SLIP5</v>
      </c>
      <c r="H590">
        <v>62.563699999999997</v>
      </c>
      <c r="I590">
        <v>-173.5542667</v>
      </c>
      <c r="J590" s="3">
        <v>20080716</v>
      </c>
      <c r="K590">
        <v>2008</v>
      </c>
      <c r="L590">
        <v>2.6972100000000001</v>
      </c>
      <c r="M590">
        <v>11.282769999999999</v>
      </c>
      <c r="N590">
        <v>0.67361000000000004</v>
      </c>
      <c r="O590">
        <v>3.96E-3</v>
      </c>
      <c r="P590">
        <v>0.25647999999999999</v>
      </c>
      <c r="Q590">
        <v>0</v>
      </c>
      <c r="R590">
        <v>0</v>
      </c>
      <c r="S590">
        <v>0</v>
      </c>
      <c r="T590">
        <v>0.37823000000000001</v>
      </c>
      <c r="U590">
        <v>5.3749999999999999E-2</v>
      </c>
      <c r="V590">
        <v>15.34601</v>
      </c>
      <c r="W590" t="s">
        <v>10</v>
      </c>
      <c r="X590">
        <v>43.66</v>
      </c>
      <c r="Y590">
        <v>357.86500000000001</v>
      </c>
      <c r="Z590">
        <v>8.8409999999999993</v>
      </c>
      <c r="AA590">
        <v>8.7999999999999995E-2</v>
      </c>
      <c r="AB590">
        <v>18.32</v>
      </c>
      <c r="AC590">
        <v>0</v>
      </c>
      <c r="AD590">
        <v>0</v>
      </c>
      <c r="AE590">
        <v>0</v>
      </c>
      <c r="AF590">
        <v>4.0670000000000002</v>
      </c>
      <c r="AG590">
        <v>1.641</v>
      </c>
      <c r="AH590">
        <v>434.48200000000003</v>
      </c>
      <c r="AI590" t="s">
        <v>22</v>
      </c>
      <c r="AJ590">
        <v>1160</v>
      </c>
      <c r="AK590">
        <v>1355</v>
      </c>
      <c r="AL590">
        <v>402.5</v>
      </c>
      <c r="AM590">
        <v>10</v>
      </c>
      <c r="AN590">
        <v>7.5</v>
      </c>
      <c r="AO590">
        <v>0</v>
      </c>
      <c r="AP590">
        <v>0</v>
      </c>
      <c r="AQ590">
        <v>0</v>
      </c>
      <c r="AR590">
        <v>15</v>
      </c>
      <c r="AS590">
        <v>160</v>
      </c>
      <c r="AT590">
        <v>3110</v>
      </c>
      <c r="AU590" t="s">
        <v>34</v>
      </c>
    </row>
    <row r="591" spans="1:47" x14ac:dyDescent="0.2">
      <c r="A591">
        <v>2044</v>
      </c>
      <c r="B591" t="s">
        <v>786</v>
      </c>
      <c r="C591">
        <v>39</v>
      </c>
      <c r="D591" t="s">
        <v>555</v>
      </c>
      <c r="G591" t="str">
        <f t="shared" si="9"/>
        <v>SWL200839SLIP4</v>
      </c>
      <c r="H591">
        <v>63.028799999999997</v>
      </c>
      <c r="I591">
        <v>-173.4576667</v>
      </c>
      <c r="J591" s="3">
        <v>20080716</v>
      </c>
      <c r="K591">
        <v>2008</v>
      </c>
      <c r="L591">
        <v>2.7708599999999999</v>
      </c>
      <c r="M591">
        <v>9.8344100000000001</v>
      </c>
      <c r="N591">
        <v>1.06694</v>
      </c>
      <c r="O591">
        <v>0</v>
      </c>
      <c r="P591">
        <v>0.46211000000000002</v>
      </c>
      <c r="Q591">
        <v>0</v>
      </c>
      <c r="R591">
        <v>2.7499999999999998E-3</v>
      </c>
      <c r="S591">
        <v>0</v>
      </c>
      <c r="T591">
        <v>2.1962899999999999</v>
      </c>
      <c r="U591">
        <v>0.35521999999999998</v>
      </c>
      <c r="V591">
        <v>16.688580000000002</v>
      </c>
      <c r="W591" t="s">
        <v>10</v>
      </c>
      <c r="X591">
        <v>53.436999999999998</v>
      </c>
      <c r="Y591">
        <v>283.95999999999998</v>
      </c>
      <c r="Z591">
        <v>13.407999999999999</v>
      </c>
      <c r="AA591">
        <v>0</v>
      </c>
      <c r="AB591">
        <v>33.008000000000003</v>
      </c>
      <c r="AC591">
        <v>0</v>
      </c>
      <c r="AD591">
        <v>4.4999999999999998E-2</v>
      </c>
      <c r="AE591">
        <v>0</v>
      </c>
      <c r="AF591">
        <v>23.616</v>
      </c>
      <c r="AG591">
        <v>6.1829999999999998</v>
      </c>
      <c r="AH591">
        <v>413.65699999999998</v>
      </c>
      <c r="AI591" t="s">
        <v>22</v>
      </c>
      <c r="AJ591">
        <v>1417.5</v>
      </c>
      <c r="AK591">
        <v>1765</v>
      </c>
      <c r="AL591">
        <v>877.5</v>
      </c>
      <c r="AM591">
        <v>0</v>
      </c>
      <c r="AN591">
        <v>22.5</v>
      </c>
      <c r="AO591">
        <v>0</v>
      </c>
      <c r="AP591">
        <v>17.5</v>
      </c>
      <c r="AQ591">
        <v>0</v>
      </c>
      <c r="AR591">
        <v>30</v>
      </c>
      <c r="AS591">
        <v>280</v>
      </c>
      <c r="AT591">
        <v>4410</v>
      </c>
      <c r="AU591" t="s">
        <v>34</v>
      </c>
    </row>
    <row r="592" spans="1:47" x14ac:dyDescent="0.2">
      <c r="A592">
        <v>2045</v>
      </c>
      <c r="B592" t="s">
        <v>786</v>
      </c>
      <c r="C592">
        <v>41</v>
      </c>
      <c r="D592" t="s">
        <v>556</v>
      </c>
      <c r="G592" t="str">
        <f t="shared" si="9"/>
        <v>SWL200841UTBS5</v>
      </c>
      <c r="H592">
        <v>64.666566669999995</v>
      </c>
      <c r="I592">
        <v>-169.92245</v>
      </c>
      <c r="J592" s="3">
        <v>20080717</v>
      </c>
      <c r="K592">
        <v>2008</v>
      </c>
      <c r="L592">
        <v>30.634</v>
      </c>
      <c r="M592">
        <v>10.41236</v>
      </c>
      <c r="N592">
        <v>0.85516999999999999</v>
      </c>
      <c r="O592">
        <v>0.59345999999999999</v>
      </c>
      <c r="P592">
        <v>3.8000000000000002E-4</v>
      </c>
      <c r="Q592">
        <v>0</v>
      </c>
      <c r="R592">
        <v>0</v>
      </c>
      <c r="S592">
        <v>1.2088699999999999</v>
      </c>
      <c r="T592">
        <v>2.14E-3</v>
      </c>
      <c r="U592">
        <v>4.4519999999999997E-2</v>
      </c>
      <c r="V592">
        <v>43.750900000000001</v>
      </c>
      <c r="W592" t="s">
        <v>9</v>
      </c>
      <c r="X592">
        <v>439.75099999999998</v>
      </c>
      <c r="Y592">
        <v>319.53399999999999</v>
      </c>
      <c r="Z592">
        <v>11.62</v>
      </c>
      <c r="AA592">
        <v>13.188000000000001</v>
      </c>
      <c r="AB592">
        <v>2.7E-2</v>
      </c>
      <c r="AC592">
        <v>0</v>
      </c>
      <c r="AD592">
        <v>0</v>
      </c>
      <c r="AE592">
        <v>37.768999999999998</v>
      </c>
      <c r="AF592">
        <v>2.3E-2</v>
      </c>
      <c r="AG592">
        <v>4.415</v>
      </c>
      <c r="AH592">
        <v>826.327</v>
      </c>
      <c r="AI592" t="s">
        <v>21</v>
      </c>
      <c r="AJ592">
        <v>1992.5</v>
      </c>
      <c r="AK592">
        <v>777.5</v>
      </c>
      <c r="AL592">
        <v>4197.5</v>
      </c>
      <c r="AM592">
        <v>27.5</v>
      </c>
      <c r="AN592">
        <v>10</v>
      </c>
      <c r="AO592">
        <v>0</v>
      </c>
      <c r="AP592">
        <v>0</v>
      </c>
      <c r="AQ592">
        <v>50</v>
      </c>
      <c r="AR592">
        <v>7.5</v>
      </c>
      <c r="AS592">
        <v>12.5</v>
      </c>
      <c r="AT592">
        <v>7075</v>
      </c>
      <c r="AU592" t="s">
        <v>35</v>
      </c>
    </row>
    <row r="593" spans="1:47" x14ac:dyDescent="0.2">
      <c r="A593">
        <v>2046</v>
      </c>
      <c r="B593" t="s">
        <v>786</v>
      </c>
      <c r="C593">
        <v>43</v>
      </c>
      <c r="D593" t="s">
        <v>558</v>
      </c>
      <c r="G593" t="str">
        <f t="shared" si="9"/>
        <v>SWL200843UTBS4</v>
      </c>
      <c r="H593">
        <v>64.9589</v>
      </c>
      <c r="I593">
        <v>-169.8852</v>
      </c>
      <c r="J593" s="3">
        <v>20080717</v>
      </c>
      <c r="K593">
        <v>2008</v>
      </c>
      <c r="L593">
        <v>2.1214200000000001</v>
      </c>
      <c r="M593">
        <v>2.9856099999999999</v>
      </c>
      <c r="N593">
        <v>0.26724999999999999</v>
      </c>
      <c r="O593">
        <v>1.3999999999999999E-4</v>
      </c>
      <c r="P593">
        <v>0</v>
      </c>
      <c r="Q593">
        <v>0</v>
      </c>
      <c r="R593">
        <v>1.171E-2</v>
      </c>
      <c r="S593">
        <v>6.5229999999999996E-2</v>
      </c>
      <c r="T593">
        <v>9.3000000000000005E-4</v>
      </c>
      <c r="U593">
        <v>1.0659999999999999E-2</v>
      </c>
      <c r="V593">
        <v>5.4629500000000002</v>
      </c>
      <c r="W593" t="s">
        <v>10</v>
      </c>
      <c r="X593">
        <v>28.983000000000001</v>
      </c>
      <c r="Y593">
        <v>77.423000000000002</v>
      </c>
      <c r="Z593">
        <v>3.827</v>
      </c>
      <c r="AA593">
        <v>3.0000000000000001E-3</v>
      </c>
      <c r="AB593">
        <v>0</v>
      </c>
      <c r="AC593">
        <v>0</v>
      </c>
      <c r="AD593">
        <v>0.192</v>
      </c>
      <c r="AE593">
        <v>4.0629999999999997</v>
      </c>
      <c r="AF593">
        <v>0.01</v>
      </c>
      <c r="AG593">
        <v>0.94299999999999995</v>
      </c>
      <c r="AH593">
        <v>115.444</v>
      </c>
      <c r="AI593" t="s">
        <v>22</v>
      </c>
      <c r="AJ593">
        <v>392.5</v>
      </c>
      <c r="AK593">
        <v>257.5</v>
      </c>
      <c r="AL593">
        <v>1427.5</v>
      </c>
      <c r="AM593">
        <v>2.5</v>
      </c>
      <c r="AN593">
        <v>0</v>
      </c>
      <c r="AO593">
        <v>0</v>
      </c>
      <c r="AP593">
        <v>5</v>
      </c>
      <c r="AQ593">
        <v>97.5</v>
      </c>
      <c r="AR593">
        <v>5</v>
      </c>
      <c r="AS593">
        <v>2.5</v>
      </c>
      <c r="AT593">
        <v>2190</v>
      </c>
      <c r="AU593" t="s">
        <v>35</v>
      </c>
    </row>
    <row r="594" spans="1:47" x14ac:dyDescent="0.2">
      <c r="A594">
        <v>2047</v>
      </c>
      <c r="B594" t="s">
        <v>786</v>
      </c>
      <c r="C594">
        <v>44</v>
      </c>
      <c r="D594" t="s">
        <v>179</v>
      </c>
      <c r="G594" t="str">
        <f t="shared" si="9"/>
        <v>SWL200844UTBS1</v>
      </c>
      <c r="H594">
        <v>64.991783330000004</v>
      </c>
      <c r="I594">
        <v>-169.13553329999999</v>
      </c>
      <c r="J594" s="3">
        <v>20080717</v>
      </c>
      <c r="K594">
        <v>2008</v>
      </c>
      <c r="L594">
        <v>3.1336599999999999</v>
      </c>
      <c r="M594">
        <v>7.2415900000000004</v>
      </c>
      <c r="N594">
        <v>10.3467</v>
      </c>
      <c r="O594">
        <v>0</v>
      </c>
      <c r="P594">
        <v>0</v>
      </c>
      <c r="Q594">
        <v>0</v>
      </c>
      <c r="R594">
        <v>0.42956</v>
      </c>
      <c r="S594">
        <v>7.5359999999999996E-2</v>
      </c>
      <c r="T594">
        <v>1.4880000000000001E-2</v>
      </c>
      <c r="U594">
        <v>1.3600000000000001E-3</v>
      </c>
      <c r="V594">
        <v>21.243110000000001</v>
      </c>
      <c r="W594" t="s">
        <v>11</v>
      </c>
      <c r="X594">
        <v>45.281999999999996</v>
      </c>
      <c r="Y594">
        <v>230.386</v>
      </c>
      <c r="Z594">
        <v>151.42500000000001</v>
      </c>
      <c r="AA594">
        <v>0</v>
      </c>
      <c r="AB594">
        <v>0</v>
      </c>
      <c r="AC594">
        <v>0</v>
      </c>
      <c r="AD594">
        <v>7.0419999999999998</v>
      </c>
      <c r="AE594">
        <v>5.383</v>
      </c>
      <c r="AF594">
        <v>0.16</v>
      </c>
      <c r="AG594">
        <v>0.105</v>
      </c>
      <c r="AH594">
        <v>439.78300000000002</v>
      </c>
      <c r="AI594" t="s">
        <v>22</v>
      </c>
      <c r="AJ594">
        <v>685</v>
      </c>
      <c r="AK594">
        <v>635</v>
      </c>
      <c r="AL594">
        <v>12852.5</v>
      </c>
      <c r="AM594">
        <v>0</v>
      </c>
      <c r="AN594">
        <v>0</v>
      </c>
      <c r="AO594">
        <v>2.5</v>
      </c>
      <c r="AP594">
        <v>0</v>
      </c>
      <c r="AQ594">
        <v>5</v>
      </c>
      <c r="AR594">
        <v>20</v>
      </c>
      <c r="AS594">
        <v>7.5</v>
      </c>
      <c r="AT594">
        <v>14207.5</v>
      </c>
      <c r="AU594" t="s">
        <v>35</v>
      </c>
    </row>
    <row r="595" spans="1:47" x14ac:dyDescent="0.2">
      <c r="A595">
        <v>2048</v>
      </c>
      <c r="B595" t="s">
        <v>786</v>
      </c>
      <c r="C595">
        <v>58</v>
      </c>
      <c r="D595" t="s">
        <v>559</v>
      </c>
      <c r="G595" t="str">
        <f t="shared" si="9"/>
        <v>SWL200858UTN1</v>
      </c>
      <c r="H595">
        <v>66.708349999999996</v>
      </c>
      <c r="I595">
        <v>-168.39824999999999</v>
      </c>
      <c r="J595" s="3">
        <v>20080718</v>
      </c>
      <c r="K595">
        <v>2008</v>
      </c>
      <c r="L595">
        <v>1.3466499999999999</v>
      </c>
      <c r="M595">
        <v>5.3440000000000001E-2</v>
      </c>
      <c r="N595">
        <v>5.5900000000000004E-3</v>
      </c>
      <c r="O595">
        <v>0</v>
      </c>
      <c r="P595">
        <v>1.0000000000000001E-5</v>
      </c>
      <c r="Q595">
        <v>18.108319999999999</v>
      </c>
      <c r="R595">
        <v>0</v>
      </c>
      <c r="S595">
        <v>0</v>
      </c>
      <c r="T595">
        <v>0</v>
      </c>
      <c r="U595">
        <v>0.43412000000000001</v>
      </c>
      <c r="V595">
        <v>19.948129999999999</v>
      </c>
      <c r="W595" t="s">
        <v>14</v>
      </c>
      <c r="X595">
        <v>19.329999999999998</v>
      </c>
      <c r="Y595">
        <v>1.5389999999999999</v>
      </c>
      <c r="Z595">
        <v>7.6999999999999999E-2</v>
      </c>
      <c r="AA595">
        <v>0</v>
      </c>
      <c r="AB595">
        <v>1E-3</v>
      </c>
      <c r="AC595">
        <v>2263.54</v>
      </c>
      <c r="AD595">
        <v>0</v>
      </c>
      <c r="AE595">
        <v>0</v>
      </c>
      <c r="AF595">
        <v>0</v>
      </c>
      <c r="AG595">
        <v>20.678999999999998</v>
      </c>
      <c r="AH595">
        <v>2305.1660000000002</v>
      </c>
      <c r="AI595" t="s">
        <v>26</v>
      </c>
      <c r="AJ595">
        <v>622.5</v>
      </c>
      <c r="AK595">
        <v>535</v>
      </c>
      <c r="AL595">
        <v>102.5</v>
      </c>
      <c r="AM595">
        <v>0</v>
      </c>
      <c r="AN595">
        <v>7.5</v>
      </c>
      <c r="AO595">
        <v>417.5</v>
      </c>
      <c r="AP595">
        <v>0</v>
      </c>
      <c r="AQ595">
        <v>0</v>
      </c>
      <c r="AR595">
        <v>0</v>
      </c>
      <c r="AS595">
        <v>45</v>
      </c>
      <c r="AT595">
        <v>1730</v>
      </c>
      <c r="AU595" t="s">
        <v>33</v>
      </c>
    </row>
    <row r="596" spans="1:47" x14ac:dyDescent="0.2">
      <c r="A596">
        <v>2049</v>
      </c>
      <c r="B596" t="s">
        <v>786</v>
      </c>
      <c r="C596">
        <v>59</v>
      </c>
      <c r="D596" t="s">
        <v>560</v>
      </c>
      <c r="G596" t="str">
        <f t="shared" si="9"/>
        <v>SWL200859UTN2</v>
      </c>
      <c r="H596">
        <v>67.050316670000001</v>
      </c>
      <c r="I596">
        <v>-168.73141670000001</v>
      </c>
      <c r="J596" s="3">
        <v>20080718</v>
      </c>
      <c r="K596">
        <v>2008</v>
      </c>
      <c r="L596">
        <v>1.77511</v>
      </c>
      <c r="M596">
        <v>3.12534</v>
      </c>
      <c r="N596">
        <v>3.1719999999999998E-2</v>
      </c>
      <c r="O596">
        <v>0</v>
      </c>
      <c r="P596">
        <v>1.0000000000000001E-5</v>
      </c>
      <c r="Q596">
        <v>0</v>
      </c>
      <c r="R596">
        <v>0.87419000000000002</v>
      </c>
      <c r="S596">
        <v>1E-4</v>
      </c>
      <c r="T596">
        <v>2.4601299999999999</v>
      </c>
      <c r="U596">
        <v>1.1900000000000001E-3</v>
      </c>
      <c r="V596">
        <v>8.2677899999999998</v>
      </c>
      <c r="W596" t="s">
        <v>10</v>
      </c>
      <c r="X596">
        <v>25.332000000000001</v>
      </c>
      <c r="Y596">
        <v>92.914000000000001</v>
      </c>
      <c r="Z596">
        <v>0.40400000000000003</v>
      </c>
      <c r="AA596">
        <v>0</v>
      </c>
      <c r="AB596">
        <v>1E-3</v>
      </c>
      <c r="AC596">
        <v>0</v>
      </c>
      <c r="AD596">
        <v>14.331</v>
      </c>
      <c r="AE596">
        <v>7.0000000000000001E-3</v>
      </c>
      <c r="AF596">
        <v>26.452999999999999</v>
      </c>
      <c r="AG596">
        <v>5.8000000000000003E-2</v>
      </c>
      <c r="AH596">
        <v>159.5</v>
      </c>
      <c r="AI596" t="s">
        <v>22</v>
      </c>
      <c r="AJ596">
        <v>515</v>
      </c>
      <c r="AK596">
        <v>1735</v>
      </c>
      <c r="AL596">
        <v>500</v>
      </c>
      <c r="AM596">
        <v>0</v>
      </c>
      <c r="AN596">
        <v>2.5</v>
      </c>
      <c r="AO596">
        <v>0</v>
      </c>
      <c r="AP596">
        <v>10</v>
      </c>
      <c r="AQ596">
        <v>2.5</v>
      </c>
      <c r="AR596">
        <v>10</v>
      </c>
      <c r="AS596">
        <v>15</v>
      </c>
      <c r="AT596">
        <v>2790</v>
      </c>
      <c r="AU596" t="s">
        <v>34</v>
      </c>
    </row>
    <row r="597" spans="1:47" x14ac:dyDescent="0.2">
      <c r="A597">
        <v>2050</v>
      </c>
      <c r="B597" t="s">
        <v>786</v>
      </c>
      <c r="C597">
        <v>60</v>
      </c>
      <c r="D597" t="s">
        <v>561</v>
      </c>
      <c r="G597" t="str">
        <f t="shared" si="9"/>
        <v>SWL200860UTN3</v>
      </c>
      <c r="H597">
        <v>67.334350000000001</v>
      </c>
      <c r="I597">
        <v>-169.00004999999999</v>
      </c>
      <c r="J597" s="3">
        <v>20080718</v>
      </c>
      <c r="K597">
        <v>2008</v>
      </c>
      <c r="L597">
        <v>4.4976099999999999</v>
      </c>
      <c r="M597">
        <v>17.39142</v>
      </c>
      <c r="N597">
        <v>6.7070000000000005E-2</v>
      </c>
      <c r="O597">
        <v>0</v>
      </c>
      <c r="P597">
        <v>0</v>
      </c>
      <c r="Q597">
        <v>0</v>
      </c>
      <c r="R597">
        <v>1.03041</v>
      </c>
      <c r="S597">
        <v>0</v>
      </c>
      <c r="T597">
        <v>0</v>
      </c>
      <c r="U597">
        <v>0.30581000000000003</v>
      </c>
      <c r="V597">
        <v>23.29232</v>
      </c>
      <c r="W597" t="s">
        <v>10</v>
      </c>
      <c r="X597">
        <v>62.698999999999998</v>
      </c>
      <c r="Y597">
        <v>490.68900000000002</v>
      </c>
      <c r="Z597">
        <v>0.875</v>
      </c>
      <c r="AA597">
        <v>0</v>
      </c>
      <c r="AB597">
        <v>0</v>
      </c>
      <c r="AC597">
        <v>0</v>
      </c>
      <c r="AD597">
        <v>16.891999999999999</v>
      </c>
      <c r="AE597">
        <v>0</v>
      </c>
      <c r="AF597">
        <v>0</v>
      </c>
      <c r="AG597">
        <v>6.8029999999999999</v>
      </c>
      <c r="AH597">
        <v>577.95799999999997</v>
      </c>
      <c r="AI597" t="s">
        <v>22</v>
      </c>
      <c r="AJ597">
        <v>1302.5</v>
      </c>
      <c r="AK597">
        <v>647.5</v>
      </c>
      <c r="AL597">
        <v>1067.5</v>
      </c>
      <c r="AM597">
        <v>0</v>
      </c>
      <c r="AN597">
        <v>0</v>
      </c>
      <c r="AO597">
        <v>0</v>
      </c>
      <c r="AP597">
        <v>20</v>
      </c>
      <c r="AQ597">
        <v>0</v>
      </c>
      <c r="AR597">
        <v>2.5</v>
      </c>
      <c r="AS597">
        <v>55</v>
      </c>
      <c r="AT597">
        <v>3095</v>
      </c>
      <c r="AU597" t="s">
        <v>33</v>
      </c>
    </row>
    <row r="598" spans="1:47" x14ac:dyDescent="0.2">
      <c r="A598">
        <v>2051</v>
      </c>
      <c r="B598" t="s">
        <v>786</v>
      </c>
      <c r="C598">
        <v>61</v>
      </c>
      <c r="D598" t="s">
        <v>562</v>
      </c>
      <c r="G598" t="str">
        <f t="shared" si="9"/>
        <v>SWL200861UTN4</v>
      </c>
      <c r="H598">
        <v>67.50108333</v>
      </c>
      <c r="I598">
        <v>-168.91006669999999</v>
      </c>
      <c r="J598" s="3">
        <v>20080718</v>
      </c>
      <c r="K598">
        <v>2008</v>
      </c>
      <c r="L598">
        <v>3.9137</v>
      </c>
      <c r="M598">
        <v>25.465309999999999</v>
      </c>
      <c r="N598">
        <v>0.31212000000000001</v>
      </c>
      <c r="O598">
        <v>0</v>
      </c>
      <c r="P598">
        <v>0.73475000000000001</v>
      </c>
      <c r="Q598">
        <v>0</v>
      </c>
      <c r="R598">
        <v>1.1542399999999999</v>
      </c>
      <c r="S598">
        <v>0</v>
      </c>
      <c r="T598">
        <v>0</v>
      </c>
      <c r="U598">
        <v>1.8270000000000002E-2</v>
      </c>
      <c r="V598">
        <v>31.598389999999998</v>
      </c>
      <c r="W598" t="s">
        <v>10</v>
      </c>
      <c r="X598">
        <v>55.73</v>
      </c>
      <c r="Y598">
        <v>726.94200000000001</v>
      </c>
      <c r="Z598">
        <v>3.47</v>
      </c>
      <c r="AA598">
        <v>0</v>
      </c>
      <c r="AB598">
        <v>52.481999999999999</v>
      </c>
      <c r="AC598">
        <v>0</v>
      </c>
      <c r="AD598">
        <v>18.922000000000001</v>
      </c>
      <c r="AE598">
        <v>0</v>
      </c>
      <c r="AF598">
        <v>0</v>
      </c>
      <c r="AG598">
        <v>0.3</v>
      </c>
      <c r="AH598">
        <v>857.846</v>
      </c>
      <c r="AI598" t="s">
        <v>22</v>
      </c>
      <c r="AJ598">
        <v>950</v>
      </c>
      <c r="AK598">
        <v>582.5</v>
      </c>
      <c r="AL598">
        <v>662.5</v>
      </c>
      <c r="AM598">
        <v>0</v>
      </c>
      <c r="AN598">
        <v>22.5</v>
      </c>
      <c r="AO598">
        <v>0</v>
      </c>
      <c r="AP598">
        <v>25</v>
      </c>
      <c r="AQ598">
        <v>0</v>
      </c>
      <c r="AR598">
        <v>0</v>
      </c>
      <c r="AS598">
        <v>245</v>
      </c>
      <c r="AT598">
        <v>2487.5</v>
      </c>
      <c r="AU598" t="s">
        <v>33</v>
      </c>
    </row>
    <row r="599" spans="1:47" x14ac:dyDescent="0.2">
      <c r="A599">
        <v>2052</v>
      </c>
      <c r="B599" t="s">
        <v>786</v>
      </c>
      <c r="C599">
        <v>62</v>
      </c>
      <c r="D599" t="s">
        <v>306</v>
      </c>
      <c r="G599" t="str">
        <f t="shared" si="9"/>
        <v>SWL200862UTN5=SEC1</v>
      </c>
      <c r="H599">
        <v>67.670366670000007</v>
      </c>
      <c r="I599">
        <v>-168.95775</v>
      </c>
      <c r="J599" s="3">
        <v>20080718</v>
      </c>
      <c r="K599">
        <v>2008</v>
      </c>
      <c r="L599">
        <v>1.5590599999999999</v>
      </c>
      <c r="M599">
        <v>140.18128999999999</v>
      </c>
      <c r="N599">
        <v>0.10254000000000001</v>
      </c>
      <c r="O599">
        <v>0</v>
      </c>
      <c r="P599">
        <v>0</v>
      </c>
      <c r="Q599">
        <v>0</v>
      </c>
      <c r="R599">
        <v>0.71394000000000002</v>
      </c>
      <c r="S599">
        <v>0</v>
      </c>
      <c r="T599">
        <v>1.9000000000000001E-4</v>
      </c>
      <c r="U599">
        <v>7.6299999999999996E-3</v>
      </c>
      <c r="V599">
        <v>142.56465</v>
      </c>
      <c r="W599" t="s">
        <v>10</v>
      </c>
      <c r="X599">
        <v>22.593</v>
      </c>
      <c r="Y599">
        <v>4053.1970000000001</v>
      </c>
      <c r="Z599">
        <v>1.256</v>
      </c>
      <c r="AA599">
        <v>0</v>
      </c>
      <c r="AB599">
        <v>0</v>
      </c>
      <c r="AC599">
        <v>0</v>
      </c>
      <c r="AD599">
        <v>11.704000000000001</v>
      </c>
      <c r="AE599">
        <v>0</v>
      </c>
      <c r="AF599">
        <v>2E-3</v>
      </c>
      <c r="AG599">
        <v>0.16</v>
      </c>
      <c r="AH599">
        <v>4088.9119999999998</v>
      </c>
      <c r="AI599" t="s">
        <v>22</v>
      </c>
      <c r="AJ599">
        <v>1620</v>
      </c>
      <c r="AK599">
        <v>2030</v>
      </c>
      <c r="AL599">
        <v>855</v>
      </c>
      <c r="AM599">
        <v>0</v>
      </c>
      <c r="AN599">
        <v>2.5</v>
      </c>
      <c r="AO599">
        <v>0</v>
      </c>
      <c r="AP599">
        <v>27.5</v>
      </c>
      <c r="AQ599">
        <v>0</v>
      </c>
      <c r="AR599">
        <v>2.5</v>
      </c>
      <c r="AS599">
        <v>55</v>
      </c>
      <c r="AT599">
        <v>4592.5</v>
      </c>
      <c r="AU599" t="s">
        <v>34</v>
      </c>
    </row>
    <row r="600" spans="1:47" x14ac:dyDescent="0.2">
      <c r="A600">
        <v>2053</v>
      </c>
      <c r="B600" t="s">
        <v>786</v>
      </c>
      <c r="C600">
        <v>63</v>
      </c>
      <c r="D600" t="s">
        <v>563</v>
      </c>
      <c r="G600" t="str">
        <f t="shared" si="9"/>
        <v>SWL200863UTN6</v>
      </c>
      <c r="H600">
        <v>67.736149999999995</v>
      </c>
      <c r="I600">
        <v>-168.4383</v>
      </c>
      <c r="J600" s="3">
        <v>20080719</v>
      </c>
      <c r="K600">
        <v>2008</v>
      </c>
      <c r="L600">
        <v>0.70426</v>
      </c>
      <c r="M600">
        <v>17.0703</v>
      </c>
      <c r="N600">
        <v>3.6119999999999999E-2</v>
      </c>
      <c r="O600">
        <v>0</v>
      </c>
      <c r="P600">
        <v>0</v>
      </c>
      <c r="Q600">
        <v>0</v>
      </c>
      <c r="R600">
        <v>0.58284999999999998</v>
      </c>
      <c r="S600">
        <v>0</v>
      </c>
      <c r="T600">
        <v>0</v>
      </c>
      <c r="U600">
        <v>6.9999999999999994E-5</v>
      </c>
      <c r="V600">
        <v>18.393599999999999</v>
      </c>
      <c r="W600" t="s">
        <v>10</v>
      </c>
      <c r="X600">
        <v>10.361000000000001</v>
      </c>
      <c r="Y600">
        <v>563.09400000000005</v>
      </c>
      <c r="Z600">
        <v>0.42399999999999999</v>
      </c>
      <c r="AA600">
        <v>0</v>
      </c>
      <c r="AB600">
        <v>0</v>
      </c>
      <c r="AC600">
        <v>0</v>
      </c>
      <c r="AD600">
        <v>9.5549999999999997</v>
      </c>
      <c r="AE600">
        <v>0</v>
      </c>
      <c r="AF600">
        <v>0</v>
      </c>
      <c r="AG600">
        <v>1E-3</v>
      </c>
      <c r="AH600">
        <v>583.43499999999995</v>
      </c>
      <c r="AI600" t="s">
        <v>22</v>
      </c>
      <c r="AJ600">
        <v>612.5</v>
      </c>
      <c r="AK600">
        <v>280</v>
      </c>
      <c r="AL600">
        <v>200</v>
      </c>
      <c r="AM600">
        <v>0</v>
      </c>
      <c r="AN600">
        <v>0</v>
      </c>
      <c r="AO600">
        <v>0</v>
      </c>
      <c r="AP600">
        <v>7.5</v>
      </c>
      <c r="AQ600">
        <v>0</v>
      </c>
      <c r="AR600">
        <v>0</v>
      </c>
      <c r="AS600">
        <v>5</v>
      </c>
      <c r="AT600">
        <v>1105</v>
      </c>
      <c r="AU600" t="s">
        <v>33</v>
      </c>
    </row>
    <row r="601" spans="1:47" x14ac:dyDescent="0.2">
      <c r="A601">
        <v>2054</v>
      </c>
      <c r="B601" t="s">
        <v>786</v>
      </c>
      <c r="C601">
        <v>64</v>
      </c>
      <c r="D601" t="s">
        <v>564</v>
      </c>
      <c r="G601" t="str">
        <f t="shared" si="9"/>
        <v>SWL200864UTN7</v>
      </c>
      <c r="H601">
        <v>67.999066670000005</v>
      </c>
      <c r="I601">
        <v>-168.93348330000001</v>
      </c>
      <c r="J601" s="3">
        <v>20080719</v>
      </c>
      <c r="K601">
        <v>2008</v>
      </c>
      <c r="L601">
        <v>0.47367999999999999</v>
      </c>
      <c r="M601">
        <v>8.45153</v>
      </c>
      <c r="N601">
        <v>5.4210000000000003</v>
      </c>
      <c r="O601">
        <v>0</v>
      </c>
      <c r="P601">
        <v>0</v>
      </c>
      <c r="Q601">
        <v>0</v>
      </c>
      <c r="R601">
        <v>0.95757999999999999</v>
      </c>
      <c r="S601">
        <v>0</v>
      </c>
      <c r="T601">
        <v>0</v>
      </c>
      <c r="U601">
        <v>6.9999999999999994E-5</v>
      </c>
      <c r="V601">
        <v>15.30386</v>
      </c>
      <c r="W601" t="s">
        <v>10</v>
      </c>
      <c r="X601">
        <v>6.5759999999999996</v>
      </c>
      <c r="Y601">
        <v>231.428</v>
      </c>
      <c r="Z601">
        <v>59.009</v>
      </c>
      <c r="AA601">
        <v>0</v>
      </c>
      <c r="AB601">
        <v>0</v>
      </c>
      <c r="AC601">
        <v>0</v>
      </c>
      <c r="AD601">
        <v>15.698</v>
      </c>
      <c r="AE601">
        <v>0</v>
      </c>
      <c r="AF601">
        <v>0</v>
      </c>
      <c r="AG601">
        <v>1E-3</v>
      </c>
      <c r="AH601">
        <v>312.71199999999999</v>
      </c>
      <c r="AI601" t="s">
        <v>22</v>
      </c>
      <c r="AJ601">
        <v>212.5</v>
      </c>
      <c r="AK601">
        <v>135</v>
      </c>
      <c r="AL601">
        <v>3020</v>
      </c>
      <c r="AM601">
        <v>0</v>
      </c>
      <c r="AN601">
        <v>2.5</v>
      </c>
      <c r="AO601">
        <v>0</v>
      </c>
      <c r="AP601">
        <v>12.5</v>
      </c>
      <c r="AQ601">
        <v>0</v>
      </c>
      <c r="AR601">
        <v>0</v>
      </c>
      <c r="AS601">
        <v>10</v>
      </c>
      <c r="AT601">
        <v>3392.5</v>
      </c>
      <c r="AU601" t="s">
        <v>35</v>
      </c>
    </row>
    <row r="602" spans="1:47" x14ac:dyDescent="0.2">
      <c r="A602">
        <v>117</v>
      </c>
      <c r="B602" t="s">
        <v>926</v>
      </c>
      <c r="C602">
        <v>1</v>
      </c>
      <c r="D602" t="s">
        <v>125</v>
      </c>
      <c r="G602" t="str">
        <f t="shared" si="9"/>
        <v>COMIDA091CBL1</v>
      </c>
      <c r="H602">
        <v>69.039666999999994</v>
      </c>
      <c r="I602">
        <v>-166.593467</v>
      </c>
      <c r="J602" s="3">
        <v>20090727</v>
      </c>
      <c r="K602">
        <v>2009</v>
      </c>
      <c r="L602">
        <v>0.76527999999999996</v>
      </c>
      <c r="M602">
        <v>0.31941000000000003</v>
      </c>
      <c r="N602">
        <v>3.5100000000000001E-3</v>
      </c>
      <c r="O602">
        <v>0</v>
      </c>
      <c r="P602">
        <v>3.4000000000000002E-4</v>
      </c>
      <c r="Q602">
        <v>0</v>
      </c>
      <c r="R602">
        <v>2.8729999999999999E-2</v>
      </c>
      <c r="S602">
        <v>0</v>
      </c>
      <c r="T602">
        <v>0</v>
      </c>
      <c r="U602">
        <v>1.021E-2</v>
      </c>
      <c r="V602">
        <v>1.12748</v>
      </c>
      <c r="W602" t="s">
        <v>9</v>
      </c>
      <c r="X602">
        <v>11.704000000000001</v>
      </c>
      <c r="Y602">
        <v>11.712999999999999</v>
      </c>
      <c r="Z602">
        <v>5.0999999999999997E-2</v>
      </c>
      <c r="AA602">
        <v>0</v>
      </c>
      <c r="AB602">
        <v>2.4E-2</v>
      </c>
      <c r="AC602">
        <v>0</v>
      </c>
      <c r="AD602">
        <v>0.47099999999999997</v>
      </c>
      <c r="AE602">
        <v>0</v>
      </c>
      <c r="AF602">
        <v>0</v>
      </c>
      <c r="AG602">
        <v>0.61399999999999999</v>
      </c>
      <c r="AH602">
        <v>24.577000000000002</v>
      </c>
      <c r="AI602" t="s">
        <v>22</v>
      </c>
      <c r="AJ602">
        <v>1162.5</v>
      </c>
      <c r="AK602">
        <v>92.5</v>
      </c>
      <c r="AL602">
        <v>35</v>
      </c>
      <c r="AM602">
        <v>0</v>
      </c>
      <c r="AN602">
        <v>5</v>
      </c>
      <c r="AO602">
        <v>0</v>
      </c>
      <c r="AP602">
        <v>2.5</v>
      </c>
      <c r="AQ602">
        <v>0</v>
      </c>
      <c r="AR602">
        <v>0</v>
      </c>
      <c r="AS602">
        <v>7.5</v>
      </c>
      <c r="AT602">
        <v>1305</v>
      </c>
      <c r="AU602" t="s">
        <v>33</v>
      </c>
    </row>
    <row r="603" spans="1:47" x14ac:dyDescent="0.2">
      <c r="A603">
        <v>118</v>
      </c>
      <c r="B603" t="s">
        <v>926</v>
      </c>
      <c r="C603">
        <v>11</v>
      </c>
      <c r="D603" t="s">
        <v>126</v>
      </c>
      <c r="G603" t="str">
        <f t="shared" si="9"/>
        <v>COMIDA0911CBL7</v>
      </c>
      <c r="H603">
        <v>70.732749999999996</v>
      </c>
      <c r="I603">
        <v>-165.996667</v>
      </c>
      <c r="J603" s="3">
        <v>20090730</v>
      </c>
      <c r="K603">
        <v>2009</v>
      </c>
      <c r="L603">
        <v>1.9837100000000001</v>
      </c>
      <c r="M603">
        <v>2.4093900000000001</v>
      </c>
      <c r="N603">
        <v>0.20322999999999999</v>
      </c>
      <c r="O603">
        <v>2.5663100000000001</v>
      </c>
      <c r="P603">
        <v>7.5700000000000003E-3</v>
      </c>
      <c r="Q603">
        <v>0</v>
      </c>
      <c r="R603">
        <v>2.2079999999999999E-2</v>
      </c>
      <c r="S603">
        <v>0.94179000000000002</v>
      </c>
      <c r="T603">
        <v>0</v>
      </c>
      <c r="U603">
        <v>0.80039000000000005</v>
      </c>
      <c r="V603">
        <v>8.9344699999999992</v>
      </c>
      <c r="W603" t="s">
        <v>12</v>
      </c>
      <c r="X603">
        <v>27.989000000000001</v>
      </c>
      <c r="Y603">
        <v>97.917000000000002</v>
      </c>
      <c r="Z603">
        <v>2.6789999999999998</v>
      </c>
      <c r="AA603">
        <v>57.029000000000003</v>
      </c>
      <c r="AB603">
        <v>0.54100000000000004</v>
      </c>
      <c r="AC603">
        <v>0</v>
      </c>
      <c r="AD603">
        <v>0.36199999999999999</v>
      </c>
      <c r="AE603">
        <v>46.667999999999999</v>
      </c>
      <c r="AF603">
        <v>0</v>
      </c>
      <c r="AG603">
        <v>41.524999999999999</v>
      </c>
      <c r="AH603">
        <v>274.70999999999998</v>
      </c>
      <c r="AI603" t="s">
        <v>22</v>
      </c>
      <c r="AJ603">
        <v>670</v>
      </c>
      <c r="AK603">
        <v>215</v>
      </c>
      <c r="AL603">
        <v>277.5</v>
      </c>
      <c r="AM603">
        <v>27.5</v>
      </c>
      <c r="AN603">
        <v>12.5</v>
      </c>
      <c r="AO603">
        <v>0</v>
      </c>
      <c r="AP603">
        <v>0</v>
      </c>
      <c r="AQ603">
        <v>15</v>
      </c>
      <c r="AR603">
        <v>0</v>
      </c>
      <c r="AS603">
        <v>72.5</v>
      </c>
      <c r="AT603">
        <v>1290</v>
      </c>
      <c r="AU603" t="s">
        <v>33</v>
      </c>
    </row>
    <row r="604" spans="1:47" x14ac:dyDescent="0.2">
      <c r="A604">
        <v>119</v>
      </c>
      <c r="B604" t="s">
        <v>926</v>
      </c>
      <c r="C604">
        <v>13</v>
      </c>
      <c r="D604" t="s">
        <v>127</v>
      </c>
      <c r="G604" t="str">
        <f t="shared" si="9"/>
        <v>COMIDA0913UTX24</v>
      </c>
      <c r="H604">
        <v>70.746717000000004</v>
      </c>
      <c r="I604">
        <v>-164.175567</v>
      </c>
      <c r="J604" s="3">
        <v>20090731</v>
      </c>
      <c r="K604">
        <v>2009</v>
      </c>
      <c r="L604">
        <v>6.4955600000000002</v>
      </c>
      <c r="M604">
        <v>1.4166700000000001</v>
      </c>
      <c r="N604">
        <v>0.10029</v>
      </c>
      <c r="O604">
        <v>0</v>
      </c>
      <c r="P604">
        <v>0.24714</v>
      </c>
      <c r="Q604">
        <v>0</v>
      </c>
      <c r="R604">
        <v>0</v>
      </c>
      <c r="S604">
        <v>0.13188</v>
      </c>
      <c r="T604">
        <v>0</v>
      </c>
      <c r="U604">
        <v>0.14876</v>
      </c>
      <c r="V604">
        <v>8.5403000000000002</v>
      </c>
      <c r="W604" t="s">
        <v>9</v>
      </c>
      <c r="X604">
        <v>93.292000000000002</v>
      </c>
      <c r="Y604">
        <v>36.031999999999996</v>
      </c>
      <c r="Z604">
        <v>1.39</v>
      </c>
      <c r="AA604">
        <v>0</v>
      </c>
      <c r="AB604">
        <v>17.652999999999999</v>
      </c>
      <c r="AC604">
        <v>0</v>
      </c>
      <c r="AD604">
        <v>0</v>
      </c>
      <c r="AE604">
        <v>9.42</v>
      </c>
      <c r="AF604">
        <v>0</v>
      </c>
      <c r="AG604">
        <v>8.5269999999999992</v>
      </c>
      <c r="AH604">
        <v>166.31399999999999</v>
      </c>
      <c r="AI604" t="s">
        <v>21</v>
      </c>
      <c r="AJ604">
        <v>480</v>
      </c>
      <c r="AK604">
        <v>445</v>
      </c>
      <c r="AL604">
        <v>180</v>
      </c>
      <c r="AM604">
        <v>0</v>
      </c>
      <c r="AN604">
        <v>35</v>
      </c>
      <c r="AO604">
        <v>0</v>
      </c>
      <c r="AP604">
        <v>0</v>
      </c>
      <c r="AQ604">
        <v>10</v>
      </c>
      <c r="AR604">
        <v>0</v>
      </c>
      <c r="AS604">
        <v>70</v>
      </c>
      <c r="AT604">
        <v>1220</v>
      </c>
      <c r="AU604" t="s">
        <v>33</v>
      </c>
    </row>
    <row r="605" spans="1:47" x14ac:dyDescent="0.2">
      <c r="A605">
        <v>120</v>
      </c>
      <c r="B605" t="s">
        <v>926</v>
      </c>
      <c r="C605">
        <v>14</v>
      </c>
      <c r="D605" t="s">
        <v>128</v>
      </c>
      <c r="G605" t="str">
        <f t="shared" si="9"/>
        <v>COMIDA0914CBL9</v>
      </c>
      <c r="H605">
        <v>70.641499999999994</v>
      </c>
      <c r="I605">
        <v>-162.266267</v>
      </c>
      <c r="J605" s="3">
        <v>20090731</v>
      </c>
      <c r="K605">
        <v>2009</v>
      </c>
      <c r="L605">
        <v>0.24263999999999999</v>
      </c>
      <c r="M605">
        <v>0.13173000000000001</v>
      </c>
      <c r="N605">
        <v>8.1530000000000005E-2</v>
      </c>
      <c r="O605">
        <v>0</v>
      </c>
      <c r="P605">
        <v>5.1000000000000004E-4</v>
      </c>
      <c r="Q605">
        <v>3.2068400000000001</v>
      </c>
      <c r="R605">
        <v>0</v>
      </c>
      <c r="S605">
        <v>9.4199999999999996E-3</v>
      </c>
      <c r="T605">
        <v>0</v>
      </c>
      <c r="U605">
        <v>1.8239999999999999E-2</v>
      </c>
      <c r="V605">
        <v>3.6909100000000001</v>
      </c>
      <c r="W605" t="s">
        <v>14</v>
      </c>
      <c r="X605">
        <v>2.9380000000000002</v>
      </c>
      <c r="Y605">
        <v>4.3949999999999996</v>
      </c>
      <c r="Z605">
        <v>1.179</v>
      </c>
      <c r="AA605">
        <v>0</v>
      </c>
      <c r="AB605">
        <v>3.5999999999999997E-2</v>
      </c>
      <c r="AC605">
        <v>400.85500000000002</v>
      </c>
      <c r="AD605">
        <v>0</v>
      </c>
      <c r="AE605">
        <v>0.67300000000000004</v>
      </c>
      <c r="AF605">
        <v>0</v>
      </c>
      <c r="AG605">
        <v>1.2110000000000001</v>
      </c>
      <c r="AH605">
        <v>411.28699999999998</v>
      </c>
      <c r="AI605" t="s">
        <v>26</v>
      </c>
      <c r="AJ605">
        <v>285</v>
      </c>
      <c r="AK605">
        <v>392.5</v>
      </c>
      <c r="AL605">
        <v>137.5</v>
      </c>
      <c r="AM605">
        <v>0</v>
      </c>
      <c r="AN605">
        <v>2.5</v>
      </c>
      <c r="AO605">
        <v>72.5</v>
      </c>
      <c r="AP605">
        <v>0</v>
      </c>
      <c r="AQ605">
        <v>2.5</v>
      </c>
      <c r="AR605">
        <v>0</v>
      </c>
      <c r="AS605">
        <v>17.5</v>
      </c>
      <c r="AT605">
        <v>910</v>
      </c>
      <c r="AU605" t="s">
        <v>34</v>
      </c>
    </row>
    <row r="606" spans="1:47" x14ac:dyDescent="0.2">
      <c r="A606">
        <v>121</v>
      </c>
      <c r="B606" t="s">
        <v>926</v>
      </c>
      <c r="C606">
        <v>17</v>
      </c>
      <c r="D606" t="s">
        <v>129</v>
      </c>
      <c r="G606" t="str">
        <f t="shared" si="9"/>
        <v>COMIDA0917UTX20</v>
      </c>
      <c r="H606">
        <v>71.077267000000006</v>
      </c>
      <c r="I606">
        <v>-166.17846700000001</v>
      </c>
      <c r="J606" s="3">
        <v>20090801</v>
      </c>
      <c r="K606">
        <v>2009</v>
      </c>
      <c r="L606">
        <v>0.82162999999999997</v>
      </c>
      <c r="M606">
        <v>2.8818100000000002</v>
      </c>
      <c r="N606">
        <v>1.4370000000000001E-2</v>
      </c>
      <c r="O606">
        <v>0</v>
      </c>
      <c r="P606">
        <v>0</v>
      </c>
      <c r="Q606">
        <v>0</v>
      </c>
      <c r="R606">
        <v>2.1299999999999999E-3</v>
      </c>
      <c r="S606">
        <v>0</v>
      </c>
      <c r="T606">
        <v>0</v>
      </c>
      <c r="U606">
        <v>1.07134</v>
      </c>
      <c r="V606">
        <v>4.7912800000000004</v>
      </c>
      <c r="W606" t="s">
        <v>10</v>
      </c>
      <c r="X606">
        <v>12.191000000000001</v>
      </c>
      <c r="Y606">
        <v>143.197</v>
      </c>
      <c r="Z606">
        <v>0.191</v>
      </c>
      <c r="AA606">
        <v>0</v>
      </c>
      <c r="AB606">
        <v>0</v>
      </c>
      <c r="AC606">
        <v>0</v>
      </c>
      <c r="AD606">
        <v>3.5000000000000003E-2</v>
      </c>
      <c r="AE606">
        <v>0</v>
      </c>
      <c r="AF606">
        <v>0</v>
      </c>
      <c r="AG606">
        <v>50.683999999999997</v>
      </c>
      <c r="AH606">
        <v>206.298</v>
      </c>
      <c r="AI606" t="s">
        <v>22</v>
      </c>
      <c r="AJ606">
        <v>200</v>
      </c>
      <c r="AK606">
        <v>470</v>
      </c>
      <c r="AL606">
        <v>65</v>
      </c>
      <c r="AM606">
        <v>0</v>
      </c>
      <c r="AN606">
        <v>5</v>
      </c>
      <c r="AO606">
        <v>0</v>
      </c>
      <c r="AP606">
        <v>0</v>
      </c>
      <c r="AQ606">
        <v>0</v>
      </c>
      <c r="AR606">
        <v>0</v>
      </c>
      <c r="AS606">
        <v>40</v>
      </c>
      <c r="AT606">
        <v>780</v>
      </c>
      <c r="AU606" t="s">
        <v>34</v>
      </c>
    </row>
    <row r="607" spans="1:47" x14ac:dyDescent="0.2">
      <c r="A607">
        <v>122</v>
      </c>
      <c r="B607" t="s">
        <v>926</v>
      </c>
      <c r="C607">
        <v>2</v>
      </c>
      <c r="D607" t="s">
        <v>130</v>
      </c>
      <c r="G607" t="str">
        <f t="shared" si="9"/>
        <v>COMIDA092CBL2</v>
      </c>
      <c r="H607">
        <v>69.502099999999999</v>
      </c>
      <c r="I607">
        <v>-167.675217</v>
      </c>
      <c r="J607" s="3">
        <v>20090727</v>
      </c>
      <c r="K607">
        <v>2009</v>
      </c>
      <c r="L607">
        <v>5.1179199999999998</v>
      </c>
      <c r="M607">
        <v>0.48254000000000002</v>
      </c>
      <c r="N607">
        <v>4.8570000000000002E-2</v>
      </c>
      <c r="O607">
        <v>4.2381000000000002</v>
      </c>
      <c r="P607">
        <v>2.4979999999999999E-2</v>
      </c>
      <c r="Q607">
        <v>0</v>
      </c>
      <c r="R607">
        <v>4.2999999999999999E-4</v>
      </c>
      <c r="S607">
        <v>0.10644000000000001</v>
      </c>
      <c r="T607">
        <v>0</v>
      </c>
      <c r="U607">
        <v>5.3650000000000003E-2</v>
      </c>
      <c r="V607">
        <v>10.07263</v>
      </c>
      <c r="W607" t="s">
        <v>9</v>
      </c>
      <c r="X607">
        <v>74.117000000000004</v>
      </c>
      <c r="Y607">
        <v>17.613</v>
      </c>
      <c r="Z607">
        <v>0.67</v>
      </c>
      <c r="AA607">
        <v>94.18</v>
      </c>
      <c r="AB607">
        <v>1.784</v>
      </c>
      <c r="AC607">
        <v>0</v>
      </c>
      <c r="AD607">
        <v>7.0000000000000001E-3</v>
      </c>
      <c r="AE607">
        <v>2.5960000000000001</v>
      </c>
      <c r="AF607">
        <v>0</v>
      </c>
      <c r="AG607">
        <v>4.468</v>
      </c>
      <c r="AH607">
        <v>195.435</v>
      </c>
      <c r="AI607" t="s">
        <v>24</v>
      </c>
      <c r="AJ607">
        <v>1392.5</v>
      </c>
      <c r="AK607">
        <v>227.5</v>
      </c>
      <c r="AL607">
        <v>402.5</v>
      </c>
      <c r="AM607">
        <v>10</v>
      </c>
      <c r="AN607">
        <v>105</v>
      </c>
      <c r="AO607">
        <v>0</v>
      </c>
      <c r="AP607">
        <v>0</v>
      </c>
      <c r="AQ607">
        <v>7.5</v>
      </c>
      <c r="AR607">
        <v>0</v>
      </c>
      <c r="AS607">
        <v>22.5</v>
      </c>
      <c r="AT607">
        <v>2167.5</v>
      </c>
      <c r="AU607" t="s">
        <v>33</v>
      </c>
    </row>
    <row r="608" spans="1:47" x14ac:dyDescent="0.2">
      <c r="A608">
        <v>123</v>
      </c>
      <c r="B608" t="s">
        <v>926</v>
      </c>
      <c r="C608">
        <v>21</v>
      </c>
      <c r="D608" t="s">
        <v>131</v>
      </c>
      <c r="G608" t="str">
        <f t="shared" si="9"/>
        <v>COMIDA0921CBL8</v>
      </c>
      <c r="H608">
        <v>71.484650000000002</v>
      </c>
      <c r="I608">
        <v>-167.781667</v>
      </c>
      <c r="J608" s="3">
        <v>20090806</v>
      </c>
      <c r="K608">
        <v>2009</v>
      </c>
      <c r="L608">
        <v>0.86956</v>
      </c>
      <c r="M608">
        <v>7.2359999999999998</v>
      </c>
      <c r="N608">
        <v>7.2100000000000003E-3</v>
      </c>
      <c r="O608">
        <v>4.4999999999999999E-4</v>
      </c>
      <c r="P608">
        <v>0.40309</v>
      </c>
      <c r="Q608">
        <v>0</v>
      </c>
      <c r="R608">
        <v>0</v>
      </c>
      <c r="S608">
        <v>0</v>
      </c>
      <c r="T608">
        <v>0</v>
      </c>
      <c r="U608">
        <v>0.13094</v>
      </c>
      <c r="V608">
        <v>8.6472499999999997</v>
      </c>
      <c r="W608" t="s">
        <v>10</v>
      </c>
      <c r="X608">
        <v>13.605</v>
      </c>
      <c r="Y608">
        <v>279.17099999999999</v>
      </c>
      <c r="Z608">
        <v>8.7999999999999995E-2</v>
      </c>
      <c r="AA608">
        <v>0.01</v>
      </c>
      <c r="AB608">
        <v>28.792000000000002</v>
      </c>
      <c r="AC608">
        <v>0</v>
      </c>
      <c r="AD608">
        <v>0</v>
      </c>
      <c r="AE608">
        <v>0</v>
      </c>
      <c r="AF608">
        <v>0</v>
      </c>
      <c r="AG608">
        <v>1.87</v>
      </c>
      <c r="AH608">
        <v>323.536</v>
      </c>
      <c r="AI608" t="s">
        <v>22</v>
      </c>
      <c r="AJ608">
        <v>225</v>
      </c>
      <c r="AK608">
        <v>492.5</v>
      </c>
      <c r="AL608">
        <v>35</v>
      </c>
      <c r="AM608">
        <v>2.5</v>
      </c>
      <c r="AN608">
        <v>137.5</v>
      </c>
      <c r="AO608">
        <v>0</v>
      </c>
      <c r="AP608">
        <v>0</v>
      </c>
      <c r="AQ608">
        <v>0</v>
      </c>
      <c r="AR608">
        <v>0</v>
      </c>
      <c r="AS608">
        <v>15</v>
      </c>
      <c r="AT608">
        <v>907.5</v>
      </c>
      <c r="AU608" t="s">
        <v>34</v>
      </c>
    </row>
    <row r="609" spans="1:47" x14ac:dyDescent="0.2">
      <c r="A609">
        <v>124</v>
      </c>
      <c r="B609" t="s">
        <v>926</v>
      </c>
      <c r="C609">
        <v>25</v>
      </c>
      <c r="D609" t="s">
        <v>132</v>
      </c>
      <c r="G609" t="str">
        <f t="shared" si="9"/>
        <v>COMIDA0925UTX15</v>
      </c>
      <c r="H609">
        <v>71.242482999999993</v>
      </c>
      <c r="I609">
        <v>-163.92195000000001</v>
      </c>
      <c r="J609" s="3">
        <v>20090803</v>
      </c>
      <c r="K609">
        <v>2009</v>
      </c>
      <c r="L609">
        <v>4.0096400000000001</v>
      </c>
      <c r="M609">
        <v>3.0466799999999998</v>
      </c>
      <c r="N609">
        <v>0.29976000000000003</v>
      </c>
      <c r="O609">
        <v>0</v>
      </c>
      <c r="P609">
        <v>0.25455</v>
      </c>
      <c r="Q609">
        <v>0</v>
      </c>
      <c r="R609">
        <v>0</v>
      </c>
      <c r="S609">
        <v>0</v>
      </c>
      <c r="T609">
        <v>0</v>
      </c>
      <c r="U609">
        <v>0.22728000000000001</v>
      </c>
      <c r="V609">
        <v>7.8379099999999999</v>
      </c>
      <c r="W609" t="s">
        <v>9</v>
      </c>
      <c r="X609">
        <v>59.823</v>
      </c>
      <c r="Y609">
        <v>173.768</v>
      </c>
      <c r="Z609">
        <v>3.98</v>
      </c>
      <c r="AA609">
        <v>0</v>
      </c>
      <c r="AB609">
        <v>18.181999999999999</v>
      </c>
      <c r="AC609">
        <v>0</v>
      </c>
      <c r="AD609">
        <v>0</v>
      </c>
      <c r="AE609">
        <v>0</v>
      </c>
      <c r="AF609">
        <v>0</v>
      </c>
      <c r="AG609">
        <v>3.6240000000000001</v>
      </c>
      <c r="AH609">
        <v>259.37700000000001</v>
      </c>
      <c r="AI609" t="s">
        <v>22</v>
      </c>
      <c r="AJ609">
        <v>450</v>
      </c>
      <c r="AK609">
        <v>340</v>
      </c>
      <c r="AL609">
        <v>2150</v>
      </c>
      <c r="AM609">
        <v>0</v>
      </c>
      <c r="AN609">
        <v>45</v>
      </c>
      <c r="AO609">
        <v>0</v>
      </c>
      <c r="AP609">
        <v>0</v>
      </c>
      <c r="AQ609">
        <v>0</v>
      </c>
      <c r="AR609">
        <v>0</v>
      </c>
      <c r="AS609">
        <v>85</v>
      </c>
      <c r="AT609">
        <v>3070</v>
      </c>
      <c r="AU609" t="s">
        <v>35</v>
      </c>
    </row>
    <row r="610" spans="1:47" x14ac:dyDescent="0.2">
      <c r="A610">
        <v>125</v>
      </c>
      <c r="B610" t="s">
        <v>926</v>
      </c>
      <c r="C610">
        <v>26</v>
      </c>
      <c r="D610" t="s">
        <v>133</v>
      </c>
      <c r="G610" t="str">
        <f t="shared" si="9"/>
        <v>COMIDA0926UTX18</v>
      </c>
      <c r="H610">
        <v>71.077349999999996</v>
      </c>
      <c r="I610">
        <v>-162.55838299999999</v>
      </c>
      <c r="J610" s="3">
        <v>20090804</v>
      </c>
      <c r="K610">
        <v>2009</v>
      </c>
      <c r="L610">
        <v>8.5878300000000003</v>
      </c>
      <c r="M610">
        <v>1.20686</v>
      </c>
      <c r="N610">
        <v>0.74087000000000003</v>
      </c>
      <c r="O610">
        <v>0</v>
      </c>
      <c r="P610">
        <v>0.67693999999999999</v>
      </c>
      <c r="Q610">
        <v>0</v>
      </c>
      <c r="R610">
        <v>0</v>
      </c>
      <c r="S610">
        <v>9.1699999999999993E-3</v>
      </c>
      <c r="T610">
        <v>0</v>
      </c>
      <c r="U610">
        <v>1.2484200000000001</v>
      </c>
      <c r="V610">
        <v>12.470090000000001</v>
      </c>
      <c r="W610" t="s">
        <v>9</v>
      </c>
      <c r="X610">
        <v>115.06100000000001</v>
      </c>
      <c r="Y610">
        <v>38.780999999999999</v>
      </c>
      <c r="Z610">
        <v>10.574999999999999</v>
      </c>
      <c r="AA610">
        <v>0</v>
      </c>
      <c r="AB610">
        <v>48.353000000000002</v>
      </c>
      <c r="AC610">
        <v>0</v>
      </c>
      <c r="AD610">
        <v>0</v>
      </c>
      <c r="AE610">
        <v>0.65500000000000003</v>
      </c>
      <c r="AF610">
        <v>0</v>
      </c>
      <c r="AG610">
        <v>14.407</v>
      </c>
      <c r="AH610">
        <v>227.83199999999999</v>
      </c>
      <c r="AI610" t="s">
        <v>21</v>
      </c>
      <c r="AJ610">
        <v>800</v>
      </c>
      <c r="AK610">
        <v>320</v>
      </c>
      <c r="AL610">
        <v>8205</v>
      </c>
      <c r="AM610">
        <v>0</v>
      </c>
      <c r="AN610">
        <v>155</v>
      </c>
      <c r="AO610">
        <v>0</v>
      </c>
      <c r="AP610">
        <v>30</v>
      </c>
      <c r="AQ610">
        <v>5</v>
      </c>
      <c r="AR610">
        <v>0</v>
      </c>
      <c r="AS610">
        <v>175</v>
      </c>
      <c r="AT610">
        <v>9690</v>
      </c>
      <c r="AU610" t="s">
        <v>35</v>
      </c>
    </row>
    <row r="611" spans="1:47" x14ac:dyDescent="0.2">
      <c r="A611">
        <v>126</v>
      </c>
      <c r="B611" t="s">
        <v>926</v>
      </c>
      <c r="C611">
        <v>27</v>
      </c>
      <c r="D611" t="s">
        <v>134</v>
      </c>
      <c r="G611" t="str">
        <f t="shared" si="9"/>
        <v>COMIDA0927CBL12</v>
      </c>
      <c r="H611">
        <v>70.908533000000006</v>
      </c>
      <c r="I611">
        <v>-160.74083300000001</v>
      </c>
      <c r="J611" s="3">
        <v>20090804</v>
      </c>
      <c r="K611">
        <v>2009</v>
      </c>
      <c r="L611">
        <v>4.06393</v>
      </c>
      <c r="M611">
        <v>1.31115</v>
      </c>
      <c r="N611">
        <v>3.0949</v>
      </c>
      <c r="O611">
        <v>1.9056999999999999</v>
      </c>
      <c r="P611">
        <v>5.9100000000000003E-3</v>
      </c>
      <c r="Q611">
        <v>5.0800000000000003E-3</v>
      </c>
      <c r="R611">
        <v>0.21149000000000001</v>
      </c>
      <c r="S611">
        <v>2.1091600000000001</v>
      </c>
      <c r="T611">
        <v>0</v>
      </c>
      <c r="U611">
        <v>0.21772</v>
      </c>
      <c r="V611">
        <v>12.925039999999999</v>
      </c>
      <c r="W611" t="s">
        <v>9</v>
      </c>
      <c r="X611">
        <v>58.764000000000003</v>
      </c>
      <c r="Y611">
        <v>70.548000000000002</v>
      </c>
      <c r="Z611">
        <v>44.898000000000003</v>
      </c>
      <c r="AA611">
        <v>42.348999999999997</v>
      </c>
      <c r="AB611">
        <v>0.42199999999999999</v>
      </c>
      <c r="AC611">
        <v>0.46200000000000002</v>
      </c>
      <c r="AD611">
        <v>3.4670000000000001</v>
      </c>
      <c r="AE611">
        <v>51.982999999999997</v>
      </c>
      <c r="AF611">
        <v>0</v>
      </c>
      <c r="AG611">
        <v>14.263</v>
      </c>
      <c r="AH611">
        <v>287.15600000000001</v>
      </c>
      <c r="AI611" t="s">
        <v>22</v>
      </c>
      <c r="AJ611">
        <v>2650</v>
      </c>
      <c r="AK611">
        <v>855</v>
      </c>
      <c r="AL611">
        <v>4385</v>
      </c>
      <c r="AM611">
        <v>82.5</v>
      </c>
      <c r="AN611">
        <v>20</v>
      </c>
      <c r="AO611">
        <v>112.5</v>
      </c>
      <c r="AP611">
        <v>0</v>
      </c>
      <c r="AQ611">
        <v>55</v>
      </c>
      <c r="AR611">
        <v>0</v>
      </c>
      <c r="AS611">
        <v>187.5</v>
      </c>
      <c r="AT611">
        <v>8347.5</v>
      </c>
      <c r="AU611" t="s">
        <v>35</v>
      </c>
    </row>
    <row r="612" spans="1:47" x14ac:dyDescent="0.2">
      <c r="A612">
        <v>127</v>
      </c>
      <c r="B612" t="s">
        <v>926</v>
      </c>
      <c r="C612">
        <v>29</v>
      </c>
      <c r="D612" t="s">
        <v>135</v>
      </c>
      <c r="G612" t="str">
        <f t="shared" si="9"/>
        <v>COMIDA0929CBL13</v>
      </c>
      <c r="H612">
        <v>71.298182999999995</v>
      </c>
      <c r="I612">
        <v>-161.688683</v>
      </c>
      <c r="J612" s="3">
        <v>20090803</v>
      </c>
      <c r="K612">
        <v>2009</v>
      </c>
      <c r="L612">
        <v>10.04533</v>
      </c>
      <c r="M612">
        <v>2.2150500000000002</v>
      </c>
      <c r="N612">
        <v>3.2562600000000002</v>
      </c>
      <c r="O612">
        <v>14.187060000000001</v>
      </c>
      <c r="P612">
        <v>0.32102000000000003</v>
      </c>
      <c r="Q612">
        <v>4.4999999999999999E-4</v>
      </c>
      <c r="R612">
        <v>0.82393000000000005</v>
      </c>
      <c r="S612">
        <v>0.14171</v>
      </c>
      <c r="T612">
        <v>0</v>
      </c>
      <c r="U612">
        <v>0.31974000000000002</v>
      </c>
      <c r="V612">
        <v>31.310549999999999</v>
      </c>
      <c r="W612" t="s">
        <v>12</v>
      </c>
      <c r="X612">
        <v>141.1</v>
      </c>
      <c r="Y612">
        <v>95.186000000000007</v>
      </c>
      <c r="Z612">
        <v>46.524999999999999</v>
      </c>
      <c r="AA612">
        <v>315.26799999999997</v>
      </c>
      <c r="AB612">
        <v>22.93</v>
      </c>
      <c r="AC612">
        <v>5.6000000000000001E-2</v>
      </c>
      <c r="AD612">
        <v>13.507</v>
      </c>
      <c r="AE612">
        <v>10.122</v>
      </c>
      <c r="AF612">
        <v>0</v>
      </c>
      <c r="AG612">
        <v>4.7409999999999997</v>
      </c>
      <c r="AH612">
        <v>649.43499999999995</v>
      </c>
      <c r="AI612" t="s">
        <v>24</v>
      </c>
      <c r="AJ612">
        <v>5230</v>
      </c>
      <c r="AK612">
        <v>642.5</v>
      </c>
      <c r="AL612">
        <v>2842.5</v>
      </c>
      <c r="AM612">
        <v>52.5</v>
      </c>
      <c r="AN612">
        <v>70</v>
      </c>
      <c r="AO612">
        <v>7.5</v>
      </c>
      <c r="AP612">
        <v>0</v>
      </c>
      <c r="AQ612">
        <v>5</v>
      </c>
      <c r="AR612">
        <v>0</v>
      </c>
      <c r="AS612">
        <v>82.5</v>
      </c>
      <c r="AT612">
        <v>8932.5</v>
      </c>
      <c r="AU612" t="s">
        <v>33</v>
      </c>
    </row>
    <row r="613" spans="1:47" x14ac:dyDescent="0.2">
      <c r="A613">
        <v>128</v>
      </c>
      <c r="B613" t="s">
        <v>926</v>
      </c>
      <c r="C613">
        <v>3</v>
      </c>
      <c r="D613" t="s">
        <v>136</v>
      </c>
      <c r="G613" t="str">
        <f t="shared" si="9"/>
        <v>COMIDA093CBL3</v>
      </c>
      <c r="H613">
        <v>69.829116999999997</v>
      </c>
      <c r="I613">
        <v>-165.49956700000001</v>
      </c>
      <c r="J613" s="3">
        <v>20090728</v>
      </c>
      <c r="K613">
        <v>2009</v>
      </c>
      <c r="L613">
        <v>2.9205899999999998</v>
      </c>
      <c r="M613">
        <v>0.71930000000000005</v>
      </c>
      <c r="N613">
        <v>5.7750000000000003E-2</v>
      </c>
      <c r="O613">
        <v>9.0000000000000006E-5</v>
      </c>
      <c r="P613">
        <v>5.9999999999999995E-4</v>
      </c>
      <c r="Q613">
        <v>0</v>
      </c>
      <c r="R613">
        <v>0</v>
      </c>
      <c r="S613">
        <v>0</v>
      </c>
      <c r="T613">
        <v>0</v>
      </c>
      <c r="U613">
        <v>7.6039999999999996E-2</v>
      </c>
      <c r="V613">
        <v>3.7743699999999998</v>
      </c>
      <c r="W613" t="s">
        <v>9</v>
      </c>
      <c r="X613">
        <v>43.101999999999997</v>
      </c>
      <c r="Y613">
        <v>43.987000000000002</v>
      </c>
      <c r="Z613">
        <v>0.84199999999999997</v>
      </c>
      <c r="AA613">
        <v>2E-3</v>
      </c>
      <c r="AB613">
        <v>4.2999999999999997E-2</v>
      </c>
      <c r="AC613">
        <v>0</v>
      </c>
      <c r="AD613">
        <v>0</v>
      </c>
      <c r="AE613">
        <v>0</v>
      </c>
      <c r="AF613">
        <v>0</v>
      </c>
      <c r="AG613">
        <v>2.464</v>
      </c>
      <c r="AH613">
        <v>90.44</v>
      </c>
      <c r="AI613" t="s">
        <v>22</v>
      </c>
      <c r="AJ613">
        <v>842.5</v>
      </c>
      <c r="AK613">
        <v>487.5</v>
      </c>
      <c r="AL613">
        <v>112.5</v>
      </c>
      <c r="AM613">
        <v>2.5</v>
      </c>
      <c r="AN613">
        <v>60</v>
      </c>
      <c r="AO613">
        <v>0</v>
      </c>
      <c r="AP613">
        <v>0</v>
      </c>
      <c r="AQ613">
        <v>0</v>
      </c>
      <c r="AR613">
        <v>0</v>
      </c>
      <c r="AS613">
        <v>32.5</v>
      </c>
      <c r="AT613">
        <v>1537.5</v>
      </c>
      <c r="AU613" t="s">
        <v>33</v>
      </c>
    </row>
    <row r="614" spans="1:47" x14ac:dyDescent="0.2">
      <c r="A614">
        <v>129</v>
      </c>
      <c r="B614" t="s">
        <v>926</v>
      </c>
      <c r="C614">
        <v>30</v>
      </c>
      <c r="D614" t="s">
        <v>137</v>
      </c>
      <c r="G614" t="str">
        <f t="shared" si="9"/>
        <v>COMIDA0930UTX11</v>
      </c>
      <c r="H614">
        <v>71.453000000000003</v>
      </c>
      <c r="I614">
        <v>-162.61071699999999</v>
      </c>
      <c r="J614" s="3">
        <v>20090811</v>
      </c>
      <c r="K614">
        <v>2009</v>
      </c>
      <c r="L614">
        <v>3.1795300000000002</v>
      </c>
      <c r="M614">
        <v>5.7777000000000003</v>
      </c>
      <c r="N614">
        <v>0.57643</v>
      </c>
      <c r="O614">
        <v>0</v>
      </c>
      <c r="P614">
        <v>0.53952</v>
      </c>
      <c r="Q614">
        <v>0</v>
      </c>
      <c r="R614">
        <v>0</v>
      </c>
      <c r="S614">
        <v>0</v>
      </c>
      <c r="T614">
        <v>0</v>
      </c>
      <c r="U614">
        <v>0.27500999999999998</v>
      </c>
      <c r="V614">
        <v>10.348190000000001</v>
      </c>
      <c r="W614" t="s">
        <v>10</v>
      </c>
      <c r="X614">
        <v>44.11</v>
      </c>
      <c r="Y614">
        <v>157.80099999999999</v>
      </c>
      <c r="Z614">
        <v>7.6040000000000001</v>
      </c>
      <c r="AA614">
        <v>0</v>
      </c>
      <c r="AB614">
        <v>38.536999999999999</v>
      </c>
      <c r="AC614">
        <v>0</v>
      </c>
      <c r="AD614">
        <v>0</v>
      </c>
      <c r="AE614">
        <v>0</v>
      </c>
      <c r="AF614">
        <v>0</v>
      </c>
      <c r="AG614">
        <v>7.8419999999999996</v>
      </c>
      <c r="AH614">
        <v>255.89400000000001</v>
      </c>
      <c r="AI614" t="s">
        <v>22</v>
      </c>
      <c r="AJ614">
        <v>3150</v>
      </c>
      <c r="AK614">
        <v>520</v>
      </c>
      <c r="AL614">
        <v>1390</v>
      </c>
      <c r="AM614">
        <v>0</v>
      </c>
      <c r="AN614">
        <v>40</v>
      </c>
      <c r="AO614">
        <v>0</v>
      </c>
      <c r="AP614">
        <v>0</v>
      </c>
      <c r="AQ614">
        <v>0</v>
      </c>
      <c r="AR614">
        <v>0</v>
      </c>
      <c r="AS614">
        <v>90</v>
      </c>
      <c r="AT614">
        <v>5190</v>
      </c>
      <c r="AU614" t="s">
        <v>33</v>
      </c>
    </row>
    <row r="615" spans="1:47" x14ac:dyDescent="0.2">
      <c r="A615">
        <v>130</v>
      </c>
      <c r="B615" t="s">
        <v>926</v>
      </c>
      <c r="C615">
        <v>31</v>
      </c>
      <c r="D615" t="s">
        <v>138</v>
      </c>
      <c r="G615" t="str">
        <f t="shared" si="9"/>
        <v>COMIDA0931CBL10</v>
      </c>
      <c r="H615">
        <v>71.378867</v>
      </c>
      <c r="I615">
        <v>-164.71183300000001</v>
      </c>
      <c r="J615" s="3">
        <v>20090809</v>
      </c>
      <c r="K615">
        <v>2009</v>
      </c>
      <c r="L615">
        <v>9.1173199999999994</v>
      </c>
      <c r="M615">
        <v>2.21224</v>
      </c>
      <c r="N615">
        <v>11.094010000000001</v>
      </c>
      <c r="O615">
        <v>5.1211399999999996</v>
      </c>
      <c r="P615">
        <v>0.45519999999999999</v>
      </c>
      <c r="Q615">
        <v>0</v>
      </c>
      <c r="R615">
        <v>2.9999999999999997E-4</v>
      </c>
      <c r="S615">
        <v>0</v>
      </c>
      <c r="T615">
        <v>0</v>
      </c>
      <c r="U615">
        <v>0.16853000000000001</v>
      </c>
      <c r="V615">
        <v>28.16874</v>
      </c>
      <c r="W615" t="s">
        <v>11</v>
      </c>
      <c r="X615">
        <v>130.827</v>
      </c>
      <c r="Y615">
        <v>77.447999999999993</v>
      </c>
      <c r="Z615">
        <v>162.428</v>
      </c>
      <c r="AA615">
        <v>113.803</v>
      </c>
      <c r="AB615">
        <v>32.514000000000003</v>
      </c>
      <c r="AC615">
        <v>0</v>
      </c>
      <c r="AD615">
        <v>5.0000000000000001E-3</v>
      </c>
      <c r="AE615">
        <v>0</v>
      </c>
      <c r="AF615">
        <v>0</v>
      </c>
      <c r="AG615">
        <v>7.633</v>
      </c>
      <c r="AH615">
        <v>524.65800000000002</v>
      </c>
      <c r="AI615" t="s">
        <v>23</v>
      </c>
      <c r="AJ615">
        <v>445</v>
      </c>
      <c r="AK615">
        <v>475</v>
      </c>
      <c r="AL615">
        <v>1247.5</v>
      </c>
      <c r="AM615">
        <v>22.5</v>
      </c>
      <c r="AN615">
        <v>97.5</v>
      </c>
      <c r="AO615">
        <v>0</v>
      </c>
      <c r="AP615">
        <v>12.5</v>
      </c>
      <c r="AQ615">
        <v>0</v>
      </c>
      <c r="AR615">
        <v>0</v>
      </c>
      <c r="AS615">
        <v>75</v>
      </c>
      <c r="AT615">
        <v>2375</v>
      </c>
      <c r="AU615" t="s">
        <v>35</v>
      </c>
    </row>
    <row r="616" spans="1:47" x14ac:dyDescent="0.2">
      <c r="A616">
        <v>131</v>
      </c>
      <c r="B616" t="s">
        <v>926</v>
      </c>
      <c r="C616">
        <v>33</v>
      </c>
      <c r="D616" t="s">
        <v>139</v>
      </c>
      <c r="G616" t="str">
        <f t="shared" si="9"/>
        <v>COMIDA0933UTX9</v>
      </c>
      <c r="H616">
        <v>71.568717000000007</v>
      </c>
      <c r="I616">
        <v>-165.76878300000001</v>
      </c>
      <c r="J616" s="3">
        <v>20090807</v>
      </c>
      <c r="K616">
        <v>2009</v>
      </c>
      <c r="L616">
        <v>5.4770899999999996</v>
      </c>
      <c r="M616">
        <v>1.0516799999999999</v>
      </c>
      <c r="N616">
        <v>0.1067</v>
      </c>
      <c r="O616">
        <v>0</v>
      </c>
      <c r="P616">
        <v>0.18529999999999999</v>
      </c>
      <c r="Q616">
        <v>0</v>
      </c>
      <c r="R616">
        <v>4.8999999999999998E-4</v>
      </c>
      <c r="S616">
        <v>0</v>
      </c>
      <c r="T616">
        <v>0</v>
      </c>
      <c r="U616">
        <v>2.6880000000000001E-2</v>
      </c>
      <c r="V616">
        <v>6.8481399999999999</v>
      </c>
      <c r="W616" t="s">
        <v>9</v>
      </c>
      <c r="X616">
        <v>78.84</v>
      </c>
      <c r="Y616">
        <v>43.234000000000002</v>
      </c>
      <c r="Z616">
        <v>1.331</v>
      </c>
      <c r="AA616">
        <v>0</v>
      </c>
      <c r="AB616">
        <v>13.236000000000001</v>
      </c>
      <c r="AC616">
        <v>0</v>
      </c>
      <c r="AD616">
        <v>8.0000000000000002E-3</v>
      </c>
      <c r="AE616">
        <v>0</v>
      </c>
      <c r="AF616">
        <v>0</v>
      </c>
      <c r="AG616">
        <v>1.2170000000000001</v>
      </c>
      <c r="AH616">
        <v>137.86600000000001</v>
      </c>
      <c r="AI616" t="s">
        <v>21</v>
      </c>
      <c r="AJ616">
        <v>465</v>
      </c>
      <c r="AK616">
        <v>975</v>
      </c>
      <c r="AL616">
        <v>115</v>
      </c>
      <c r="AM616">
        <v>0</v>
      </c>
      <c r="AN616">
        <v>5</v>
      </c>
      <c r="AO616">
        <v>0</v>
      </c>
      <c r="AP616">
        <v>20</v>
      </c>
      <c r="AQ616">
        <v>0</v>
      </c>
      <c r="AR616">
        <v>0</v>
      </c>
      <c r="AS616">
        <v>85</v>
      </c>
      <c r="AT616">
        <v>1665</v>
      </c>
      <c r="AU616" t="s">
        <v>34</v>
      </c>
    </row>
    <row r="617" spans="1:47" x14ac:dyDescent="0.2">
      <c r="A617">
        <v>132</v>
      </c>
      <c r="B617" t="s">
        <v>926</v>
      </c>
      <c r="C617">
        <v>37</v>
      </c>
      <c r="D617" t="s">
        <v>140</v>
      </c>
      <c r="G617" t="str">
        <f t="shared" si="9"/>
        <v>COMIDA0937CBL11</v>
      </c>
      <c r="H617">
        <v>72.045732999999998</v>
      </c>
      <c r="I617">
        <v>-166.340067</v>
      </c>
      <c r="J617" s="3">
        <v>20090807</v>
      </c>
      <c r="K617">
        <v>2009</v>
      </c>
      <c r="L617">
        <v>2.6394199999999999</v>
      </c>
      <c r="M617">
        <v>7.6201699999999999</v>
      </c>
      <c r="N617">
        <v>5.5120000000000002E-2</v>
      </c>
      <c r="O617">
        <v>0</v>
      </c>
      <c r="P617">
        <v>0</v>
      </c>
      <c r="Q617">
        <v>0</v>
      </c>
      <c r="R617">
        <v>0</v>
      </c>
      <c r="S617">
        <v>0.17738000000000001</v>
      </c>
      <c r="T617">
        <v>0</v>
      </c>
      <c r="U617">
        <v>2.0899999999999998E-3</v>
      </c>
      <c r="V617">
        <v>10.49418</v>
      </c>
      <c r="W617" t="s">
        <v>10</v>
      </c>
      <c r="X617">
        <v>38.912999999999997</v>
      </c>
      <c r="Y617">
        <v>319.81200000000001</v>
      </c>
      <c r="Z617">
        <v>0.754</v>
      </c>
      <c r="AA617">
        <v>0</v>
      </c>
      <c r="AB617">
        <v>0</v>
      </c>
      <c r="AC617">
        <v>0</v>
      </c>
      <c r="AD617">
        <v>0</v>
      </c>
      <c r="AE617">
        <v>12.67</v>
      </c>
      <c r="AF617">
        <v>0</v>
      </c>
      <c r="AG617">
        <v>7.0999999999999994E-2</v>
      </c>
      <c r="AH617">
        <v>372.22</v>
      </c>
      <c r="AI617" t="s">
        <v>22</v>
      </c>
      <c r="AJ617">
        <v>222.5</v>
      </c>
      <c r="AK617">
        <v>695</v>
      </c>
      <c r="AL617">
        <v>102.5</v>
      </c>
      <c r="AM617">
        <v>0</v>
      </c>
      <c r="AN617">
        <v>2.5</v>
      </c>
      <c r="AO617">
        <v>0</v>
      </c>
      <c r="AP617">
        <v>0</v>
      </c>
      <c r="AQ617">
        <v>2.5</v>
      </c>
      <c r="AR617">
        <v>0</v>
      </c>
      <c r="AS617">
        <v>10</v>
      </c>
      <c r="AT617">
        <v>1035</v>
      </c>
      <c r="AU617" t="s">
        <v>34</v>
      </c>
    </row>
    <row r="618" spans="1:47" x14ac:dyDescent="0.2">
      <c r="A618">
        <v>133</v>
      </c>
      <c r="B618" t="s">
        <v>926</v>
      </c>
      <c r="C618">
        <v>39</v>
      </c>
      <c r="D618" t="s">
        <v>141</v>
      </c>
      <c r="G618" t="str">
        <f t="shared" si="9"/>
        <v>COMIDA0939UTX5</v>
      </c>
      <c r="H618">
        <v>71.701949999999997</v>
      </c>
      <c r="I618">
        <v>-164.51496700000001</v>
      </c>
      <c r="J618" s="3">
        <v>20090809</v>
      </c>
      <c r="K618">
        <v>2009</v>
      </c>
      <c r="L618">
        <v>6.2477400000000003</v>
      </c>
      <c r="M618">
        <v>2.0679599999999998</v>
      </c>
      <c r="N618">
        <v>0.17926</v>
      </c>
      <c r="O618">
        <v>1.2517199999999999</v>
      </c>
      <c r="P618">
        <v>0.30897000000000002</v>
      </c>
      <c r="Q618">
        <v>0</v>
      </c>
      <c r="R618">
        <v>5.5000000000000003E-4</v>
      </c>
      <c r="S618">
        <v>7.1790000000000007E-2</v>
      </c>
      <c r="T618">
        <v>0</v>
      </c>
      <c r="U618">
        <v>0.36908000000000002</v>
      </c>
      <c r="V618">
        <v>10.497070000000001</v>
      </c>
      <c r="W618" t="s">
        <v>9</v>
      </c>
      <c r="X618">
        <v>89.921999999999997</v>
      </c>
      <c r="Y618">
        <v>88.840999999999994</v>
      </c>
      <c r="Z618">
        <v>2.5070000000000001</v>
      </c>
      <c r="AA618">
        <v>27.815999999999999</v>
      </c>
      <c r="AB618">
        <v>22.068999999999999</v>
      </c>
      <c r="AC618">
        <v>0</v>
      </c>
      <c r="AD618">
        <v>8.9999999999999993E-3</v>
      </c>
      <c r="AE618">
        <v>5.1280000000000001</v>
      </c>
      <c r="AF618">
        <v>0</v>
      </c>
      <c r="AG618">
        <v>5.7229999999999999</v>
      </c>
      <c r="AH618">
        <v>242.01499999999999</v>
      </c>
      <c r="AI618" t="s">
        <v>21</v>
      </c>
      <c r="AJ618">
        <v>620</v>
      </c>
      <c r="AK618">
        <v>685</v>
      </c>
      <c r="AL618">
        <v>565</v>
      </c>
      <c r="AM618">
        <v>5</v>
      </c>
      <c r="AN618">
        <v>15</v>
      </c>
      <c r="AO618">
        <v>0</v>
      </c>
      <c r="AP618">
        <v>120</v>
      </c>
      <c r="AQ618">
        <v>5</v>
      </c>
      <c r="AR618">
        <v>0</v>
      </c>
      <c r="AS618">
        <v>95</v>
      </c>
      <c r="AT618">
        <v>2110</v>
      </c>
      <c r="AU618" t="s">
        <v>34</v>
      </c>
    </row>
    <row r="619" spans="1:47" x14ac:dyDescent="0.2">
      <c r="A619">
        <v>134</v>
      </c>
      <c r="B619" t="s">
        <v>926</v>
      </c>
      <c r="C619">
        <v>4</v>
      </c>
      <c r="D619" t="s">
        <v>142</v>
      </c>
      <c r="G619" t="str">
        <f t="shared" si="9"/>
        <v>COMIDA094CBL5</v>
      </c>
      <c r="H619">
        <v>70.023049999999998</v>
      </c>
      <c r="I619">
        <v>-163.761167</v>
      </c>
      <c r="J619" s="3">
        <v>20090728</v>
      </c>
      <c r="K619">
        <v>2009</v>
      </c>
      <c r="L619">
        <v>0.10105</v>
      </c>
      <c r="M619">
        <v>0.74424999999999997</v>
      </c>
      <c r="N619">
        <v>4.863E-2</v>
      </c>
      <c r="O619">
        <v>2.3800000000000002E-3</v>
      </c>
      <c r="P619">
        <v>4.9030500000000004</v>
      </c>
      <c r="Q619">
        <v>7.4209399999999999</v>
      </c>
      <c r="R619">
        <v>0</v>
      </c>
      <c r="S619">
        <v>4.4299999999999999E-3</v>
      </c>
      <c r="T619">
        <v>0</v>
      </c>
      <c r="U619">
        <v>0.39428000000000002</v>
      </c>
      <c r="V619">
        <v>13.619009999999999</v>
      </c>
      <c r="W619" t="s">
        <v>14</v>
      </c>
      <c r="X619">
        <v>1.456</v>
      </c>
      <c r="Y619">
        <v>23.157</v>
      </c>
      <c r="Z619">
        <v>0.67200000000000004</v>
      </c>
      <c r="AA619">
        <v>5.2999999999999999E-2</v>
      </c>
      <c r="AB619">
        <v>350.21800000000002</v>
      </c>
      <c r="AC619">
        <v>927.60599999999999</v>
      </c>
      <c r="AD619">
        <v>0</v>
      </c>
      <c r="AE619">
        <v>0.108</v>
      </c>
      <c r="AF619">
        <v>0</v>
      </c>
      <c r="AG619">
        <v>17.991</v>
      </c>
      <c r="AH619">
        <v>1321.261</v>
      </c>
      <c r="AI619" t="s">
        <v>26</v>
      </c>
      <c r="AJ619">
        <v>410</v>
      </c>
      <c r="AK619">
        <v>872.5</v>
      </c>
      <c r="AL619">
        <v>335</v>
      </c>
      <c r="AM619">
        <v>2.5</v>
      </c>
      <c r="AN619">
        <v>95</v>
      </c>
      <c r="AO619">
        <v>177.5</v>
      </c>
      <c r="AP619">
        <v>0</v>
      </c>
      <c r="AQ619">
        <v>10</v>
      </c>
      <c r="AR619">
        <v>0</v>
      </c>
      <c r="AS619">
        <v>40</v>
      </c>
      <c r="AT619">
        <v>1942.5</v>
      </c>
      <c r="AU619" t="s">
        <v>34</v>
      </c>
    </row>
    <row r="620" spans="1:47" x14ac:dyDescent="0.2">
      <c r="A620">
        <v>135</v>
      </c>
      <c r="B620" t="s">
        <v>926</v>
      </c>
      <c r="C620">
        <v>40</v>
      </c>
      <c r="D620" t="s">
        <v>143</v>
      </c>
      <c r="G620" t="str">
        <f t="shared" si="9"/>
        <v>COMIDA0940UTX8</v>
      </c>
      <c r="H620">
        <v>71.725449999999995</v>
      </c>
      <c r="I620">
        <v>-163.45616699999999</v>
      </c>
      <c r="J620" s="3">
        <v>20090810</v>
      </c>
      <c r="K620">
        <v>2009</v>
      </c>
      <c r="L620">
        <v>3.8406500000000001</v>
      </c>
      <c r="M620">
        <v>6.2211600000000002</v>
      </c>
      <c r="N620">
        <v>0.94469000000000003</v>
      </c>
      <c r="O620">
        <v>1.4398599999999999</v>
      </c>
      <c r="P620">
        <v>0</v>
      </c>
      <c r="Q620">
        <v>0</v>
      </c>
      <c r="R620">
        <v>0.10199</v>
      </c>
      <c r="S620">
        <v>0.32606000000000002</v>
      </c>
      <c r="T620">
        <v>0</v>
      </c>
      <c r="U620">
        <v>0.11496000000000001</v>
      </c>
      <c r="V620">
        <v>12.989369999999999</v>
      </c>
      <c r="W620" t="s">
        <v>10</v>
      </c>
      <c r="X620">
        <v>48.981000000000002</v>
      </c>
      <c r="Y620">
        <v>239.45</v>
      </c>
      <c r="Z620">
        <v>13.653</v>
      </c>
      <c r="AA620">
        <v>31.997</v>
      </c>
      <c r="AB620">
        <v>0</v>
      </c>
      <c r="AC620">
        <v>0</v>
      </c>
      <c r="AD620">
        <v>1.6719999999999999</v>
      </c>
      <c r="AE620">
        <v>23.29</v>
      </c>
      <c r="AF620">
        <v>0</v>
      </c>
      <c r="AG620">
        <v>2.8780000000000001</v>
      </c>
      <c r="AH620">
        <v>361.92099999999999</v>
      </c>
      <c r="AI620" t="s">
        <v>22</v>
      </c>
      <c r="AJ620">
        <v>1015</v>
      </c>
      <c r="AK620">
        <v>390</v>
      </c>
      <c r="AL620">
        <v>285</v>
      </c>
      <c r="AM620">
        <v>55</v>
      </c>
      <c r="AN620">
        <v>0</v>
      </c>
      <c r="AO620">
        <v>0</v>
      </c>
      <c r="AP620">
        <v>5</v>
      </c>
      <c r="AQ620">
        <v>25</v>
      </c>
      <c r="AR620">
        <v>0</v>
      </c>
      <c r="AS620">
        <v>100</v>
      </c>
      <c r="AT620">
        <v>1875</v>
      </c>
      <c r="AU620" t="s">
        <v>33</v>
      </c>
    </row>
    <row r="621" spans="1:47" x14ac:dyDescent="0.2">
      <c r="A621">
        <v>136</v>
      </c>
      <c r="B621" t="s">
        <v>926</v>
      </c>
      <c r="C621">
        <v>43</v>
      </c>
      <c r="D621" t="s">
        <v>144</v>
      </c>
      <c r="G621" t="str">
        <f t="shared" si="9"/>
        <v>COMIDA0943UTX1</v>
      </c>
      <c r="H621">
        <v>72.061700000000002</v>
      </c>
      <c r="I621">
        <v>-164.13059999999999</v>
      </c>
      <c r="J621" s="3">
        <v>20090808</v>
      </c>
      <c r="K621">
        <v>2009</v>
      </c>
      <c r="L621">
        <v>2.46271</v>
      </c>
      <c r="M621">
        <v>2.4757199999999999</v>
      </c>
      <c r="N621">
        <v>0.43398999999999999</v>
      </c>
      <c r="O621">
        <v>0</v>
      </c>
      <c r="P621">
        <v>0</v>
      </c>
      <c r="Q621">
        <v>0</v>
      </c>
      <c r="R621">
        <v>0</v>
      </c>
      <c r="S621">
        <v>0.15121000000000001</v>
      </c>
      <c r="T621">
        <v>0</v>
      </c>
      <c r="U621">
        <v>1.2880000000000001E-2</v>
      </c>
      <c r="V621">
        <v>5.5365099999999998</v>
      </c>
      <c r="W621" t="s">
        <v>10</v>
      </c>
      <c r="X621">
        <v>37.253999999999998</v>
      </c>
      <c r="Y621">
        <v>100.761</v>
      </c>
      <c r="Z621">
        <v>6.298</v>
      </c>
      <c r="AA621">
        <v>0</v>
      </c>
      <c r="AB621">
        <v>0</v>
      </c>
      <c r="AC621">
        <v>0</v>
      </c>
      <c r="AD621">
        <v>0</v>
      </c>
      <c r="AE621">
        <v>3.6880000000000002</v>
      </c>
      <c r="AF621">
        <v>0</v>
      </c>
      <c r="AG621">
        <v>0.60199999999999998</v>
      </c>
      <c r="AH621">
        <v>148.60300000000001</v>
      </c>
      <c r="AI621" t="s">
        <v>22</v>
      </c>
      <c r="AJ621">
        <v>655</v>
      </c>
      <c r="AK621">
        <v>385</v>
      </c>
      <c r="AL621">
        <v>260</v>
      </c>
      <c r="AM621">
        <v>0</v>
      </c>
      <c r="AN621">
        <v>0</v>
      </c>
      <c r="AO621">
        <v>0</v>
      </c>
      <c r="AP621">
        <v>0</v>
      </c>
      <c r="AQ621">
        <v>5</v>
      </c>
      <c r="AR621">
        <v>0</v>
      </c>
      <c r="AS621">
        <v>45</v>
      </c>
      <c r="AT621">
        <v>1350</v>
      </c>
      <c r="AU621" t="s">
        <v>33</v>
      </c>
    </row>
    <row r="622" spans="1:47" x14ac:dyDescent="0.2">
      <c r="A622">
        <v>137</v>
      </c>
      <c r="B622" t="s">
        <v>926</v>
      </c>
      <c r="C622">
        <v>44</v>
      </c>
      <c r="D622" t="s">
        <v>145</v>
      </c>
      <c r="G622" t="str">
        <f t="shared" si="9"/>
        <v>COMIDA0944CBL20</v>
      </c>
      <c r="H622">
        <v>72.403966999999994</v>
      </c>
      <c r="I622">
        <v>-164.958033</v>
      </c>
      <c r="J622" s="3">
        <v>20090808</v>
      </c>
      <c r="K622">
        <v>2009</v>
      </c>
      <c r="L622">
        <v>0.85475000000000001</v>
      </c>
      <c r="M622">
        <v>6.8795200000000003</v>
      </c>
      <c r="N622">
        <v>0.17845</v>
      </c>
      <c r="O622">
        <v>1.4193</v>
      </c>
      <c r="P622">
        <v>6.9999999999999994E-5</v>
      </c>
      <c r="Q622">
        <v>0</v>
      </c>
      <c r="R622">
        <v>0</v>
      </c>
      <c r="S622">
        <v>0</v>
      </c>
      <c r="T622">
        <v>0</v>
      </c>
      <c r="U622">
        <v>1.7239999999999998E-2</v>
      </c>
      <c r="V622">
        <v>9.3493300000000001</v>
      </c>
      <c r="W622" t="s">
        <v>10</v>
      </c>
      <c r="X622">
        <v>11.372999999999999</v>
      </c>
      <c r="Y622">
        <v>163.97900000000001</v>
      </c>
      <c r="Z622">
        <v>2.556</v>
      </c>
      <c r="AA622">
        <v>31.54</v>
      </c>
      <c r="AB622">
        <v>5.0000000000000001E-3</v>
      </c>
      <c r="AC622">
        <v>0</v>
      </c>
      <c r="AD622">
        <v>0</v>
      </c>
      <c r="AE622">
        <v>0</v>
      </c>
      <c r="AF622">
        <v>0</v>
      </c>
      <c r="AG622">
        <v>0.26400000000000001</v>
      </c>
      <c r="AH622">
        <v>209.71700000000001</v>
      </c>
      <c r="AI622" t="s">
        <v>22</v>
      </c>
      <c r="AJ622">
        <v>300</v>
      </c>
      <c r="AK622">
        <v>470</v>
      </c>
      <c r="AL622">
        <v>82.5</v>
      </c>
      <c r="AM622">
        <v>7.5</v>
      </c>
      <c r="AN622">
        <v>5</v>
      </c>
      <c r="AO622">
        <v>0</v>
      </c>
      <c r="AP622">
        <v>0</v>
      </c>
      <c r="AQ622">
        <v>0</v>
      </c>
      <c r="AR622">
        <v>0</v>
      </c>
      <c r="AS622">
        <v>40</v>
      </c>
      <c r="AT622">
        <v>905</v>
      </c>
      <c r="AU622" t="s">
        <v>34</v>
      </c>
    </row>
    <row r="623" spans="1:47" x14ac:dyDescent="0.2">
      <c r="A623">
        <v>138</v>
      </c>
      <c r="B623" t="s">
        <v>926</v>
      </c>
      <c r="C623">
        <v>45</v>
      </c>
      <c r="D623" t="s">
        <v>146</v>
      </c>
      <c r="G623" t="str">
        <f t="shared" si="9"/>
        <v>COMIDA0945CBL19</v>
      </c>
      <c r="H623">
        <v>72.282366999999994</v>
      </c>
      <c r="I623">
        <v>-163.288883</v>
      </c>
      <c r="J623" s="3">
        <v>20090810</v>
      </c>
      <c r="K623">
        <v>2009</v>
      </c>
      <c r="L623">
        <v>1.46746</v>
      </c>
      <c r="M623">
        <v>7.3945800000000004</v>
      </c>
      <c r="N623">
        <v>0.11047</v>
      </c>
      <c r="O623">
        <v>1.2670699999999999</v>
      </c>
      <c r="P623">
        <v>0.18134</v>
      </c>
      <c r="Q623">
        <v>0</v>
      </c>
      <c r="R623">
        <v>0</v>
      </c>
      <c r="S623">
        <v>0.17086000000000001</v>
      </c>
      <c r="T623">
        <v>0</v>
      </c>
      <c r="U623">
        <v>1.6641699999999999</v>
      </c>
      <c r="V623">
        <v>12.25595</v>
      </c>
      <c r="W623" t="s">
        <v>10</v>
      </c>
      <c r="X623">
        <v>18.420000000000002</v>
      </c>
      <c r="Y623">
        <v>210.315</v>
      </c>
      <c r="Z623">
        <v>1.478</v>
      </c>
      <c r="AA623">
        <v>28.157</v>
      </c>
      <c r="AB623">
        <v>12.952999999999999</v>
      </c>
      <c r="AC623">
        <v>0</v>
      </c>
      <c r="AD623">
        <v>0</v>
      </c>
      <c r="AE623">
        <v>12.204000000000001</v>
      </c>
      <c r="AF623">
        <v>0</v>
      </c>
      <c r="AG623">
        <v>19.100000000000001</v>
      </c>
      <c r="AH623">
        <v>302.62700000000001</v>
      </c>
      <c r="AI623" t="s">
        <v>22</v>
      </c>
      <c r="AJ623">
        <v>347.5</v>
      </c>
      <c r="AK623">
        <v>642.5</v>
      </c>
      <c r="AL623">
        <v>85</v>
      </c>
      <c r="AM623">
        <v>5</v>
      </c>
      <c r="AN623">
        <v>2.5</v>
      </c>
      <c r="AO623">
        <v>0</v>
      </c>
      <c r="AP623">
        <v>0</v>
      </c>
      <c r="AQ623">
        <v>2.5</v>
      </c>
      <c r="AR623">
        <v>0</v>
      </c>
      <c r="AS623">
        <v>42.5</v>
      </c>
      <c r="AT623">
        <v>1127.5</v>
      </c>
      <c r="AU623" t="s">
        <v>34</v>
      </c>
    </row>
    <row r="624" spans="1:47" x14ac:dyDescent="0.2">
      <c r="A624">
        <v>139</v>
      </c>
      <c r="B624" t="s">
        <v>926</v>
      </c>
      <c r="C624">
        <v>46</v>
      </c>
      <c r="D624" t="s">
        <v>147</v>
      </c>
      <c r="G624" t="str">
        <f t="shared" si="9"/>
        <v>COMIDA0946CBL18</v>
      </c>
      <c r="H624">
        <v>72.116483000000002</v>
      </c>
      <c r="I624">
        <v>-162.05465000000001</v>
      </c>
      <c r="J624" s="3">
        <v>20090810</v>
      </c>
      <c r="K624">
        <v>2009</v>
      </c>
      <c r="L624">
        <v>0.13578000000000001</v>
      </c>
      <c r="M624">
        <v>0.64807999999999999</v>
      </c>
      <c r="N624">
        <v>0.45123000000000002</v>
      </c>
      <c r="O624">
        <v>0</v>
      </c>
      <c r="P624">
        <v>2.6120000000000001E-2</v>
      </c>
      <c r="Q624">
        <v>0</v>
      </c>
      <c r="R624">
        <v>1.6410000000000001E-2</v>
      </c>
      <c r="S624">
        <v>0.43075000000000002</v>
      </c>
      <c r="T624">
        <v>0</v>
      </c>
      <c r="U624">
        <v>3.39E-2</v>
      </c>
      <c r="V624">
        <v>1.74227</v>
      </c>
      <c r="W624" t="s">
        <v>10</v>
      </c>
      <c r="X624">
        <v>1.702</v>
      </c>
      <c r="Y624">
        <v>30.65</v>
      </c>
      <c r="Z624">
        <v>6.3310000000000004</v>
      </c>
      <c r="AA624">
        <v>0</v>
      </c>
      <c r="AB624">
        <v>1.8660000000000001</v>
      </c>
      <c r="AC624">
        <v>0</v>
      </c>
      <c r="AD624">
        <v>0.26900000000000002</v>
      </c>
      <c r="AE624">
        <v>10.506</v>
      </c>
      <c r="AF624">
        <v>0</v>
      </c>
      <c r="AG624">
        <v>1.343</v>
      </c>
      <c r="AH624">
        <v>52.667000000000002</v>
      </c>
      <c r="AI624" t="s">
        <v>22</v>
      </c>
      <c r="AJ624">
        <v>110</v>
      </c>
      <c r="AK624">
        <v>210</v>
      </c>
      <c r="AL624">
        <v>705</v>
      </c>
      <c r="AM624">
        <v>0</v>
      </c>
      <c r="AN624">
        <v>10</v>
      </c>
      <c r="AO624">
        <v>0</v>
      </c>
      <c r="AP624">
        <v>2.5</v>
      </c>
      <c r="AQ624">
        <v>25</v>
      </c>
      <c r="AR624">
        <v>0</v>
      </c>
      <c r="AS624">
        <v>30</v>
      </c>
      <c r="AT624">
        <v>1092.5</v>
      </c>
      <c r="AU624" t="s">
        <v>35</v>
      </c>
    </row>
    <row r="625" spans="1:47" x14ac:dyDescent="0.2">
      <c r="A625">
        <v>140</v>
      </c>
      <c r="B625" t="s">
        <v>926</v>
      </c>
      <c r="C625">
        <v>47</v>
      </c>
      <c r="D625" t="s">
        <v>148</v>
      </c>
      <c r="G625" t="str">
        <f t="shared" si="9"/>
        <v>COMIDA0947CBL15</v>
      </c>
      <c r="H625">
        <v>71.727367000000001</v>
      </c>
      <c r="I625">
        <v>-160.71828300000001</v>
      </c>
      <c r="J625" s="3">
        <v>20090811</v>
      </c>
      <c r="K625">
        <v>2009</v>
      </c>
      <c r="L625">
        <v>2.5221800000000001</v>
      </c>
      <c r="M625">
        <v>17.115459999999999</v>
      </c>
      <c r="N625">
        <v>0.29431000000000002</v>
      </c>
      <c r="O625">
        <v>0</v>
      </c>
      <c r="P625">
        <v>5.9800000000000001E-3</v>
      </c>
      <c r="Q625">
        <v>0</v>
      </c>
      <c r="R625">
        <v>0.39443</v>
      </c>
      <c r="S625">
        <v>0</v>
      </c>
      <c r="T625">
        <v>0</v>
      </c>
      <c r="U625">
        <v>0.35346</v>
      </c>
      <c r="V625">
        <v>20.68582</v>
      </c>
      <c r="W625" t="s">
        <v>10</v>
      </c>
      <c r="X625">
        <v>38.155999999999999</v>
      </c>
      <c r="Y625">
        <v>564.38</v>
      </c>
      <c r="Z625">
        <v>4.3019999999999996</v>
      </c>
      <c r="AA625">
        <v>0</v>
      </c>
      <c r="AB625">
        <v>0.42699999999999999</v>
      </c>
      <c r="AC625">
        <v>0</v>
      </c>
      <c r="AD625">
        <v>6.4660000000000002</v>
      </c>
      <c r="AE625">
        <v>0</v>
      </c>
      <c r="AF625">
        <v>0</v>
      </c>
      <c r="AG625">
        <v>4.0410000000000004</v>
      </c>
      <c r="AH625">
        <v>617.77200000000005</v>
      </c>
      <c r="AI625" t="s">
        <v>22</v>
      </c>
      <c r="AJ625">
        <v>320</v>
      </c>
      <c r="AK625">
        <v>2362.5</v>
      </c>
      <c r="AL625">
        <v>85</v>
      </c>
      <c r="AM625">
        <v>0</v>
      </c>
      <c r="AN625">
        <v>0</v>
      </c>
      <c r="AO625">
        <v>0</v>
      </c>
      <c r="AP625">
        <v>2.5</v>
      </c>
      <c r="AQ625">
        <v>0</v>
      </c>
      <c r="AR625">
        <v>0</v>
      </c>
      <c r="AS625">
        <v>30</v>
      </c>
      <c r="AT625">
        <v>2800</v>
      </c>
      <c r="AU625" t="s">
        <v>34</v>
      </c>
    </row>
    <row r="626" spans="1:47" x14ac:dyDescent="0.2">
      <c r="A626">
        <v>141</v>
      </c>
      <c r="B626" t="s">
        <v>926</v>
      </c>
      <c r="C626">
        <v>48</v>
      </c>
      <c r="D626" t="s">
        <v>149</v>
      </c>
      <c r="G626" t="str">
        <f t="shared" si="9"/>
        <v>COMIDA0948CBL14</v>
      </c>
      <c r="H626">
        <v>71.376833000000005</v>
      </c>
      <c r="I626">
        <v>-159.46776700000001</v>
      </c>
      <c r="J626" s="3">
        <v>20090811</v>
      </c>
      <c r="K626">
        <v>2009</v>
      </c>
      <c r="L626">
        <v>4.1993600000000004</v>
      </c>
      <c r="M626">
        <v>2.5706899999999999</v>
      </c>
      <c r="N626">
        <v>1.2471300000000001</v>
      </c>
      <c r="O626">
        <v>5.6056499999999998</v>
      </c>
      <c r="P626">
        <v>0.18912999999999999</v>
      </c>
      <c r="Q626">
        <v>0</v>
      </c>
      <c r="R626">
        <v>1.0399999999999999E-3</v>
      </c>
      <c r="S626">
        <v>3.7399999999999998E-3</v>
      </c>
      <c r="T626">
        <v>0</v>
      </c>
      <c r="U626">
        <v>0.46190999999999999</v>
      </c>
      <c r="V626">
        <v>14.278650000000001</v>
      </c>
      <c r="W626" t="s">
        <v>12</v>
      </c>
      <c r="X626">
        <v>60.026000000000003</v>
      </c>
      <c r="Y626">
        <v>92.534000000000006</v>
      </c>
      <c r="Z626">
        <v>18.111000000000001</v>
      </c>
      <c r="AA626">
        <v>124.57</v>
      </c>
      <c r="AB626">
        <v>13.509</v>
      </c>
      <c r="AC626">
        <v>0</v>
      </c>
      <c r="AD626">
        <v>1.7000000000000001E-2</v>
      </c>
      <c r="AE626">
        <v>0.217</v>
      </c>
      <c r="AF626">
        <v>0</v>
      </c>
      <c r="AG626">
        <v>10.132999999999999</v>
      </c>
      <c r="AH626">
        <v>319.11700000000002</v>
      </c>
      <c r="AI626" t="s">
        <v>24</v>
      </c>
      <c r="AJ626">
        <v>1207.5</v>
      </c>
      <c r="AK626">
        <v>362.5</v>
      </c>
      <c r="AL626">
        <v>570</v>
      </c>
      <c r="AM626">
        <v>30</v>
      </c>
      <c r="AN626">
        <v>15</v>
      </c>
      <c r="AO626">
        <v>0</v>
      </c>
      <c r="AP626">
        <v>15</v>
      </c>
      <c r="AQ626">
        <v>7.5</v>
      </c>
      <c r="AR626">
        <v>0</v>
      </c>
      <c r="AS626">
        <v>80</v>
      </c>
      <c r="AT626">
        <v>2287.5</v>
      </c>
      <c r="AU626" t="s">
        <v>33</v>
      </c>
    </row>
    <row r="627" spans="1:47" x14ac:dyDescent="0.2">
      <c r="A627">
        <v>142</v>
      </c>
      <c r="B627" t="s">
        <v>926</v>
      </c>
      <c r="C627">
        <v>5</v>
      </c>
      <c r="D627" t="s">
        <v>150</v>
      </c>
      <c r="G627" t="str">
        <f t="shared" si="9"/>
        <v>COMIDA095CBL6</v>
      </c>
      <c r="H627">
        <v>70.404750000000007</v>
      </c>
      <c r="I627">
        <v>-164.48233300000001</v>
      </c>
      <c r="J627" s="3">
        <v>20090728</v>
      </c>
      <c r="K627">
        <v>2009</v>
      </c>
      <c r="L627">
        <v>5.4219200000000001</v>
      </c>
      <c r="M627">
        <v>0.65200999999999998</v>
      </c>
      <c r="N627">
        <v>0.17152000000000001</v>
      </c>
      <c r="O627">
        <v>1.2505500000000001</v>
      </c>
      <c r="P627">
        <v>8.7200000000000003E-3</v>
      </c>
      <c r="Q627">
        <v>0</v>
      </c>
      <c r="R627">
        <v>0</v>
      </c>
      <c r="S627">
        <v>1.90141</v>
      </c>
      <c r="T627">
        <v>0</v>
      </c>
      <c r="U627">
        <v>7.0480000000000001E-2</v>
      </c>
      <c r="V627">
        <v>9.4766100000000009</v>
      </c>
      <c r="W627" t="s">
        <v>9</v>
      </c>
      <c r="X627">
        <v>79.394999999999996</v>
      </c>
      <c r="Y627">
        <v>18.623999999999999</v>
      </c>
      <c r="Z627">
        <v>2.4620000000000002</v>
      </c>
      <c r="AA627">
        <v>27.79</v>
      </c>
      <c r="AB627">
        <v>0.623</v>
      </c>
      <c r="AC627">
        <v>0</v>
      </c>
      <c r="AD627">
        <v>0</v>
      </c>
      <c r="AE627">
        <v>46.375999999999998</v>
      </c>
      <c r="AF627">
        <v>0</v>
      </c>
      <c r="AG627">
        <v>2.71</v>
      </c>
      <c r="AH627">
        <v>177.98</v>
      </c>
      <c r="AI627" t="s">
        <v>21</v>
      </c>
      <c r="AJ627">
        <v>1037.5</v>
      </c>
      <c r="AK627">
        <v>437.5</v>
      </c>
      <c r="AL627">
        <v>690</v>
      </c>
      <c r="AM627">
        <v>10</v>
      </c>
      <c r="AN627">
        <v>7.5</v>
      </c>
      <c r="AO627">
        <v>0</v>
      </c>
      <c r="AP627">
        <v>0</v>
      </c>
      <c r="AQ627">
        <v>7.5</v>
      </c>
      <c r="AR627">
        <v>0</v>
      </c>
      <c r="AS627">
        <v>55</v>
      </c>
      <c r="AT627">
        <v>2245</v>
      </c>
      <c r="AU627" t="s">
        <v>33</v>
      </c>
    </row>
    <row r="628" spans="1:47" x14ac:dyDescent="0.2">
      <c r="A628">
        <v>143</v>
      </c>
      <c r="B628" t="s">
        <v>926</v>
      </c>
      <c r="C628">
        <v>50</v>
      </c>
      <c r="D628" s="4" t="s">
        <v>375</v>
      </c>
      <c r="E628" s="4" t="s">
        <v>375</v>
      </c>
      <c r="F628" s="4" t="s">
        <v>151</v>
      </c>
      <c r="G628" t="str">
        <f t="shared" si="9"/>
        <v>COMIDA0950BarC5</v>
      </c>
      <c r="H628">
        <v>71.412350000000004</v>
      </c>
      <c r="I628">
        <v>-157.49158299999999</v>
      </c>
      <c r="J628" s="3">
        <v>20090812</v>
      </c>
      <c r="K628">
        <v>2009</v>
      </c>
      <c r="L628">
        <v>11.390409999999999</v>
      </c>
      <c r="M628">
        <v>2.0162</v>
      </c>
      <c r="N628">
        <v>2.3028499999999998</v>
      </c>
      <c r="O628">
        <v>0.11960999999999999</v>
      </c>
      <c r="P628">
        <v>1.3754</v>
      </c>
      <c r="Q628">
        <v>0.11191</v>
      </c>
      <c r="R628">
        <v>16.97654</v>
      </c>
      <c r="S628">
        <v>14.19068</v>
      </c>
      <c r="T628">
        <v>0</v>
      </c>
      <c r="U628">
        <v>10.41147</v>
      </c>
      <c r="V628">
        <v>58.895069999999997</v>
      </c>
      <c r="W628" t="s">
        <v>15</v>
      </c>
      <c r="X628">
        <v>168.26300000000001</v>
      </c>
      <c r="Y628">
        <v>111.648</v>
      </c>
      <c r="Z628">
        <v>29.295000000000002</v>
      </c>
      <c r="AA628">
        <v>2.6579999999999999</v>
      </c>
      <c r="AB628">
        <v>98.242999999999995</v>
      </c>
      <c r="AC628">
        <v>13.989000000000001</v>
      </c>
      <c r="AD628">
        <v>278.30399999999997</v>
      </c>
      <c r="AE628">
        <v>346.11399999999998</v>
      </c>
      <c r="AF628">
        <v>0</v>
      </c>
      <c r="AG628">
        <v>571.56799999999998</v>
      </c>
      <c r="AH628">
        <v>1620.0820000000001</v>
      </c>
      <c r="AI628" t="s">
        <v>30</v>
      </c>
      <c r="AJ628">
        <v>3425</v>
      </c>
      <c r="AK628">
        <v>1830</v>
      </c>
      <c r="AL628">
        <v>10970</v>
      </c>
      <c r="AM628">
        <v>110</v>
      </c>
      <c r="AN628">
        <v>250</v>
      </c>
      <c r="AO628">
        <v>145</v>
      </c>
      <c r="AP628">
        <v>10</v>
      </c>
      <c r="AQ628">
        <v>15</v>
      </c>
      <c r="AR628">
        <v>0</v>
      </c>
      <c r="AS628">
        <v>775</v>
      </c>
      <c r="AT628">
        <v>17530</v>
      </c>
      <c r="AU628" t="s">
        <v>35</v>
      </c>
    </row>
    <row r="629" spans="1:47" x14ac:dyDescent="0.2">
      <c r="A629">
        <v>144</v>
      </c>
      <c r="B629" t="s">
        <v>926</v>
      </c>
      <c r="C629">
        <v>51</v>
      </c>
      <c r="D629" s="4" t="s">
        <v>375</v>
      </c>
      <c r="E629" s="4" t="s">
        <v>375</v>
      </c>
      <c r="F629" s="4" t="s">
        <v>152</v>
      </c>
      <c r="G629" t="str">
        <f t="shared" si="9"/>
        <v>COMIDA0951BarC5</v>
      </c>
      <c r="H629">
        <v>71.413583000000003</v>
      </c>
      <c r="I629">
        <v>-157.491533</v>
      </c>
      <c r="J629" s="3">
        <v>20090816</v>
      </c>
      <c r="K629">
        <v>2009</v>
      </c>
      <c r="L629">
        <v>11.717409999999999</v>
      </c>
      <c r="M629">
        <v>99.663929999999993</v>
      </c>
      <c r="N629">
        <v>1.7741199999999999</v>
      </c>
      <c r="O629">
        <v>131.90009000000001</v>
      </c>
      <c r="P629">
        <v>2.6217700000000002</v>
      </c>
      <c r="Q629">
        <v>0</v>
      </c>
      <c r="R629">
        <v>5.5000000000000003E-4</v>
      </c>
      <c r="S629">
        <v>2.095E-2</v>
      </c>
      <c r="T629">
        <v>0</v>
      </c>
      <c r="U629">
        <v>3.5209700000000002</v>
      </c>
      <c r="V629">
        <v>251.21978999999999</v>
      </c>
      <c r="W629" t="s">
        <v>12</v>
      </c>
      <c r="X629">
        <v>179.167</v>
      </c>
      <c r="Y629">
        <v>3524.7779999999998</v>
      </c>
      <c r="Z629">
        <v>24.303000000000001</v>
      </c>
      <c r="AA629">
        <v>2931.1129999999998</v>
      </c>
      <c r="AB629">
        <v>187.26900000000001</v>
      </c>
      <c r="AC629">
        <v>0</v>
      </c>
      <c r="AD629">
        <v>8.9999999999999993E-3</v>
      </c>
      <c r="AE629">
        <v>1.093</v>
      </c>
      <c r="AF629">
        <v>0</v>
      </c>
      <c r="AG629">
        <v>176.53800000000001</v>
      </c>
      <c r="AH629">
        <v>7024.27</v>
      </c>
      <c r="AI629" t="s">
        <v>22</v>
      </c>
      <c r="AJ629">
        <v>5325</v>
      </c>
      <c r="AK629">
        <v>5815</v>
      </c>
      <c r="AL629">
        <v>7040</v>
      </c>
      <c r="AM629">
        <v>1745</v>
      </c>
      <c r="AN629">
        <v>252.5</v>
      </c>
      <c r="AO629">
        <v>0</v>
      </c>
      <c r="AP629">
        <v>17.5</v>
      </c>
      <c r="AQ629">
        <v>22.5</v>
      </c>
      <c r="AR629">
        <v>0</v>
      </c>
      <c r="AS629">
        <v>155</v>
      </c>
      <c r="AT629">
        <v>20372.5</v>
      </c>
      <c r="AU629" t="s">
        <v>35</v>
      </c>
    </row>
    <row r="630" spans="1:47" x14ac:dyDescent="0.2">
      <c r="A630">
        <v>145</v>
      </c>
      <c r="B630" t="s">
        <v>926</v>
      </c>
      <c r="C630">
        <v>8</v>
      </c>
      <c r="D630" s="4" t="s">
        <v>375</v>
      </c>
      <c r="E630" s="4" t="s">
        <v>375</v>
      </c>
      <c r="F630" s="4" t="s">
        <v>153</v>
      </c>
      <c r="G630" t="str">
        <f t="shared" si="9"/>
        <v>COMIDA098BarC5</v>
      </c>
      <c r="H630">
        <v>70.287216999999998</v>
      </c>
      <c r="I630">
        <v>-167.44348299999999</v>
      </c>
      <c r="J630" s="3">
        <v>20090729</v>
      </c>
      <c r="K630">
        <v>2009</v>
      </c>
      <c r="L630">
        <v>8.1321999999999992</v>
      </c>
      <c r="M630">
        <v>2.62425</v>
      </c>
      <c r="N630">
        <v>0.12714</v>
      </c>
      <c r="O630">
        <v>3.3660000000000002E-2</v>
      </c>
      <c r="P630">
        <v>2.0300000000000001E-3</v>
      </c>
      <c r="Q630">
        <v>0</v>
      </c>
      <c r="R630">
        <v>0.44797999999999999</v>
      </c>
      <c r="S630">
        <v>1.12652</v>
      </c>
      <c r="T630">
        <v>0</v>
      </c>
      <c r="U630">
        <v>1.5813200000000001</v>
      </c>
      <c r="V630">
        <v>14.075100000000001</v>
      </c>
      <c r="W630" t="s">
        <v>9</v>
      </c>
      <c r="X630">
        <v>116.393</v>
      </c>
      <c r="Y630">
        <v>161.31299999999999</v>
      </c>
      <c r="Z630">
        <v>1.7230000000000001</v>
      </c>
      <c r="AA630">
        <v>0.748</v>
      </c>
      <c r="AB630">
        <v>0.14499999999999999</v>
      </c>
      <c r="AC630">
        <v>0</v>
      </c>
      <c r="AD630">
        <v>7.3440000000000003</v>
      </c>
      <c r="AE630">
        <v>52.279000000000003</v>
      </c>
      <c r="AF630">
        <v>0</v>
      </c>
      <c r="AG630">
        <v>116.89400000000001</v>
      </c>
      <c r="AH630">
        <v>456.839</v>
      </c>
      <c r="AI630" t="s">
        <v>22</v>
      </c>
      <c r="AJ630">
        <v>800</v>
      </c>
      <c r="AK630">
        <v>430</v>
      </c>
      <c r="AL630">
        <v>645</v>
      </c>
      <c r="AM630">
        <v>30</v>
      </c>
      <c r="AN630">
        <v>20</v>
      </c>
      <c r="AO630">
        <v>0</v>
      </c>
      <c r="AP630">
        <v>10</v>
      </c>
      <c r="AQ630">
        <v>40</v>
      </c>
      <c r="AR630">
        <v>0</v>
      </c>
      <c r="AS630">
        <v>45</v>
      </c>
      <c r="AT630">
        <v>2020</v>
      </c>
      <c r="AU630" t="s">
        <v>33</v>
      </c>
    </row>
    <row r="631" spans="1:47" x14ac:dyDescent="0.2">
      <c r="A631">
        <v>146</v>
      </c>
      <c r="B631" t="s">
        <v>926</v>
      </c>
      <c r="C631">
        <v>9</v>
      </c>
      <c r="D631" t="s">
        <v>154</v>
      </c>
      <c r="G631" t="str">
        <f t="shared" si="9"/>
        <v>COMIDA099CBL4</v>
      </c>
      <c r="H631">
        <v>70.83135</v>
      </c>
      <c r="I631">
        <v>-167.786733</v>
      </c>
      <c r="J631" s="3">
        <v>20090729</v>
      </c>
      <c r="K631">
        <v>2009</v>
      </c>
      <c r="L631">
        <v>4.4077000000000002</v>
      </c>
      <c r="M631">
        <v>7.0902700000000003</v>
      </c>
      <c r="N631">
        <v>0.41947000000000001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3.3349999999999998E-2</v>
      </c>
      <c r="V631">
        <v>11.95079</v>
      </c>
      <c r="W631" t="s">
        <v>10</v>
      </c>
      <c r="X631">
        <v>66.748000000000005</v>
      </c>
      <c r="Y631">
        <v>203.46100000000001</v>
      </c>
      <c r="Z631">
        <v>5.34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0.80800000000000005</v>
      </c>
      <c r="AH631">
        <v>276.35700000000003</v>
      </c>
      <c r="AI631" t="s">
        <v>22</v>
      </c>
      <c r="AJ631">
        <v>587.5</v>
      </c>
      <c r="AK631">
        <v>610</v>
      </c>
      <c r="AL631">
        <v>282.5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35</v>
      </c>
      <c r="AT631">
        <v>1515</v>
      </c>
      <c r="AU631" t="s">
        <v>34</v>
      </c>
    </row>
    <row r="632" spans="1:47" x14ac:dyDescent="0.2">
      <c r="A632">
        <v>147</v>
      </c>
      <c r="B632" t="s">
        <v>155</v>
      </c>
      <c r="C632">
        <v>8</v>
      </c>
      <c r="D632" t="s">
        <v>153</v>
      </c>
      <c r="G632" t="str">
        <f t="shared" si="9"/>
        <v>COMIDA09_SS8UTX30</v>
      </c>
      <c r="H632">
        <v>70.287216999999998</v>
      </c>
      <c r="I632">
        <v>-167.44348299999999</v>
      </c>
      <c r="J632" s="3">
        <v>20090729</v>
      </c>
      <c r="K632">
        <v>2009</v>
      </c>
      <c r="L632">
        <v>5.5415099999999997</v>
      </c>
      <c r="M632">
        <v>6.2312500000000002</v>
      </c>
      <c r="N632">
        <v>4.7989999999999998E-2</v>
      </c>
      <c r="O632">
        <v>3.2111999999999998</v>
      </c>
      <c r="P632">
        <v>6.8599999999999998E-3</v>
      </c>
      <c r="Q632">
        <v>0</v>
      </c>
      <c r="R632">
        <v>0.84599999999999997</v>
      </c>
      <c r="S632">
        <v>0.11452</v>
      </c>
      <c r="T632">
        <v>8.8299999999999993E-3</v>
      </c>
      <c r="U632">
        <v>0.27982000000000001</v>
      </c>
      <c r="V632">
        <v>16.287980000000001</v>
      </c>
      <c r="W632" t="s">
        <v>10</v>
      </c>
      <c r="X632">
        <v>80.77</v>
      </c>
      <c r="Y632">
        <v>368.02499999999998</v>
      </c>
      <c r="Z632">
        <v>0.69</v>
      </c>
      <c r="AA632">
        <v>71.36</v>
      </c>
      <c r="AB632">
        <v>0.49</v>
      </c>
      <c r="AC632">
        <v>0</v>
      </c>
      <c r="AD632">
        <v>21.15</v>
      </c>
      <c r="AE632">
        <v>8.18</v>
      </c>
      <c r="AF632">
        <v>9.5000000000000001E-2</v>
      </c>
      <c r="AG632">
        <v>11.68</v>
      </c>
      <c r="AH632">
        <v>562.44000000000005</v>
      </c>
      <c r="AI632" t="s">
        <v>22</v>
      </c>
      <c r="AJ632">
        <v>270</v>
      </c>
      <c r="AK632">
        <v>105</v>
      </c>
      <c r="AL632">
        <v>20</v>
      </c>
      <c r="AM632">
        <v>15</v>
      </c>
      <c r="AN632">
        <v>20</v>
      </c>
      <c r="AO632">
        <v>0</v>
      </c>
      <c r="AP632">
        <v>10</v>
      </c>
      <c r="AQ632">
        <v>40</v>
      </c>
      <c r="AR632">
        <v>5</v>
      </c>
      <c r="AS632">
        <v>40</v>
      </c>
      <c r="AT632">
        <v>525</v>
      </c>
      <c r="AU632" t="s">
        <v>33</v>
      </c>
    </row>
    <row r="633" spans="1:47" x14ac:dyDescent="0.2">
      <c r="A633">
        <v>148</v>
      </c>
      <c r="B633" t="s">
        <v>155</v>
      </c>
      <c r="C633">
        <v>13</v>
      </c>
      <c r="D633" t="s">
        <v>127</v>
      </c>
      <c r="G633" t="str">
        <f t="shared" si="9"/>
        <v>COMIDA09_SS13UTX24</v>
      </c>
      <c r="H633">
        <v>70.746717000000004</v>
      </c>
      <c r="I633">
        <v>-164.175567</v>
      </c>
      <c r="J633" s="3">
        <v>20090731</v>
      </c>
      <c r="K633">
        <v>2009</v>
      </c>
      <c r="L633">
        <v>5.8164800000000003</v>
      </c>
      <c r="M633">
        <v>0.62670999999999999</v>
      </c>
      <c r="N633">
        <v>0.16366</v>
      </c>
      <c r="O633">
        <v>2.9199999999999999E-3</v>
      </c>
      <c r="P633">
        <v>5.8100000000000001E-3</v>
      </c>
      <c r="Q633">
        <v>0</v>
      </c>
      <c r="R633">
        <v>0.92720000000000002</v>
      </c>
      <c r="S633">
        <v>0</v>
      </c>
      <c r="T633">
        <v>2.325E-2</v>
      </c>
      <c r="U633">
        <v>5.2519999999999997E-2</v>
      </c>
      <c r="V633">
        <v>7.6185499999999999</v>
      </c>
      <c r="W633" t="s">
        <v>9</v>
      </c>
      <c r="X633">
        <v>84.33</v>
      </c>
      <c r="Y633">
        <v>16.445</v>
      </c>
      <c r="Z633">
        <v>2.395</v>
      </c>
      <c r="AA633">
        <v>6.5000000000000002E-2</v>
      </c>
      <c r="AB633">
        <v>0.41499999999999998</v>
      </c>
      <c r="AC633">
        <v>0</v>
      </c>
      <c r="AD633">
        <v>15.2</v>
      </c>
      <c r="AE633">
        <v>0</v>
      </c>
      <c r="AF633">
        <v>0.25</v>
      </c>
      <c r="AG633">
        <v>1.915</v>
      </c>
      <c r="AH633">
        <v>121.015</v>
      </c>
      <c r="AI633" t="s">
        <v>21</v>
      </c>
      <c r="AJ633">
        <v>260</v>
      </c>
      <c r="AK633">
        <v>90</v>
      </c>
      <c r="AL633">
        <v>35</v>
      </c>
      <c r="AM633">
        <v>5</v>
      </c>
      <c r="AN633">
        <v>5</v>
      </c>
      <c r="AO633">
        <v>0</v>
      </c>
      <c r="AP633">
        <v>5</v>
      </c>
      <c r="AQ633">
        <v>0</v>
      </c>
      <c r="AR633">
        <v>10</v>
      </c>
      <c r="AS633">
        <v>10</v>
      </c>
      <c r="AT633">
        <v>420</v>
      </c>
      <c r="AU633" t="s">
        <v>33</v>
      </c>
    </row>
    <row r="634" spans="1:47" x14ac:dyDescent="0.2">
      <c r="A634">
        <v>149</v>
      </c>
      <c r="B634" t="s">
        <v>155</v>
      </c>
      <c r="C634">
        <v>17</v>
      </c>
      <c r="D634" t="s">
        <v>129</v>
      </c>
      <c r="G634" t="str">
        <f t="shared" si="9"/>
        <v>COMIDA09_SS17UTX20</v>
      </c>
      <c r="H634">
        <v>71.077267000000006</v>
      </c>
      <c r="I634">
        <v>-166.17846700000001</v>
      </c>
      <c r="J634" s="3">
        <v>20090801</v>
      </c>
      <c r="K634">
        <v>2009</v>
      </c>
      <c r="L634">
        <v>0.74553999999999998</v>
      </c>
      <c r="M634">
        <v>1.67438</v>
      </c>
      <c r="N634">
        <v>0.21529000000000001</v>
      </c>
      <c r="O634">
        <v>7.8799999999999999E-3</v>
      </c>
      <c r="P634">
        <v>7.7000000000000002E-3</v>
      </c>
      <c r="Q634">
        <v>0</v>
      </c>
      <c r="R634">
        <v>0</v>
      </c>
      <c r="S634">
        <v>0</v>
      </c>
      <c r="T634">
        <v>2.7899999999999999E-3</v>
      </c>
      <c r="U634">
        <v>1.1235299999999999</v>
      </c>
      <c r="V634">
        <v>3.77711</v>
      </c>
      <c r="W634" t="s">
        <v>10</v>
      </c>
      <c r="X634">
        <v>10.91</v>
      </c>
      <c r="Y634">
        <v>85.64</v>
      </c>
      <c r="Z634">
        <v>3.1549999999999998</v>
      </c>
      <c r="AA634">
        <v>0.17499999999999999</v>
      </c>
      <c r="AB634">
        <v>0.55000000000000004</v>
      </c>
      <c r="AC634">
        <v>0</v>
      </c>
      <c r="AD634">
        <v>0</v>
      </c>
      <c r="AE634">
        <v>0</v>
      </c>
      <c r="AF634">
        <v>0.03</v>
      </c>
      <c r="AG634">
        <v>52.715000000000003</v>
      </c>
      <c r="AH634">
        <v>153.17500000000001</v>
      </c>
      <c r="AI634" t="s">
        <v>22</v>
      </c>
      <c r="AJ634">
        <v>70</v>
      </c>
      <c r="AK634">
        <v>155</v>
      </c>
      <c r="AL634">
        <v>30</v>
      </c>
      <c r="AM634">
        <v>20</v>
      </c>
      <c r="AN634">
        <v>5</v>
      </c>
      <c r="AO634">
        <v>0</v>
      </c>
      <c r="AP634">
        <v>0</v>
      </c>
      <c r="AQ634">
        <v>0</v>
      </c>
      <c r="AR634">
        <v>5</v>
      </c>
      <c r="AS634">
        <v>15</v>
      </c>
      <c r="AT634">
        <v>300</v>
      </c>
      <c r="AU634" t="s">
        <v>34</v>
      </c>
    </row>
    <row r="635" spans="1:47" x14ac:dyDescent="0.2">
      <c r="A635">
        <v>150</v>
      </c>
      <c r="B635" t="s">
        <v>155</v>
      </c>
      <c r="C635">
        <v>25</v>
      </c>
      <c r="D635" t="s">
        <v>132</v>
      </c>
      <c r="G635" t="str">
        <f t="shared" si="9"/>
        <v>COMIDA09_SS25UTX15</v>
      </c>
      <c r="H635">
        <v>71.242482999999993</v>
      </c>
      <c r="I635">
        <v>-163.92195000000001</v>
      </c>
      <c r="J635" s="3">
        <v>20090803</v>
      </c>
      <c r="K635">
        <v>2009</v>
      </c>
      <c r="L635">
        <v>2.9048799999999999</v>
      </c>
      <c r="M635">
        <v>2.6314500000000001</v>
      </c>
      <c r="N635">
        <v>0.11512</v>
      </c>
      <c r="O635">
        <v>1.51762</v>
      </c>
      <c r="P635">
        <v>0.28014</v>
      </c>
      <c r="Q635">
        <v>0</v>
      </c>
      <c r="R635">
        <v>8.8000000000000005E-3</v>
      </c>
      <c r="S635">
        <v>0</v>
      </c>
      <c r="T635">
        <v>0</v>
      </c>
      <c r="U635">
        <v>0.31866</v>
      </c>
      <c r="V635">
        <v>7.7766700000000002</v>
      </c>
      <c r="W635" t="s">
        <v>9</v>
      </c>
      <c r="X635">
        <v>41.045000000000002</v>
      </c>
      <c r="Y635">
        <v>119.815</v>
      </c>
      <c r="Z635">
        <v>1.57</v>
      </c>
      <c r="AA635">
        <v>33.725000000000001</v>
      </c>
      <c r="AB635">
        <v>20.010000000000002</v>
      </c>
      <c r="AC635">
        <v>0</v>
      </c>
      <c r="AD635">
        <v>0.22</v>
      </c>
      <c r="AE635">
        <v>0</v>
      </c>
      <c r="AF635">
        <v>0</v>
      </c>
      <c r="AG635">
        <v>7.1</v>
      </c>
      <c r="AH635">
        <v>223.48500000000001</v>
      </c>
      <c r="AI635" t="s">
        <v>22</v>
      </c>
      <c r="AJ635">
        <v>180</v>
      </c>
      <c r="AK635">
        <v>125</v>
      </c>
      <c r="AL635">
        <v>305</v>
      </c>
      <c r="AM635">
        <v>5</v>
      </c>
      <c r="AN635">
        <v>45</v>
      </c>
      <c r="AO635">
        <v>0</v>
      </c>
      <c r="AP635">
        <v>5</v>
      </c>
      <c r="AQ635">
        <v>0</v>
      </c>
      <c r="AR635">
        <v>0</v>
      </c>
      <c r="AS635">
        <v>25</v>
      </c>
      <c r="AT635">
        <v>690</v>
      </c>
      <c r="AU635" t="s">
        <v>35</v>
      </c>
    </row>
    <row r="636" spans="1:47" x14ac:dyDescent="0.2">
      <c r="A636">
        <v>151</v>
      </c>
      <c r="B636" t="s">
        <v>155</v>
      </c>
      <c r="C636">
        <v>26</v>
      </c>
      <c r="D636" t="s">
        <v>133</v>
      </c>
      <c r="G636" t="str">
        <f t="shared" si="9"/>
        <v>COMIDA09_SS26UTX18</v>
      </c>
      <c r="H636">
        <v>71.077349999999996</v>
      </c>
      <c r="I636">
        <v>-162.55838299999999</v>
      </c>
      <c r="J636" s="3">
        <v>20090804</v>
      </c>
      <c r="K636">
        <v>2009</v>
      </c>
      <c r="L636">
        <v>7.2968700000000002</v>
      </c>
      <c r="M636">
        <v>1.47323</v>
      </c>
      <c r="N636">
        <v>0.14219000000000001</v>
      </c>
      <c r="O636">
        <v>3.7419799999999999</v>
      </c>
      <c r="P636">
        <v>0.57182999999999995</v>
      </c>
      <c r="Q636">
        <v>0</v>
      </c>
      <c r="R636">
        <v>0.18726999999999999</v>
      </c>
      <c r="S636">
        <v>0</v>
      </c>
      <c r="T636">
        <v>3.8589999999999999E-2</v>
      </c>
      <c r="U636">
        <v>6.8000000000000005E-4</v>
      </c>
      <c r="V636">
        <v>13.452640000000001</v>
      </c>
      <c r="W636" t="s">
        <v>9</v>
      </c>
      <c r="X636">
        <v>103.16</v>
      </c>
      <c r="Y636">
        <v>69.394999999999996</v>
      </c>
      <c r="Z636">
        <v>1.885</v>
      </c>
      <c r="AA636">
        <v>83.155000000000001</v>
      </c>
      <c r="AB636">
        <v>40.844999999999999</v>
      </c>
      <c r="AC636">
        <v>0</v>
      </c>
      <c r="AD636">
        <v>3.07</v>
      </c>
      <c r="AE636">
        <v>0</v>
      </c>
      <c r="AF636">
        <v>0.41499999999999998</v>
      </c>
      <c r="AG636">
        <v>1.4999999999999999E-2</v>
      </c>
      <c r="AH636">
        <v>301.94</v>
      </c>
      <c r="AI636" t="s">
        <v>21</v>
      </c>
      <c r="AJ636">
        <v>240</v>
      </c>
      <c r="AK636">
        <v>110</v>
      </c>
      <c r="AL636">
        <v>295</v>
      </c>
      <c r="AM636">
        <v>5</v>
      </c>
      <c r="AN636">
        <v>175</v>
      </c>
      <c r="AO636">
        <v>0</v>
      </c>
      <c r="AP636">
        <v>5</v>
      </c>
      <c r="AQ636">
        <v>0</v>
      </c>
      <c r="AR636">
        <v>10</v>
      </c>
      <c r="AS636">
        <v>5</v>
      </c>
      <c r="AT636">
        <v>845</v>
      </c>
      <c r="AU636" t="s">
        <v>35</v>
      </c>
    </row>
    <row r="637" spans="1:47" x14ac:dyDescent="0.2">
      <c r="A637">
        <v>152</v>
      </c>
      <c r="B637" t="s">
        <v>155</v>
      </c>
      <c r="C637">
        <v>30</v>
      </c>
      <c r="D637" t="s">
        <v>137</v>
      </c>
      <c r="G637" t="str">
        <f t="shared" si="9"/>
        <v>COMIDA09_SS30UTX11</v>
      </c>
      <c r="H637">
        <v>71.453000000000003</v>
      </c>
      <c r="I637">
        <v>-162.61071699999999</v>
      </c>
      <c r="J637" s="3">
        <v>20090811</v>
      </c>
      <c r="K637">
        <v>2009</v>
      </c>
      <c r="L637">
        <v>4.3480299999999996</v>
      </c>
      <c r="M637">
        <v>7.0393600000000003</v>
      </c>
      <c r="N637">
        <v>0.66244000000000003</v>
      </c>
      <c r="O637">
        <v>0.13996</v>
      </c>
      <c r="P637">
        <v>1.06491</v>
      </c>
      <c r="Q637">
        <v>0</v>
      </c>
      <c r="R637">
        <v>0</v>
      </c>
      <c r="S637">
        <v>0</v>
      </c>
      <c r="T637">
        <v>1.2220200000000001</v>
      </c>
      <c r="U637">
        <v>0.80683000000000005</v>
      </c>
      <c r="V637">
        <v>15.28355</v>
      </c>
      <c r="W637" t="s">
        <v>10</v>
      </c>
      <c r="X637">
        <v>61.72</v>
      </c>
      <c r="Y637">
        <v>221.685</v>
      </c>
      <c r="Z637">
        <v>8.0299999999999994</v>
      </c>
      <c r="AA637">
        <v>3.11</v>
      </c>
      <c r="AB637">
        <v>76.064999999999998</v>
      </c>
      <c r="AC637">
        <v>0</v>
      </c>
      <c r="AD637">
        <v>0</v>
      </c>
      <c r="AE637">
        <v>0</v>
      </c>
      <c r="AF637">
        <v>13.14</v>
      </c>
      <c r="AG637">
        <v>18.234999999999999</v>
      </c>
      <c r="AH637">
        <v>401.98500000000001</v>
      </c>
      <c r="AI637" t="s">
        <v>22</v>
      </c>
      <c r="AJ637">
        <v>4655</v>
      </c>
      <c r="AK637">
        <v>425</v>
      </c>
      <c r="AL637">
        <v>700</v>
      </c>
      <c r="AM637">
        <v>10</v>
      </c>
      <c r="AN637">
        <v>95</v>
      </c>
      <c r="AO637">
        <v>0</v>
      </c>
      <c r="AP637">
        <v>0</v>
      </c>
      <c r="AQ637">
        <v>0</v>
      </c>
      <c r="AR637">
        <v>25</v>
      </c>
      <c r="AS637">
        <v>50</v>
      </c>
      <c r="AT637">
        <v>5960</v>
      </c>
      <c r="AU637" t="s">
        <v>33</v>
      </c>
    </row>
    <row r="638" spans="1:47" x14ac:dyDescent="0.2">
      <c r="A638">
        <v>153</v>
      </c>
      <c r="B638" t="s">
        <v>155</v>
      </c>
      <c r="C638">
        <v>33</v>
      </c>
      <c r="D638" t="s">
        <v>139</v>
      </c>
      <c r="G638" t="str">
        <f t="shared" si="9"/>
        <v>COMIDA09_SS33UTX9</v>
      </c>
      <c r="H638">
        <v>71.568717000000007</v>
      </c>
      <c r="I638">
        <v>-165.76878300000001</v>
      </c>
      <c r="J638" s="3">
        <v>20090807</v>
      </c>
      <c r="K638">
        <v>2009</v>
      </c>
      <c r="L638">
        <v>4.8202199999999999</v>
      </c>
      <c r="M638">
        <v>1.5135799999999999</v>
      </c>
      <c r="N638">
        <v>9.4490000000000005E-2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2.232E-2</v>
      </c>
      <c r="U638">
        <v>1.455E-2</v>
      </c>
      <c r="V638">
        <v>6.46516</v>
      </c>
      <c r="W638" t="s">
        <v>9</v>
      </c>
      <c r="X638">
        <v>65.795000000000002</v>
      </c>
      <c r="Y638">
        <v>65.92</v>
      </c>
      <c r="Z638">
        <v>1.365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0.24</v>
      </c>
      <c r="AG638">
        <v>0.31</v>
      </c>
      <c r="AH638">
        <v>133.63</v>
      </c>
      <c r="AI638" t="s">
        <v>22</v>
      </c>
      <c r="AJ638">
        <v>300</v>
      </c>
      <c r="AK638">
        <v>370</v>
      </c>
      <c r="AL638">
        <v>30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5</v>
      </c>
      <c r="AS638">
        <v>25</v>
      </c>
      <c r="AT638">
        <v>730</v>
      </c>
      <c r="AU638" t="s">
        <v>34</v>
      </c>
    </row>
    <row r="639" spans="1:47" x14ac:dyDescent="0.2">
      <c r="A639">
        <v>154</v>
      </c>
      <c r="B639" t="s">
        <v>155</v>
      </c>
      <c r="C639">
        <v>39</v>
      </c>
      <c r="D639" t="s">
        <v>141</v>
      </c>
      <c r="G639" t="str">
        <f t="shared" si="9"/>
        <v>COMIDA09_SS39UTX5</v>
      </c>
      <c r="H639">
        <v>71.701949999999997</v>
      </c>
      <c r="I639">
        <v>-164.51496700000001</v>
      </c>
      <c r="J639" s="3">
        <v>20090809</v>
      </c>
      <c r="K639">
        <v>2009</v>
      </c>
      <c r="L639">
        <v>2.93222</v>
      </c>
      <c r="M639">
        <v>2.6873200000000002</v>
      </c>
      <c r="N639">
        <v>0.26357999999999998</v>
      </c>
      <c r="O639">
        <v>0</v>
      </c>
      <c r="P639">
        <v>0.28111999999999998</v>
      </c>
      <c r="Q639">
        <v>0</v>
      </c>
      <c r="R639">
        <v>0.13389000000000001</v>
      </c>
      <c r="S639">
        <v>0</v>
      </c>
      <c r="T639">
        <v>0.22785</v>
      </c>
      <c r="U639">
        <v>9.1990000000000002E-2</v>
      </c>
      <c r="V639">
        <v>6.6179699999999997</v>
      </c>
      <c r="W639" t="s">
        <v>9</v>
      </c>
      <c r="X639">
        <v>42.125</v>
      </c>
      <c r="Y639">
        <v>119.11499999999999</v>
      </c>
      <c r="Z639">
        <v>3.7949999999999999</v>
      </c>
      <c r="AA639">
        <v>0</v>
      </c>
      <c r="AB639">
        <v>20.079999999999998</v>
      </c>
      <c r="AC639">
        <v>0</v>
      </c>
      <c r="AD639">
        <v>2.1949999999999998</v>
      </c>
      <c r="AE639">
        <v>0</v>
      </c>
      <c r="AF639">
        <v>2.4500000000000002</v>
      </c>
      <c r="AG639">
        <v>2.9550000000000001</v>
      </c>
      <c r="AH639">
        <v>192.715</v>
      </c>
      <c r="AI639" t="s">
        <v>22</v>
      </c>
      <c r="AJ639">
        <v>490</v>
      </c>
      <c r="AK639">
        <v>160</v>
      </c>
      <c r="AL639">
        <v>315</v>
      </c>
      <c r="AM639">
        <v>0</v>
      </c>
      <c r="AN639">
        <v>10</v>
      </c>
      <c r="AO639">
        <v>0</v>
      </c>
      <c r="AP639">
        <v>5</v>
      </c>
      <c r="AQ639">
        <v>0</v>
      </c>
      <c r="AR639">
        <v>20</v>
      </c>
      <c r="AS639">
        <v>30</v>
      </c>
      <c r="AT639">
        <v>1030</v>
      </c>
      <c r="AU639" t="s">
        <v>33</v>
      </c>
    </row>
    <row r="640" spans="1:47" x14ac:dyDescent="0.2">
      <c r="A640">
        <v>155</v>
      </c>
      <c r="B640" t="s">
        <v>155</v>
      </c>
      <c r="C640">
        <v>40</v>
      </c>
      <c r="D640" t="s">
        <v>143</v>
      </c>
      <c r="G640" t="str">
        <f t="shared" si="9"/>
        <v>COMIDA09_SS40UTX8</v>
      </c>
      <c r="H640">
        <v>71.725449999999995</v>
      </c>
      <c r="I640">
        <v>-163.45616699999999</v>
      </c>
      <c r="J640" s="3">
        <v>20090810</v>
      </c>
      <c r="K640">
        <v>2009</v>
      </c>
      <c r="L640">
        <v>1.1709499999999999</v>
      </c>
      <c r="M640">
        <v>11.590870000000001</v>
      </c>
      <c r="N640">
        <v>0.69616999999999996</v>
      </c>
      <c r="O640">
        <v>8.5949999999999999E-2</v>
      </c>
      <c r="P640">
        <v>0</v>
      </c>
      <c r="Q640">
        <v>0</v>
      </c>
      <c r="R640">
        <v>0.10979999999999999</v>
      </c>
      <c r="S640">
        <v>0</v>
      </c>
      <c r="T640">
        <v>1.116E-2</v>
      </c>
      <c r="U640">
        <v>3.3300000000000003E-2</v>
      </c>
      <c r="V640">
        <v>13.6982</v>
      </c>
      <c r="W640" t="s">
        <v>10</v>
      </c>
      <c r="X640">
        <v>16.829999999999998</v>
      </c>
      <c r="Y640">
        <v>351.14</v>
      </c>
      <c r="Z640">
        <v>10.16</v>
      </c>
      <c r="AA640">
        <v>1.91</v>
      </c>
      <c r="AB640">
        <v>0</v>
      </c>
      <c r="AC640">
        <v>0</v>
      </c>
      <c r="AD640">
        <v>1.8</v>
      </c>
      <c r="AE640">
        <v>0</v>
      </c>
      <c r="AF640">
        <v>0.12</v>
      </c>
      <c r="AG640">
        <v>0.74</v>
      </c>
      <c r="AH640">
        <v>382.7</v>
      </c>
      <c r="AI640" t="s">
        <v>22</v>
      </c>
      <c r="AJ640">
        <v>565</v>
      </c>
      <c r="AK640">
        <v>665</v>
      </c>
      <c r="AL640">
        <v>110</v>
      </c>
      <c r="AM640">
        <v>35</v>
      </c>
      <c r="AN640">
        <v>0</v>
      </c>
      <c r="AO640">
        <v>0</v>
      </c>
      <c r="AP640">
        <v>5</v>
      </c>
      <c r="AQ640">
        <v>0</v>
      </c>
      <c r="AR640">
        <v>15</v>
      </c>
      <c r="AS640">
        <v>15</v>
      </c>
      <c r="AT640">
        <v>1410</v>
      </c>
      <c r="AU640" t="s">
        <v>34</v>
      </c>
    </row>
    <row r="641" spans="1:47" x14ac:dyDescent="0.2">
      <c r="A641">
        <v>156</v>
      </c>
      <c r="B641" t="s">
        <v>155</v>
      </c>
      <c r="C641">
        <v>43</v>
      </c>
      <c r="D641" t="s">
        <v>144</v>
      </c>
      <c r="G641" t="str">
        <f t="shared" si="9"/>
        <v>COMIDA09_SS43UTX1</v>
      </c>
      <c r="H641">
        <v>72.061700000000002</v>
      </c>
      <c r="I641">
        <v>-164.13059999999999</v>
      </c>
      <c r="J641" s="3">
        <v>20090808</v>
      </c>
      <c r="K641">
        <v>2009</v>
      </c>
      <c r="L641">
        <v>5.2210200000000002</v>
      </c>
      <c r="M641">
        <v>6.6676599999999997</v>
      </c>
      <c r="N641">
        <v>0.47974</v>
      </c>
      <c r="O641">
        <v>3.1511300000000002</v>
      </c>
      <c r="P641">
        <v>0</v>
      </c>
      <c r="Q641">
        <v>0</v>
      </c>
      <c r="R641">
        <v>0.41449999999999998</v>
      </c>
      <c r="S641">
        <v>0.12767999999999999</v>
      </c>
      <c r="T641">
        <v>2.33E-3</v>
      </c>
      <c r="U641">
        <v>0</v>
      </c>
      <c r="V641">
        <v>16.064060000000001</v>
      </c>
      <c r="W641" t="s">
        <v>10</v>
      </c>
      <c r="X641">
        <v>72.69</v>
      </c>
      <c r="Y641">
        <v>415.91</v>
      </c>
      <c r="Z641">
        <v>7.0549999999999997</v>
      </c>
      <c r="AA641">
        <v>70.025000000000006</v>
      </c>
      <c r="AB641">
        <v>0</v>
      </c>
      <c r="AC641">
        <v>0</v>
      </c>
      <c r="AD641">
        <v>6.7949999999999999</v>
      </c>
      <c r="AE641">
        <v>9.1199999999999992</v>
      </c>
      <c r="AF641">
        <v>2.5000000000000001E-2</v>
      </c>
      <c r="AG641">
        <v>0</v>
      </c>
      <c r="AH641">
        <v>581.62</v>
      </c>
      <c r="AI641" t="s">
        <v>22</v>
      </c>
      <c r="AJ641">
        <v>240</v>
      </c>
      <c r="AK641">
        <v>170</v>
      </c>
      <c r="AL641">
        <v>120</v>
      </c>
      <c r="AM641">
        <v>5</v>
      </c>
      <c r="AN641">
        <v>0</v>
      </c>
      <c r="AO641">
        <v>0</v>
      </c>
      <c r="AP641">
        <v>5</v>
      </c>
      <c r="AQ641">
        <v>5</v>
      </c>
      <c r="AR641">
        <v>5</v>
      </c>
      <c r="AS641">
        <v>0</v>
      </c>
      <c r="AT641">
        <v>550</v>
      </c>
      <c r="AU641" t="s">
        <v>33</v>
      </c>
    </row>
    <row r="642" spans="1:47" x14ac:dyDescent="0.2">
      <c r="A642">
        <v>488</v>
      </c>
      <c r="B642" t="s">
        <v>340</v>
      </c>
      <c r="C642">
        <v>1</v>
      </c>
      <c r="D642" s="4" t="s">
        <v>551</v>
      </c>
      <c r="E642" s="4" t="s">
        <v>551</v>
      </c>
      <c r="F642" s="4" t="s">
        <v>268</v>
      </c>
      <c r="G642" t="str">
        <f t="shared" si="9"/>
        <v>HLY09011SLIP1</v>
      </c>
      <c r="H642">
        <v>62.016333000000003</v>
      </c>
      <c r="I642">
        <v>-175.071</v>
      </c>
      <c r="J642" s="3">
        <v>20090314</v>
      </c>
      <c r="K642">
        <v>2009</v>
      </c>
      <c r="L642">
        <v>6.3781100000000004</v>
      </c>
      <c r="M642">
        <v>6.6681100000000004</v>
      </c>
      <c r="N642">
        <v>8.5739999999999997E-2</v>
      </c>
      <c r="O642">
        <v>0.14552999999999999</v>
      </c>
      <c r="P642">
        <v>0.71796000000000004</v>
      </c>
      <c r="Q642">
        <v>0</v>
      </c>
      <c r="R642">
        <v>0</v>
      </c>
      <c r="S642">
        <v>4.1309999999999999E-2</v>
      </c>
      <c r="T642">
        <v>0.45485999999999999</v>
      </c>
      <c r="U642">
        <v>5.0990000000000001E-2</v>
      </c>
      <c r="V642">
        <v>14.54261</v>
      </c>
      <c r="W642" t="s">
        <v>10</v>
      </c>
      <c r="X642">
        <v>91.180999999999997</v>
      </c>
      <c r="Y642">
        <v>195.89500000000001</v>
      </c>
      <c r="Z642">
        <v>1.089</v>
      </c>
      <c r="AA642">
        <v>3.234</v>
      </c>
      <c r="AB642">
        <v>51.283000000000001</v>
      </c>
      <c r="AC642">
        <v>0</v>
      </c>
      <c r="AD642">
        <v>0</v>
      </c>
      <c r="AE642">
        <v>2.9510000000000001</v>
      </c>
      <c r="AF642">
        <v>4.891</v>
      </c>
      <c r="AG642">
        <v>1</v>
      </c>
      <c r="AH642">
        <v>351.524</v>
      </c>
      <c r="AI642" t="s">
        <v>22</v>
      </c>
      <c r="AJ642">
        <v>1007.5</v>
      </c>
      <c r="AK642">
        <v>312.5</v>
      </c>
      <c r="AL642">
        <v>200</v>
      </c>
      <c r="AM642">
        <v>77.5</v>
      </c>
      <c r="AN642">
        <v>327.5</v>
      </c>
      <c r="AO642">
        <v>0</v>
      </c>
      <c r="AP642">
        <v>0</v>
      </c>
      <c r="AQ642">
        <v>7.5</v>
      </c>
      <c r="AR642">
        <v>2.5</v>
      </c>
      <c r="AS642">
        <v>22.5</v>
      </c>
      <c r="AT642">
        <v>1957.5</v>
      </c>
      <c r="AU642" t="s">
        <v>33</v>
      </c>
    </row>
    <row r="643" spans="1:47" x14ac:dyDescent="0.2">
      <c r="A643">
        <v>489</v>
      </c>
      <c r="B643" t="s">
        <v>340</v>
      </c>
      <c r="C643">
        <v>10</v>
      </c>
      <c r="D643" t="s">
        <v>259</v>
      </c>
      <c r="G643" t="str">
        <f t="shared" ref="G643:G706" si="10">CONCATENATE(B643,C643,D643)</f>
        <v>HLY090110SIL2</v>
      </c>
      <c r="H643">
        <v>62.761499999999998</v>
      </c>
      <c r="I643">
        <v>-171.65433300000001</v>
      </c>
      <c r="J643" s="3">
        <v>20090319</v>
      </c>
      <c r="K643">
        <v>2009</v>
      </c>
      <c r="L643">
        <v>1.9251100000000001</v>
      </c>
      <c r="M643">
        <v>9.3855299999999993</v>
      </c>
      <c r="N643">
        <v>9.9860000000000004E-2</v>
      </c>
      <c r="O643">
        <v>0</v>
      </c>
      <c r="P643">
        <v>0</v>
      </c>
      <c r="Q643">
        <v>0</v>
      </c>
      <c r="R643">
        <v>2.9999999999999997E-4</v>
      </c>
      <c r="S643">
        <v>1.99885</v>
      </c>
      <c r="T643">
        <v>5.8779999999999999E-2</v>
      </c>
      <c r="U643">
        <v>1.65E-3</v>
      </c>
      <c r="V643">
        <v>13.470079999999999</v>
      </c>
      <c r="W643" t="s">
        <v>10</v>
      </c>
      <c r="X643">
        <v>31.678000000000001</v>
      </c>
      <c r="Y643">
        <v>240.85400000000001</v>
      </c>
      <c r="Z643">
        <v>1.3120000000000001</v>
      </c>
      <c r="AA643">
        <v>0</v>
      </c>
      <c r="AB643">
        <v>0</v>
      </c>
      <c r="AC643">
        <v>0</v>
      </c>
      <c r="AD643">
        <v>5.0000000000000001E-3</v>
      </c>
      <c r="AE643">
        <v>142.77500000000001</v>
      </c>
      <c r="AF643">
        <v>0.63200000000000001</v>
      </c>
      <c r="AG643">
        <v>8.5999999999999993E-2</v>
      </c>
      <c r="AH643">
        <v>417.34199999999998</v>
      </c>
      <c r="AI643" t="s">
        <v>22</v>
      </c>
      <c r="AJ643">
        <v>1767.5</v>
      </c>
      <c r="AK643">
        <v>872.5</v>
      </c>
      <c r="AL643">
        <v>770</v>
      </c>
      <c r="AM643">
        <v>0</v>
      </c>
      <c r="AN643">
        <v>0</v>
      </c>
      <c r="AO643">
        <v>0</v>
      </c>
      <c r="AP643">
        <v>0</v>
      </c>
      <c r="AQ643">
        <v>150</v>
      </c>
      <c r="AR643">
        <v>22.5</v>
      </c>
      <c r="AS643">
        <v>12.5</v>
      </c>
      <c r="AT643">
        <v>3595</v>
      </c>
      <c r="AU643" t="s">
        <v>33</v>
      </c>
    </row>
    <row r="644" spans="1:47" x14ac:dyDescent="0.2">
      <c r="A644">
        <v>490</v>
      </c>
      <c r="B644" t="s">
        <v>340</v>
      </c>
      <c r="C644">
        <v>11</v>
      </c>
      <c r="D644" t="s">
        <v>258</v>
      </c>
      <c r="G644" t="str">
        <f t="shared" si="10"/>
        <v>HLY090111SEC2</v>
      </c>
      <c r="H644">
        <v>62.589666999999999</v>
      </c>
      <c r="I644">
        <v>-170.96199999999999</v>
      </c>
      <c r="J644" s="3">
        <v>20090320</v>
      </c>
      <c r="K644">
        <v>2009</v>
      </c>
      <c r="L644">
        <v>0.88285999999999998</v>
      </c>
      <c r="M644">
        <v>1.1262300000000001</v>
      </c>
      <c r="N644">
        <v>0.13048999999999999</v>
      </c>
      <c r="O644">
        <v>0</v>
      </c>
      <c r="P644">
        <v>0</v>
      </c>
      <c r="Q644">
        <v>0</v>
      </c>
      <c r="R644">
        <v>2.4000000000000001E-4</v>
      </c>
      <c r="S644">
        <v>1.13754</v>
      </c>
      <c r="T644">
        <v>1.9000000000000001E-4</v>
      </c>
      <c r="U644">
        <v>7.3779999999999998E-2</v>
      </c>
      <c r="V644">
        <v>3.3513299999999999</v>
      </c>
      <c r="W644" t="s">
        <v>16</v>
      </c>
      <c r="X644">
        <v>12.773</v>
      </c>
      <c r="Y644">
        <v>39.777999999999999</v>
      </c>
      <c r="Z644">
        <v>1.83</v>
      </c>
      <c r="AA644">
        <v>0</v>
      </c>
      <c r="AB644">
        <v>0</v>
      </c>
      <c r="AC644">
        <v>0</v>
      </c>
      <c r="AD644">
        <v>4.0000000000000001E-3</v>
      </c>
      <c r="AE644">
        <v>81.253</v>
      </c>
      <c r="AF644">
        <v>2E-3</v>
      </c>
      <c r="AG644">
        <v>1.3620000000000001</v>
      </c>
      <c r="AH644">
        <v>137.00200000000001</v>
      </c>
      <c r="AI644" t="s">
        <v>28</v>
      </c>
      <c r="AJ644">
        <v>902.5</v>
      </c>
      <c r="AK644">
        <v>692.5</v>
      </c>
      <c r="AL644">
        <v>1830</v>
      </c>
      <c r="AM644">
        <v>0</v>
      </c>
      <c r="AN644">
        <v>0</v>
      </c>
      <c r="AO644">
        <v>0</v>
      </c>
      <c r="AP644">
        <v>0</v>
      </c>
      <c r="AQ644">
        <v>102.5</v>
      </c>
      <c r="AR644">
        <v>2.5</v>
      </c>
      <c r="AS644">
        <v>52.5</v>
      </c>
      <c r="AT644">
        <v>3582.5</v>
      </c>
      <c r="AU644" t="s">
        <v>35</v>
      </c>
    </row>
    <row r="645" spans="1:47" x14ac:dyDescent="0.2">
      <c r="A645">
        <v>491</v>
      </c>
      <c r="B645" t="s">
        <v>340</v>
      </c>
      <c r="C645">
        <v>12</v>
      </c>
      <c r="D645" t="s">
        <v>341</v>
      </c>
      <c r="G645" t="str">
        <f t="shared" si="10"/>
        <v>HLY090112CD2</v>
      </c>
      <c r="H645">
        <v>62.529667000000003</v>
      </c>
      <c r="I645">
        <v>-172.1215</v>
      </c>
      <c r="J645" s="3">
        <v>20090320</v>
      </c>
      <c r="K645">
        <v>2009</v>
      </c>
      <c r="L645">
        <v>4.1248100000000001</v>
      </c>
      <c r="M645">
        <v>1.6913899999999999</v>
      </c>
      <c r="N645">
        <v>1.0810200000000001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0.15382000000000001</v>
      </c>
      <c r="U645">
        <v>0.12867999999999999</v>
      </c>
      <c r="V645">
        <v>7.1797199999999997</v>
      </c>
      <c r="W645" t="s">
        <v>9</v>
      </c>
      <c r="X645">
        <v>57.628999999999998</v>
      </c>
      <c r="Y645">
        <v>46.762</v>
      </c>
      <c r="Z645">
        <v>15.646000000000001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1.6539999999999999</v>
      </c>
      <c r="AG645">
        <v>2.234</v>
      </c>
      <c r="AH645">
        <v>123.925</v>
      </c>
      <c r="AI645" t="s">
        <v>21</v>
      </c>
      <c r="AJ645">
        <v>3432.5</v>
      </c>
      <c r="AK645">
        <v>2132.5</v>
      </c>
      <c r="AL645">
        <v>4492.5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47.5</v>
      </c>
      <c r="AS645">
        <v>170</v>
      </c>
      <c r="AT645">
        <v>10275</v>
      </c>
      <c r="AU645" t="s">
        <v>35</v>
      </c>
    </row>
    <row r="646" spans="1:47" x14ac:dyDescent="0.2">
      <c r="A646">
        <v>492</v>
      </c>
      <c r="B646" t="s">
        <v>340</v>
      </c>
      <c r="C646">
        <v>13</v>
      </c>
      <c r="D646" t="s">
        <v>342</v>
      </c>
      <c r="G646" t="str">
        <f t="shared" si="10"/>
        <v>HLY090113SEC1.5</v>
      </c>
      <c r="H646">
        <v>62.811500000000002</v>
      </c>
      <c r="I646">
        <v>-170.644667</v>
      </c>
      <c r="J646" s="3">
        <v>20090321</v>
      </c>
      <c r="K646">
        <v>2009</v>
      </c>
      <c r="L646">
        <v>0.88997000000000004</v>
      </c>
      <c r="M646">
        <v>3.0169999999999999</v>
      </c>
      <c r="N646">
        <v>0.62751999999999997</v>
      </c>
      <c r="O646">
        <v>0</v>
      </c>
      <c r="P646">
        <v>2.3390000000000001E-2</v>
      </c>
      <c r="Q646">
        <v>0</v>
      </c>
      <c r="R646">
        <v>2.8700000000000002E-3</v>
      </c>
      <c r="S646">
        <v>8.7999999999999995E-2</v>
      </c>
      <c r="T646">
        <v>2.7899999999999999E-3</v>
      </c>
      <c r="U646">
        <v>0.11154</v>
      </c>
      <c r="V646">
        <v>4.7630800000000004</v>
      </c>
      <c r="W646" t="s">
        <v>10</v>
      </c>
      <c r="X646">
        <v>13.518000000000001</v>
      </c>
      <c r="Y646">
        <v>83.733999999999995</v>
      </c>
      <c r="Z646">
        <v>8.9420000000000002</v>
      </c>
      <c r="AA646">
        <v>0</v>
      </c>
      <c r="AB646">
        <v>1.671</v>
      </c>
      <c r="AC646">
        <v>0</v>
      </c>
      <c r="AD646">
        <v>4.7E-2</v>
      </c>
      <c r="AE646">
        <v>5.157</v>
      </c>
      <c r="AF646">
        <v>0.03</v>
      </c>
      <c r="AG646">
        <v>11.103</v>
      </c>
      <c r="AH646">
        <v>124.202</v>
      </c>
      <c r="AI646" t="s">
        <v>22</v>
      </c>
      <c r="AJ646">
        <v>2200</v>
      </c>
      <c r="AK646">
        <v>1135</v>
      </c>
      <c r="AL646">
        <v>12535</v>
      </c>
      <c r="AM646">
        <v>0</v>
      </c>
      <c r="AN646">
        <v>2.5</v>
      </c>
      <c r="AO646">
        <v>0</v>
      </c>
      <c r="AP646">
        <v>0</v>
      </c>
      <c r="AQ646">
        <v>12.5</v>
      </c>
      <c r="AR646">
        <v>5</v>
      </c>
      <c r="AS646">
        <v>2.5</v>
      </c>
      <c r="AT646">
        <v>15892.5</v>
      </c>
      <c r="AU646" t="s">
        <v>35</v>
      </c>
    </row>
    <row r="647" spans="1:47" x14ac:dyDescent="0.2">
      <c r="A647">
        <v>493</v>
      </c>
      <c r="B647" t="s">
        <v>340</v>
      </c>
      <c r="C647">
        <v>14</v>
      </c>
      <c r="D647" t="s">
        <v>305</v>
      </c>
      <c r="G647" t="str">
        <f t="shared" si="10"/>
        <v>HLY090114NEC1</v>
      </c>
      <c r="H647">
        <v>62.757666999999998</v>
      </c>
      <c r="I647">
        <v>-169.58616699999999</v>
      </c>
      <c r="J647" s="3">
        <v>20090321</v>
      </c>
      <c r="K647">
        <v>2009</v>
      </c>
      <c r="L647">
        <v>2.2491400000000001</v>
      </c>
      <c r="M647">
        <v>7.36226</v>
      </c>
      <c r="N647">
        <v>0.18151</v>
      </c>
      <c r="O647">
        <v>0</v>
      </c>
      <c r="P647">
        <v>0</v>
      </c>
      <c r="Q647">
        <v>0</v>
      </c>
      <c r="R647">
        <v>4.3299999999999996E-3</v>
      </c>
      <c r="S647">
        <v>1.5510900000000001</v>
      </c>
      <c r="T647">
        <v>1.9810000000000001E-2</v>
      </c>
      <c r="U647">
        <v>5.4120000000000001E-2</v>
      </c>
      <c r="V647">
        <v>11.42226</v>
      </c>
      <c r="W647" t="s">
        <v>10</v>
      </c>
      <c r="X647">
        <v>32.543999999999997</v>
      </c>
      <c r="Y647">
        <v>214.191</v>
      </c>
      <c r="Z647">
        <v>2.5019999999999998</v>
      </c>
      <c r="AA647">
        <v>0</v>
      </c>
      <c r="AB647">
        <v>0</v>
      </c>
      <c r="AC647">
        <v>0</v>
      </c>
      <c r="AD647">
        <v>7.0999999999999994E-2</v>
      </c>
      <c r="AE647">
        <v>110.792</v>
      </c>
      <c r="AF647">
        <v>0.21299999999999999</v>
      </c>
      <c r="AG647">
        <v>2.5219999999999998</v>
      </c>
      <c r="AH647">
        <v>362.83499999999998</v>
      </c>
      <c r="AI647" t="s">
        <v>22</v>
      </c>
      <c r="AJ647">
        <v>1135</v>
      </c>
      <c r="AK647">
        <v>817.5</v>
      </c>
      <c r="AL647">
        <v>1825</v>
      </c>
      <c r="AM647">
        <v>0</v>
      </c>
      <c r="AN647">
        <v>0</v>
      </c>
      <c r="AO647">
        <v>0</v>
      </c>
      <c r="AP647">
        <v>0</v>
      </c>
      <c r="AQ647">
        <v>200</v>
      </c>
      <c r="AR647">
        <v>100</v>
      </c>
      <c r="AS647">
        <v>15</v>
      </c>
      <c r="AT647">
        <v>4092.5</v>
      </c>
      <c r="AU647" t="s">
        <v>35</v>
      </c>
    </row>
    <row r="648" spans="1:47" x14ac:dyDescent="0.2">
      <c r="A648">
        <v>494</v>
      </c>
      <c r="B648" t="s">
        <v>340</v>
      </c>
      <c r="C648">
        <v>15</v>
      </c>
      <c r="D648" t="s">
        <v>306</v>
      </c>
      <c r="G648" t="str">
        <f t="shared" si="10"/>
        <v>HLY090115UTN5=SEC1</v>
      </c>
      <c r="H648">
        <v>62.986333000000002</v>
      </c>
      <c r="I648">
        <v>-170.266167</v>
      </c>
      <c r="J648" s="3">
        <v>20090321</v>
      </c>
      <c r="K648">
        <v>2009</v>
      </c>
      <c r="L648">
        <v>0.72253999999999996</v>
      </c>
      <c r="M648">
        <v>3.57341</v>
      </c>
      <c r="N648">
        <v>3.1579999999999997E-2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1.0200000000000001E-3</v>
      </c>
      <c r="U648">
        <v>8.2799999999999992E-3</v>
      </c>
      <c r="V648">
        <v>4.33683</v>
      </c>
      <c r="W648" t="s">
        <v>10</v>
      </c>
      <c r="X648">
        <v>10.52</v>
      </c>
      <c r="Y648">
        <v>102</v>
      </c>
      <c r="Z648">
        <v>0.45100000000000001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1.0999999999999999E-2</v>
      </c>
      <c r="AG648">
        <v>0.246</v>
      </c>
      <c r="AH648">
        <v>113.22799999999999</v>
      </c>
      <c r="AI648" t="s">
        <v>22</v>
      </c>
      <c r="AJ648">
        <v>830</v>
      </c>
      <c r="AK648">
        <v>402.5</v>
      </c>
      <c r="AL648">
        <v>292.5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1525</v>
      </c>
      <c r="AU648" t="s">
        <v>33</v>
      </c>
    </row>
    <row r="649" spans="1:47" x14ac:dyDescent="0.2">
      <c r="A649">
        <v>495</v>
      </c>
      <c r="B649" t="s">
        <v>340</v>
      </c>
      <c r="C649">
        <v>16</v>
      </c>
      <c r="D649" t="s">
        <v>343</v>
      </c>
      <c r="G649" t="str">
        <f t="shared" si="10"/>
        <v>HLY090116SIL1</v>
      </c>
      <c r="H649">
        <v>63.099499999999999</v>
      </c>
      <c r="I649">
        <v>-171.29516699999999</v>
      </c>
      <c r="J649" s="3">
        <v>20090321</v>
      </c>
      <c r="K649">
        <v>2009</v>
      </c>
      <c r="L649">
        <v>0.80603999999999998</v>
      </c>
      <c r="M649">
        <v>3.61131</v>
      </c>
      <c r="N649">
        <v>1.6990000000000002E-2</v>
      </c>
      <c r="O649">
        <v>0</v>
      </c>
      <c r="P649">
        <v>0.46722000000000002</v>
      </c>
      <c r="Q649">
        <v>0</v>
      </c>
      <c r="R649">
        <v>0</v>
      </c>
      <c r="S649">
        <v>0.54124000000000005</v>
      </c>
      <c r="T649">
        <v>0</v>
      </c>
      <c r="U649">
        <v>3.3489999999999999E-2</v>
      </c>
      <c r="V649">
        <v>5.4762899999999997</v>
      </c>
      <c r="W649" t="s">
        <v>10</v>
      </c>
      <c r="X649">
        <v>11.782999999999999</v>
      </c>
      <c r="Y649">
        <v>116.327</v>
      </c>
      <c r="Z649">
        <v>0.23899999999999999</v>
      </c>
      <c r="AA649">
        <v>0</v>
      </c>
      <c r="AB649">
        <v>33.372999999999998</v>
      </c>
      <c r="AC649">
        <v>0</v>
      </c>
      <c r="AD649">
        <v>0</v>
      </c>
      <c r="AE649">
        <v>38.659999999999997</v>
      </c>
      <c r="AF649">
        <v>0</v>
      </c>
      <c r="AG649">
        <v>2.613</v>
      </c>
      <c r="AH649">
        <v>202.995</v>
      </c>
      <c r="AI649" t="s">
        <v>22</v>
      </c>
      <c r="AJ649">
        <v>845</v>
      </c>
      <c r="AK649">
        <v>202.5</v>
      </c>
      <c r="AL649">
        <v>492.5</v>
      </c>
      <c r="AM649">
        <v>0</v>
      </c>
      <c r="AN649">
        <v>17.5</v>
      </c>
      <c r="AO649">
        <v>0</v>
      </c>
      <c r="AP649">
        <v>0</v>
      </c>
      <c r="AQ649">
        <v>12.5</v>
      </c>
      <c r="AR649">
        <v>0</v>
      </c>
      <c r="AS649">
        <v>2.5</v>
      </c>
      <c r="AT649">
        <v>1572.5</v>
      </c>
      <c r="AU649" t="s">
        <v>33</v>
      </c>
    </row>
    <row r="650" spans="1:47" x14ac:dyDescent="0.2">
      <c r="A650">
        <v>496</v>
      </c>
      <c r="B650" t="s">
        <v>340</v>
      </c>
      <c r="C650">
        <v>18</v>
      </c>
      <c r="D650" t="s">
        <v>344</v>
      </c>
      <c r="G650" t="str">
        <f t="shared" si="10"/>
        <v>HLY090118WAL7</v>
      </c>
      <c r="H650">
        <v>62.743000000000002</v>
      </c>
      <c r="I650">
        <v>-169.315833</v>
      </c>
      <c r="J650" s="3">
        <v>20090322</v>
      </c>
      <c r="K650">
        <v>2009</v>
      </c>
      <c r="L650">
        <v>1.5488599999999999</v>
      </c>
      <c r="M650">
        <v>5.0608599999999999</v>
      </c>
      <c r="N650">
        <v>0.20755000000000001</v>
      </c>
      <c r="O650">
        <v>0</v>
      </c>
      <c r="P650">
        <v>0</v>
      </c>
      <c r="Q650">
        <v>0.10996</v>
      </c>
      <c r="R650">
        <v>1.34E-3</v>
      </c>
      <c r="S650">
        <v>4.0070000000000001E-2</v>
      </c>
      <c r="T650">
        <v>1.404E-2</v>
      </c>
      <c r="U650">
        <v>0.107</v>
      </c>
      <c r="V650">
        <v>7.0896800000000004</v>
      </c>
      <c r="W650" t="s">
        <v>10</v>
      </c>
      <c r="X650">
        <v>23.373999999999999</v>
      </c>
      <c r="Y650">
        <v>160.03399999999999</v>
      </c>
      <c r="Z650">
        <v>2.9260000000000002</v>
      </c>
      <c r="AA650">
        <v>0</v>
      </c>
      <c r="AB650">
        <v>0</v>
      </c>
      <c r="AC650">
        <v>13.742000000000001</v>
      </c>
      <c r="AD650">
        <v>2.1999999999999999E-2</v>
      </c>
      <c r="AE650">
        <v>2.8620000000000001</v>
      </c>
      <c r="AF650">
        <v>0.151</v>
      </c>
      <c r="AG650">
        <v>8.3279999999999994</v>
      </c>
      <c r="AH650">
        <v>211.43899999999999</v>
      </c>
      <c r="AI650" t="s">
        <v>22</v>
      </c>
      <c r="AJ650">
        <v>1412.5</v>
      </c>
      <c r="AK650">
        <v>652.5</v>
      </c>
      <c r="AL650">
        <v>1615</v>
      </c>
      <c r="AM650">
        <v>0</v>
      </c>
      <c r="AN650">
        <v>0</v>
      </c>
      <c r="AO650">
        <v>10</v>
      </c>
      <c r="AP650">
        <v>92.5</v>
      </c>
      <c r="AQ650">
        <v>2.5</v>
      </c>
      <c r="AR650">
        <v>52.5</v>
      </c>
      <c r="AS650">
        <v>30</v>
      </c>
      <c r="AT650">
        <v>3867.5</v>
      </c>
      <c r="AU650" t="s">
        <v>35</v>
      </c>
    </row>
    <row r="651" spans="1:47" x14ac:dyDescent="0.2">
      <c r="A651">
        <v>497</v>
      </c>
      <c r="B651" t="s">
        <v>340</v>
      </c>
      <c r="C651">
        <v>19</v>
      </c>
      <c r="D651" t="s">
        <v>345</v>
      </c>
      <c r="G651" t="str">
        <f t="shared" si="10"/>
        <v>HLY090119WAL8</v>
      </c>
      <c r="H651">
        <v>62.627000000000002</v>
      </c>
      <c r="I651">
        <v>-169.636</v>
      </c>
      <c r="J651" s="3">
        <v>20090322</v>
      </c>
      <c r="K651">
        <v>2009</v>
      </c>
      <c r="L651">
        <v>1.5017499999999999</v>
      </c>
      <c r="M651">
        <v>1.1704399999999999</v>
      </c>
      <c r="N651">
        <v>0.84614999999999996</v>
      </c>
      <c r="O651">
        <v>0</v>
      </c>
      <c r="P651">
        <v>0</v>
      </c>
      <c r="Q651">
        <v>0.2581</v>
      </c>
      <c r="R651">
        <v>6.0000000000000002E-5</v>
      </c>
      <c r="S651">
        <v>3.8789999999999998E-2</v>
      </c>
      <c r="T651">
        <v>0.23416999999999999</v>
      </c>
      <c r="U651">
        <v>5.8860000000000003E-2</v>
      </c>
      <c r="V651">
        <v>4.10832</v>
      </c>
      <c r="W651" t="s">
        <v>9</v>
      </c>
      <c r="X651">
        <v>21.263999999999999</v>
      </c>
      <c r="Y651">
        <v>32.451000000000001</v>
      </c>
      <c r="Z651">
        <v>11.975</v>
      </c>
      <c r="AA651">
        <v>0</v>
      </c>
      <c r="AB651">
        <v>0</v>
      </c>
      <c r="AC651">
        <v>32.262</v>
      </c>
      <c r="AD651">
        <v>1E-3</v>
      </c>
      <c r="AE651">
        <v>2.7709999999999999</v>
      </c>
      <c r="AF651">
        <v>2.5179999999999998</v>
      </c>
      <c r="AG651">
        <v>2.145</v>
      </c>
      <c r="AH651">
        <v>105.387</v>
      </c>
      <c r="AI651" t="s">
        <v>22</v>
      </c>
      <c r="AJ651">
        <v>970</v>
      </c>
      <c r="AK651">
        <v>800</v>
      </c>
      <c r="AL651">
        <v>4992.5</v>
      </c>
      <c r="AM651">
        <v>0</v>
      </c>
      <c r="AN651">
        <v>0</v>
      </c>
      <c r="AO651">
        <v>12.5</v>
      </c>
      <c r="AP651">
        <v>10</v>
      </c>
      <c r="AQ651">
        <v>2.5</v>
      </c>
      <c r="AR651">
        <v>22.5</v>
      </c>
      <c r="AS651">
        <v>10</v>
      </c>
      <c r="AT651">
        <v>6820</v>
      </c>
      <c r="AU651" t="s">
        <v>35</v>
      </c>
    </row>
    <row r="652" spans="1:47" x14ac:dyDescent="0.2">
      <c r="A652">
        <v>498</v>
      </c>
      <c r="B652" t="s">
        <v>340</v>
      </c>
      <c r="C652">
        <v>2</v>
      </c>
      <c r="D652" s="4" t="s">
        <v>552</v>
      </c>
      <c r="E652" s="4" t="s">
        <v>552</v>
      </c>
      <c r="F652" s="4" t="s">
        <v>279</v>
      </c>
      <c r="G652" t="str">
        <f t="shared" si="10"/>
        <v>HLY09012SLIP2</v>
      </c>
      <c r="H652">
        <v>62.055</v>
      </c>
      <c r="I652">
        <v>-175.19716700000001</v>
      </c>
      <c r="J652" s="3">
        <v>20090314</v>
      </c>
      <c r="K652">
        <v>2009</v>
      </c>
      <c r="L652">
        <v>7.1454899999999997</v>
      </c>
      <c r="M652">
        <v>5.1257599999999996</v>
      </c>
      <c r="N652">
        <v>7.8039999999999998E-2</v>
      </c>
      <c r="O652">
        <v>3.524E-2</v>
      </c>
      <c r="P652">
        <v>0.64825999999999995</v>
      </c>
      <c r="Q652">
        <v>0</v>
      </c>
      <c r="R652">
        <v>7.9000000000000001E-4</v>
      </c>
      <c r="S652">
        <v>0</v>
      </c>
      <c r="T652">
        <v>6.0400000000000002E-3</v>
      </c>
      <c r="U652">
        <v>0.17866000000000001</v>
      </c>
      <c r="V652">
        <v>13.21828</v>
      </c>
      <c r="W652" t="s">
        <v>9</v>
      </c>
      <c r="X652">
        <v>103.43600000000001</v>
      </c>
      <c r="Y652">
        <v>159.40799999999999</v>
      </c>
      <c r="Z652">
        <v>1.0229999999999999</v>
      </c>
      <c r="AA652">
        <v>0.78300000000000003</v>
      </c>
      <c r="AB652">
        <v>46.304000000000002</v>
      </c>
      <c r="AC652">
        <v>0</v>
      </c>
      <c r="AD652">
        <v>1.2999999999999999E-2</v>
      </c>
      <c r="AE652">
        <v>0</v>
      </c>
      <c r="AF652">
        <v>6.5000000000000002E-2</v>
      </c>
      <c r="AG652">
        <v>3.0179999999999998</v>
      </c>
      <c r="AH652">
        <v>314.05</v>
      </c>
      <c r="AI652" t="s">
        <v>22</v>
      </c>
      <c r="AJ652">
        <v>837.5</v>
      </c>
      <c r="AK652">
        <v>382.5</v>
      </c>
      <c r="AL652">
        <v>245</v>
      </c>
      <c r="AM652">
        <v>45</v>
      </c>
      <c r="AN652">
        <v>135</v>
      </c>
      <c r="AO652">
        <v>0</v>
      </c>
      <c r="AP652">
        <v>0</v>
      </c>
      <c r="AQ652">
        <v>0</v>
      </c>
      <c r="AR652">
        <v>7.5</v>
      </c>
      <c r="AS652">
        <v>55</v>
      </c>
      <c r="AT652">
        <v>1707.5</v>
      </c>
      <c r="AU652" t="s">
        <v>33</v>
      </c>
    </row>
    <row r="653" spans="1:47" x14ac:dyDescent="0.2">
      <c r="A653">
        <v>499</v>
      </c>
      <c r="B653" t="s">
        <v>340</v>
      </c>
      <c r="C653">
        <v>20</v>
      </c>
      <c r="D653" t="s">
        <v>346</v>
      </c>
      <c r="G653" t="str">
        <f t="shared" si="10"/>
        <v>HLY090120WAL9</v>
      </c>
      <c r="H653">
        <v>62.667833000000002</v>
      </c>
      <c r="I653">
        <v>-169.139667</v>
      </c>
      <c r="J653" s="3">
        <v>20090322</v>
      </c>
      <c r="K653">
        <v>2009</v>
      </c>
      <c r="L653">
        <v>1.3322700000000001</v>
      </c>
      <c r="M653">
        <v>1.91126</v>
      </c>
      <c r="N653">
        <v>2.1488999999999998</v>
      </c>
      <c r="O653">
        <v>0</v>
      </c>
      <c r="P653">
        <v>5.5100000000000003E-2</v>
      </c>
      <c r="Q653">
        <v>0</v>
      </c>
      <c r="R653">
        <v>0</v>
      </c>
      <c r="S653">
        <v>4.3930600000000002</v>
      </c>
      <c r="T653">
        <v>3.0040000000000001E-2</v>
      </c>
      <c r="U653">
        <v>3.8780000000000002E-2</v>
      </c>
      <c r="V653">
        <v>9.9094099999999994</v>
      </c>
      <c r="W653" t="s">
        <v>16</v>
      </c>
      <c r="X653">
        <v>18.524000000000001</v>
      </c>
      <c r="Y653">
        <v>47.69</v>
      </c>
      <c r="Z653">
        <v>25.637</v>
      </c>
      <c r="AA653">
        <v>0</v>
      </c>
      <c r="AB653">
        <v>3.9359999999999999</v>
      </c>
      <c r="AC653">
        <v>0</v>
      </c>
      <c r="AD653">
        <v>0</v>
      </c>
      <c r="AE653">
        <v>275.41300000000001</v>
      </c>
      <c r="AF653">
        <v>0.32300000000000001</v>
      </c>
      <c r="AG653">
        <v>1.9379999999999999</v>
      </c>
      <c r="AH653">
        <v>373.46100000000001</v>
      </c>
      <c r="AI653" t="s">
        <v>28</v>
      </c>
      <c r="AJ653">
        <v>2185</v>
      </c>
      <c r="AK653">
        <v>3157.5</v>
      </c>
      <c r="AL653">
        <v>7875</v>
      </c>
      <c r="AM653">
        <v>0</v>
      </c>
      <c r="AN653">
        <v>2.5</v>
      </c>
      <c r="AO653">
        <v>0</v>
      </c>
      <c r="AP653">
        <v>0</v>
      </c>
      <c r="AQ653">
        <v>97.5</v>
      </c>
      <c r="AR653">
        <v>12.5</v>
      </c>
      <c r="AS653">
        <v>55</v>
      </c>
      <c r="AT653">
        <v>13385</v>
      </c>
      <c r="AU653" t="s">
        <v>35</v>
      </c>
    </row>
    <row r="654" spans="1:47" x14ac:dyDescent="0.2">
      <c r="A654">
        <v>500</v>
      </c>
      <c r="B654" t="s">
        <v>340</v>
      </c>
      <c r="C654">
        <v>21</v>
      </c>
      <c r="D654" t="s">
        <v>347</v>
      </c>
      <c r="G654" t="str">
        <f t="shared" si="10"/>
        <v>HLY090121MK1</v>
      </c>
      <c r="H654">
        <v>62.728000000000002</v>
      </c>
      <c r="I654">
        <v>-168.95066700000001</v>
      </c>
      <c r="J654" s="3">
        <v>20090323</v>
      </c>
      <c r="K654">
        <v>2009</v>
      </c>
      <c r="L654">
        <v>1.79782</v>
      </c>
      <c r="M654">
        <v>1.02461</v>
      </c>
      <c r="N654">
        <v>1.5614399999999999</v>
      </c>
      <c r="O654">
        <v>0</v>
      </c>
      <c r="P654">
        <v>1E-4</v>
      </c>
      <c r="Q654">
        <v>0</v>
      </c>
      <c r="R654">
        <v>6.0000000000000002E-5</v>
      </c>
      <c r="S654">
        <v>0.11385000000000001</v>
      </c>
      <c r="T654">
        <v>1.58E-3</v>
      </c>
      <c r="U654">
        <v>2.3570000000000001E-2</v>
      </c>
      <c r="V654">
        <v>4.5230300000000003</v>
      </c>
      <c r="W654" t="s">
        <v>9</v>
      </c>
      <c r="X654">
        <v>25.798999999999999</v>
      </c>
      <c r="Y654">
        <v>24.994</v>
      </c>
      <c r="Z654">
        <v>18.72</v>
      </c>
      <c r="AA654">
        <v>0</v>
      </c>
      <c r="AB654">
        <v>7.0000000000000001E-3</v>
      </c>
      <c r="AC654">
        <v>0</v>
      </c>
      <c r="AD654">
        <v>1E-3</v>
      </c>
      <c r="AE654">
        <v>8.1319999999999997</v>
      </c>
      <c r="AF654">
        <v>1.7000000000000001E-2</v>
      </c>
      <c r="AG654">
        <v>2.0129999999999999</v>
      </c>
      <c r="AH654">
        <v>79.683000000000007</v>
      </c>
      <c r="AI654" t="s">
        <v>21</v>
      </c>
      <c r="AJ654">
        <v>1477.5</v>
      </c>
      <c r="AK654">
        <v>2587.5</v>
      </c>
      <c r="AL654">
        <v>8330</v>
      </c>
      <c r="AM654">
        <v>0</v>
      </c>
      <c r="AN654">
        <v>2.5</v>
      </c>
      <c r="AO654">
        <v>0</v>
      </c>
      <c r="AP654">
        <v>0</v>
      </c>
      <c r="AQ654">
        <v>5</v>
      </c>
      <c r="AR654">
        <v>10</v>
      </c>
      <c r="AS654">
        <v>65</v>
      </c>
      <c r="AT654">
        <v>12477.5</v>
      </c>
      <c r="AU654" t="s">
        <v>35</v>
      </c>
    </row>
    <row r="655" spans="1:47" x14ac:dyDescent="0.2">
      <c r="A655">
        <v>501</v>
      </c>
      <c r="B655" t="s">
        <v>340</v>
      </c>
      <c r="C655">
        <v>22</v>
      </c>
      <c r="D655" t="s">
        <v>348</v>
      </c>
      <c r="G655" t="str">
        <f t="shared" si="10"/>
        <v>HLY090122WAL10</v>
      </c>
      <c r="H655">
        <v>62.521166999999998</v>
      </c>
      <c r="I655">
        <v>-168.970167</v>
      </c>
      <c r="J655" s="3">
        <v>20090323</v>
      </c>
      <c r="K655">
        <v>2009</v>
      </c>
      <c r="L655">
        <v>2.89784</v>
      </c>
      <c r="M655">
        <v>2.6625999999999999</v>
      </c>
      <c r="N655">
        <v>2.2623899999999999</v>
      </c>
      <c r="O655">
        <v>2.7E-4</v>
      </c>
      <c r="P655">
        <v>0</v>
      </c>
      <c r="Q655">
        <v>3.7699999999999997E-2</v>
      </c>
      <c r="R655">
        <v>3.5999999999999999E-3</v>
      </c>
      <c r="S655">
        <v>4.5749999999999999E-2</v>
      </c>
      <c r="T655">
        <v>0.19259999999999999</v>
      </c>
      <c r="U655">
        <v>0.42510999999999999</v>
      </c>
      <c r="V655">
        <v>8.5278600000000004</v>
      </c>
      <c r="W655" t="s">
        <v>9</v>
      </c>
      <c r="X655">
        <v>41.875999999999998</v>
      </c>
      <c r="Y655">
        <v>85.08</v>
      </c>
      <c r="Z655">
        <v>32.234000000000002</v>
      </c>
      <c r="AA655">
        <v>6.0000000000000001E-3</v>
      </c>
      <c r="AB655">
        <v>0</v>
      </c>
      <c r="AC655">
        <v>4.7119999999999997</v>
      </c>
      <c r="AD655">
        <v>5.8999999999999997E-2</v>
      </c>
      <c r="AE655">
        <v>3.2679999999999998</v>
      </c>
      <c r="AF655">
        <v>2.0710000000000002</v>
      </c>
      <c r="AG655">
        <v>13.558999999999999</v>
      </c>
      <c r="AH655">
        <v>182.86500000000001</v>
      </c>
      <c r="AI655" t="s">
        <v>22</v>
      </c>
      <c r="AJ655">
        <v>8817.5</v>
      </c>
      <c r="AK655">
        <v>6355</v>
      </c>
      <c r="AL655">
        <v>17942.5</v>
      </c>
      <c r="AM655">
        <v>2.5</v>
      </c>
      <c r="AN655">
        <v>0</v>
      </c>
      <c r="AO655">
        <v>40</v>
      </c>
      <c r="AP655">
        <v>40</v>
      </c>
      <c r="AQ655">
        <v>5</v>
      </c>
      <c r="AR655">
        <v>195</v>
      </c>
      <c r="AS655">
        <v>330</v>
      </c>
      <c r="AT655">
        <v>33727.5</v>
      </c>
      <c r="AU655" t="s">
        <v>35</v>
      </c>
    </row>
    <row r="656" spans="1:47" x14ac:dyDescent="0.2">
      <c r="A656">
        <v>502</v>
      </c>
      <c r="B656" t="s">
        <v>340</v>
      </c>
      <c r="C656">
        <v>23</v>
      </c>
      <c r="D656" t="s">
        <v>349</v>
      </c>
      <c r="G656" t="str">
        <f t="shared" si="10"/>
        <v>HLY090123WAL11</v>
      </c>
      <c r="H656">
        <v>62.255167</v>
      </c>
      <c r="I656">
        <v>-169.63749999999999</v>
      </c>
      <c r="J656" s="3">
        <v>20090323</v>
      </c>
      <c r="K656">
        <v>2009</v>
      </c>
      <c r="L656">
        <v>2.8997700000000002</v>
      </c>
      <c r="M656">
        <v>0.17485000000000001</v>
      </c>
      <c r="N656">
        <v>0.78759999999999997</v>
      </c>
      <c r="O656">
        <v>0</v>
      </c>
      <c r="P656">
        <v>2.5000000000000001E-4</v>
      </c>
      <c r="Q656">
        <v>0</v>
      </c>
      <c r="R656">
        <v>0</v>
      </c>
      <c r="S656">
        <v>0</v>
      </c>
      <c r="T656">
        <v>3.236E-2</v>
      </c>
      <c r="U656">
        <v>4.6019999999999998E-2</v>
      </c>
      <c r="V656">
        <v>3.9408500000000002</v>
      </c>
      <c r="W656" t="s">
        <v>9</v>
      </c>
      <c r="X656">
        <v>43.055</v>
      </c>
      <c r="Y656">
        <v>4.8659999999999997</v>
      </c>
      <c r="Z656">
        <v>10.641999999999999</v>
      </c>
      <c r="AA656">
        <v>0</v>
      </c>
      <c r="AB656">
        <v>1.7999999999999999E-2</v>
      </c>
      <c r="AC656">
        <v>0</v>
      </c>
      <c r="AD656">
        <v>0</v>
      </c>
      <c r="AE656">
        <v>0</v>
      </c>
      <c r="AF656">
        <v>0.34799999999999998</v>
      </c>
      <c r="AG656">
        <v>3.0640000000000001</v>
      </c>
      <c r="AH656">
        <v>61.993000000000002</v>
      </c>
      <c r="AI656" t="s">
        <v>21</v>
      </c>
      <c r="AJ656">
        <v>2145</v>
      </c>
      <c r="AK656">
        <v>1217.5</v>
      </c>
      <c r="AL656">
        <v>6335</v>
      </c>
      <c r="AM656">
        <v>0</v>
      </c>
      <c r="AN656">
        <v>7.5</v>
      </c>
      <c r="AO656">
        <v>0</v>
      </c>
      <c r="AP656">
        <v>0</v>
      </c>
      <c r="AQ656">
        <v>0</v>
      </c>
      <c r="AR656">
        <v>22.5</v>
      </c>
      <c r="AS656">
        <v>145</v>
      </c>
      <c r="AT656">
        <v>9872.5</v>
      </c>
      <c r="AU656" t="s">
        <v>35</v>
      </c>
    </row>
    <row r="657" spans="1:47" x14ac:dyDescent="0.2">
      <c r="A657">
        <v>503</v>
      </c>
      <c r="B657" t="s">
        <v>340</v>
      </c>
      <c r="C657">
        <v>24</v>
      </c>
      <c r="D657" t="s">
        <v>350</v>
      </c>
      <c r="G657" t="str">
        <f t="shared" si="10"/>
        <v>HLY090124WAl12</v>
      </c>
      <c r="H657">
        <v>62.067</v>
      </c>
      <c r="I657">
        <v>-169.272167</v>
      </c>
      <c r="J657" s="3">
        <v>20090323</v>
      </c>
      <c r="K657">
        <v>2009</v>
      </c>
      <c r="L657">
        <v>1.8359099999999999</v>
      </c>
      <c r="M657">
        <v>0.32834000000000002</v>
      </c>
      <c r="N657">
        <v>0.32861000000000001</v>
      </c>
      <c r="O657">
        <v>0</v>
      </c>
      <c r="P657">
        <v>2.7999999999999998E-4</v>
      </c>
      <c r="Q657">
        <v>0</v>
      </c>
      <c r="R657">
        <v>0</v>
      </c>
      <c r="S657">
        <v>0</v>
      </c>
      <c r="T657">
        <v>1.2099999999999999E-3</v>
      </c>
      <c r="U657">
        <v>3.47E-3</v>
      </c>
      <c r="V657">
        <v>2.4978199999999999</v>
      </c>
      <c r="W657" t="s">
        <v>9</v>
      </c>
      <c r="X657">
        <v>30.016999999999999</v>
      </c>
      <c r="Y657">
        <v>9.1219999999999999</v>
      </c>
      <c r="Z657">
        <v>4.6790000000000003</v>
      </c>
      <c r="AA657">
        <v>0</v>
      </c>
      <c r="AB657">
        <v>0.02</v>
      </c>
      <c r="AC657">
        <v>0</v>
      </c>
      <c r="AD657">
        <v>0</v>
      </c>
      <c r="AE657">
        <v>0</v>
      </c>
      <c r="AF657">
        <v>1.2999999999999999E-2</v>
      </c>
      <c r="AG657">
        <v>0.10199999999999999</v>
      </c>
      <c r="AH657">
        <v>43.953000000000003</v>
      </c>
      <c r="AI657" t="s">
        <v>21</v>
      </c>
      <c r="AJ657">
        <v>1775</v>
      </c>
      <c r="AK657">
        <v>962.5</v>
      </c>
      <c r="AL657">
        <v>2077.5</v>
      </c>
      <c r="AM657">
        <v>0</v>
      </c>
      <c r="AN657">
        <v>5</v>
      </c>
      <c r="AO657">
        <v>0</v>
      </c>
      <c r="AP657">
        <v>0</v>
      </c>
      <c r="AQ657">
        <v>0</v>
      </c>
      <c r="AR657">
        <v>17.5</v>
      </c>
      <c r="AS657">
        <v>55</v>
      </c>
      <c r="AT657">
        <v>4892.5</v>
      </c>
      <c r="AU657" t="s">
        <v>35</v>
      </c>
    </row>
    <row r="658" spans="1:47" x14ac:dyDescent="0.2">
      <c r="A658">
        <v>504</v>
      </c>
      <c r="B658" t="s">
        <v>340</v>
      </c>
      <c r="C658">
        <v>29</v>
      </c>
      <c r="D658" t="s">
        <v>351</v>
      </c>
      <c r="G658" t="str">
        <f t="shared" si="10"/>
        <v>HLY090129SLP1</v>
      </c>
      <c r="H658">
        <v>62.373666999999998</v>
      </c>
      <c r="I658">
        <v>-170.37049999999999</v>
      </c>
      <c r="J658" s="3">
        <v>20090325</v>
      </c>
      <c r="K658">
        <v>2009</v>
      </c>
      <c r="L658">
        <v>0.91478000000000004</v>
      </c>
      <c r="M658">
        <v>0.41572999999999999</v>
      </c>
      <c r="N658">
        <v>0.78183999999999998</v>
      </c>
      <c r="O658">
        <v>0</v>
      </c>
      <c r="P658">
        <v>0</v>
      </c>
      <c r="Q658">
        <v>0.12173</v>
      </c>
      <c r="R658">
        <v>0</v>
      </c>
      <c r="S658">
        <v>0</v>
      </c>
      <c r="T658">
        <v>0.16555</v>
      </c>
      <c r="U658">
        <v>2.3630000000000002E-2</v>
      </c>
      <c r="V658">
        <v>2.42326</v>
      </c>
      <c r="W658" t="s">
        <v>9</v>
      </c>
      <c r="X658">
        <v>13.532999999999999</v>
      </c>
      <c r="Y658">
        <v>13.038</v>
      </c>
      <c r="Z658">
        <v>11.125999999999999</v>
      </c>
      <c r="AA658">
        <v>0</v>
      </c>
      <c r="AB658">
        <v>0</v>
      </c>
      <c r="AC658">
        <v>15.215</v>
      </c>
      <c r="AD658">
        <v>0</v>
      </c>
      <c r="AE658">
        <v>0</v>
      </c>
      <c r="AF658">
        <v>1.78</v>
      </c>
      <c r="AG658">
        <v>0.80600000000000005</v>
      </c>
      <c r="AH658">
        <v>55.497999999999998</v>
      </c>
      <c r="AI658" t="s">
        <v>26</v>
      </c>
      <c r="AJ658">
        <v>1830</v>
      </c>
      <c r="AK658">
        <v>1870</v>
      </c>
      <c r="AL658">
        <v>13562.5</v>
      </c>
      <c r="AM658">
        <v>0</v>
      </c>
      <c r="AN658">
        <v>0</v>
      </c>
      <c r="AO658">
        <v>60</v>
      </c>
      <c r="AP658">
        <v>0</v>
      </c>
      <c r="AQ658">
        <v>0</v>
      </c>
      <c r="AR658">
        <v>17.5</v>
      </c>
      <c r="AS658">
        <v>30</v>
      </c>
      <c r="AT658">
        <v>17370</v>
      </c>
      <c r="AU658" t="s">
        <v>35</v>
      </c>
    </row>
    <row r="659" spans="1:47" x14ac:dyDescent="0.2">
      <c r="A659">
        <v>505</v>
      </c>
      <c r="B659" t="s">
        <v>340</v>
      </c>
      <c r="C659">
        <v>3</v>
      </c>
      <c r="D659" t="s">
        <v>301</v>
      </c>
      <c r="G659" t="str">
        <f t="shared" si="10"/>
        <v>HLY09013NWC4</v>
      </c>
      <c r="H659">
        <v>62.380667000000003</v>
      </c>
      <c r="I659">
        <v>-174.535833</v>
      </c>
      <c r="J659" s="3">
        <v>20090314</v>
      </c>
      <c r="K659">
        <v>2009</v>
      </c>
      <c r="L659">
        <v>5.00664</v>
      </c>
      <c r="M659">
        <v>2.7427299999999999</v>
      </c>
      <c r="N659">
        <v>0.33382000000000001</v>
      </c>
      <c r="O659">
        <v>3.0200000000000001E-3</v>
      </c>
      <c r="P659">
        <v>0.62453999999999998</v>
      </c>
      <c r="Q659">
        <v>0</v>
      </c>
      <c r="R659">
        <v>0</v>
      </c>
      <c r="S659">
        <v>0.39476</v>
      </c>
      <c r="T659">
        <v>0.10918</v>
      </c>
      <c r="U659">
        <v>7.5950000000000004E-2</v>
      </c>
      <c r="V659">
        <v>9.2906399999999998</v>
      </c>
      <c r="W659" t="s">
        <v>9</v>
      </c>
      <c r="X659">
        <v>69.161000000000001</v>
      </c>
      <c r="Y659">
        <v>76.64</v>
      </c>
      <c r="Z659">
        <v>4.2009999999999996</v>
      </c>
      <c r="AA659">
        <v>6.7000000000000004E-2</v>
      </c>
      <c r="AB659">
        <v>44.61</v>
      </c>
      <c r="AC659">
        <v>0</v>
      </c>
      <c r="AD659">
        <v>0</v>
      </c>
      <c r="AE659">
        <v>28.196999999999999</v>
      </c>
      <c r="AF659">
        <v>1.1739999999999999</v>
      </c>
      <c r="AG659">
        <v>2.0619999999999998</v>
      </c>
      <c r="AH659">
        <v>226.11199999999999</v>
      </c>
      <c r="AI659" t="s">
        <v>22</v>
      </c>
      <c r="AJ659">
        <v>2707.5</v>
      </c>
      <c r="AK659">
        <v>342.5</v>
      </c>
      <c r="AL659">
        <v>265</v>
      </c>
      <c r="AM659">
        <v>17.5</v>
      </c>
      <c r="AN659">
        <v>70</v>
      </c>
      <c r="AO659">
        <v>0</v>
      </c>
      <c r="AP659">
        <v>0</v>
      </c>
      <c r="AQ659">
        <v>5</v>
      </c>
      <c r="AR659">
        <v>40</v>
      </c>
      <c r="AS659">
        <v>80</v>
      </c>
      <c r="AT659">
        <v>3527.5</v>
      </c>
      <c r="AU659" t="s">
        <v>33</v>
      </c>
    </row>
    <row r="660" spans="1:47" x14ac:dyDescent="0.2">
      <c r="A660">
        <v>506</v>
      </c>
      <c r="B660" t="s">
        <v>340</v>
      </c>
      <c r="C660">
        <v>30</v>
      </c>
      <c r="D660" t="s">
        <v>352</v>
      </c>
      <c r="G660" t="str">
        <f t="shared" si="10"/>
        <v>HLY090130SLP1A</v>
      </c>
      <c r="H660">
        <v>62.493333</v>
      </c>
      <c r="I660">
        <v>-170.48166699999999</v>
      </c>
      <c r="J660" s="3">
        <v>20090325</v>
      </c>
      <c r="K660">
        <v>2009</v>
      </c>
      <c r="L660">
        <v>0.60321999999999998</v>
      </c>
      <c r="M660">
        <v>2.9537900000000001</v>
      </c>
      <c r="N660">
        <v>0.38461000000000001</v>
      </c>
      <c r="O660">
        <v>0</v>
      </c>
      <c r="P660">
        <v>6.9999999999999994E-5</v>
      </c>
      <c r="Q660">
        <v>2.0000000000000002E-5</v>
      </c>
      <c r="R660">
        <v>9.6399999999999993E-3</v>
      </c>
      <c r="S660">
        <v>2.7740200000000002</v>
      </c>
      <c r="T660">
        <v>0.10807</v>
      </c>
      <c r="U660">
        <v>4.4040000000000003E-2</v>
      </c>
      <c r="V660">
        <v>6.8774800000000003</v>
      </c>
      <c r="W660" t="s">
        <v>10</v>
      </c>
      <c r="X660">
        <v>8.94</v>
      </c>
      <c r="Y660">
        <v>111.73699999999999</v>
      </c>
      <c r="Z660">
        <v>5.2350000000000003</v>
      </c>
      <c r="AA660">
        <v>0</v>
      </c>
      <c r="AB660">
        <v>5.0000000000000001E-3</v>
      </c>
      <c r="AC660">
        <v>2E-3</v>
      </c>
      <c r="AD660">
        <v>0.158</v>
      </c>
      <c r="AE660">
        <v>198.14400000000001</v>
      </c>
      <c r="AF660">
        <v>1.1619999999999999</v>
      </c>
      <c r="AG660">
        <v>0.86499999999999999</v>
      </c>
      <c r="AH660">
        <v>326.24799999999999</v>
      </c>
      <c r="AI660" t="s">
        <v>28</v>
      </c>
      <c r="AJ660">
        <v>975</v>
      </c>
      <c r="AK660">
        <v>1172.5</v>
      </c>
      <c r="AL660">
        <v>5280</v>
      </c>
      <c r="AM660">
        <v>0</v>
      </c>
      <c r="AN660">
        <v>7.5</v>
      </c>
      <c r="AO660">
        <v>15</v>
      </c>
      <c r="AP660">
        <v>0</v>
      </c>
      <c r="AQ660">
        <v>115</v>
      </c>
      <c r="AR660">
        <v>5</v>
      </c>
      <c r="AS660">
        <v>27.5</v>
      </c>
      <c r="AT660">
        <v>7597.5</v>
      </c>
      <c r="AU660" t="s">
        <v>35</v>
      </c>
    </row>
    <row r="661" spans="1:47" x14ac:dyDescent="0.2">
      <c r="A661">
        <v>507</v>
      </c>
      <c r="B661" t="s">
        <v>340</v>
      </c>
      <c r="C661">
        <v>32</v>
      </c>
      <c r="D661" t="s">
        <v>353</v>
      </c>
      <c r="G661" t="str">
        <f t="shared" si="10"/>
        <v>HLY090132SLP3</v>
      </c>
      <c r="H661">
        <v>62.869667</v>
      </c>
      <c r="I661">
        <v>-170.633667</v>
      </c>
      <c r="J661" s="3">
        <v>20090325</v>
      </c>
      <c r="K661">
        <v>2009</v>
      </c>
      <c r="L661">
        <v>2.4069099999999999</v>
      </c>
      <c r="M661">
        <v>5.3036000000000003</v>
      </c>
      <c r="N661">
        <v>0.72265000000000001</v>
      </c>
      <c r="O661">
        <v>0</v>
      </c>
      <c r="P661">
        <v>0</v>
      </c>
      <c r="Q661">
        <v>0</v>
      </c>
      <c r="R661">
        <v>0.15842000000000001</v>
      </c>
      <c r="S661">
        <v>0.12694</v>
      </c>
      <c r="T661">
        <v>1.069E-2</v>
      </c>
      <c r="U661">
        <v>8.26E-3</v>
      </c>
      <c r="V661">
        <v>8.7374700000000001</v>
      </c>
      <c r="W661" t="s">
        <v>10</v>
      </c>
      <c r="X661">
        <v>36.173999999999999</v>
      </c>
      <c r="Y661">
        <v>150.46</v>
      </c>
      <c r="Z661">
        <v>10.465999999999999</v>
      </c>
      <c r="AA661">
        <v>0</v>
      </c>
      <c r="AB661">
        <v>0</v>
      </c>
      <c r="AC661">
        <v>0</v>
      </c>
      <c r="AD661">
        <v>2.597</v>
      </c>
      <c r="AE661">
        <v>8.8689999999999998</v>
      </c>
      <c r="AF661">
        <v>0.115</v>
      </c>
      <c r="AG661">
        <v>0.68899999999999995</v>
      </c>
      <c r="AH661">
        <v>209.37</v>
      </c>
      <c r="AI661" t="s">
        <v>22</v>
      </c>
      <c r="AJ661">
        <v>3232.5</v>
      </c>
      <c r="AK661">
        <v>1605</v>
      </c>
      <c r="AL661">
        <v>9125</v>
      </c>
      <c r="AM661">
        <v>0</v>
      </c>
      <c r="AN661">
        <v>2.5</v>
      </c>
      <c r="AO661">
        <v>0</v>
      </c>
      <c r="AP661">
        <v>0</v>
      </c>
      <c r="AQ661">
        <v>5</v>
      </c>
      <c r="AR661">
        <v>25</v>
      </c>
      <c r="AS661">
        <v>5</v>
      </c>
      <c r="AT661">
        <v>14000</v>
      </c>
      <c r="AU661" t="s">
        <v>35</v>
      </c>
    </row>
    <row r="662" spans="1:47" x14ac:dyDescent="0.2">
      <c r="A662">
        <v>508</v>
      </c>
      <c r="B662" t="s">
        <v>340</v>
      </c>
      <c r="C662">
        <v>37</v>
      </c>
      <c r="D662" t="s">
        <v>354</v>
      </c>
      <c r="G662" t="str">
        <f t="shared" si="10"/>
        <v>HLY090137WAL13</v>
      </c>
      <c r="H662">
        <v>62.859000000000002</v>
      </c>
      <c r="I662">
        <v>-169.016333</v>
      </c>
      <c r="J662" s="3">
        <v>20090326</v>
      </c>
      <c r="K662">
        <v>2009</v>
      </c>
      <c r="L662">
        <v>4.1643600000000003</v>
      </c>
      <c r="M662">
        <v>2.8668399999999998</v>
      </c>
      <c r="N662">
        <v>0.13841999999999999</v>
      </c>
      <c r="O662">
        <v>0</v>
      </c>
      <c r="P662">
        <v>0</v>
      </c>
      <c r="Q662">
        <v>0.28833999999999999</v>
      </c>
      <c r="R662">
        <v>9.0900000000000009E-3</v>
      </c>
      <c r="S662">
        <v>3.3110000000000001E-2</v>
      </c>
      <c r="T662">
        <v>0</v>
      </c>
      <c r="U662">
        <v>0.25990000000000002</v>
      </c>
      <c r="V662">
        <v>7.7600600000000002</v>
      </c>
      <c r="W662" t="s">
        <v>9</v>
      </c>
      <c r="X662">
        <v>52.881</v>
      </c>
      <c r="Y662">
        <v>99.328000000000003</v>
      </c>
      <c r="Z662">
        <v>1.823</v>
      </c>
      <c r="AA662">
        <v>0</v>
      </c>
      <c r="AB662">
        <v>0</v>
      </c>
      <c r="AC662">
        <v>36.04</v>
      </c>
      <c r="AD662">
        <v>0.14899999999999999</v>
      </c>
      <c r="AE662">
        <v>2.3650000000000002</v>
      </c>
      <c r="AF662">
        <v>0</v>
      </c>
      <c r="AG662">
        <v>7.0410000000000004</v>
      </c>
      <c r="AH662">
        <v>199.62700000000001</v>
      </c>
      <c r="AI662" t="s">
        <v>22</v>
      </c>
      <c r="AJ662">
        <v>2882.5</v>
      </c>
      <c r="AK662">
        <v>722.5</v>
      </c>
      <c r="AL662">
        <v>590</v>
      </c>
      <c r="AM662">
        <v>0</v>
      </c>
      <c r="AN662">
        <v>0</v>
      </c>
      <c r="AO662">
        <v>252.5</v>
      </c>
      <c r="AP662">
        <v>37.5</v>
      </c>
      <c r="AQ662">
        <v>2.5</v>
      </c>
      <c r="AR662">
        <v>0</v>
      </c>
      <c r="AS662">
        <v>32.5</v>
      </c>
      <c r="AT662">
        <v>4520</v>
      </c>
      <c r="AU662" t="s">
        <v>33</v>
      </c>
    </row>
    <row r="663" spans="1:47" x14ac:dyDescent="0.2">
      <c r="A663">
        <v>509</v>
      </c>
      <c r="B663" t="s">
        <v>340</v>
      </c>
      <c r="C663">
        <v>39</v>
      </c>
      <c r="D663" t="s">
        <v>355</v>
      </c>
      <c r="G663" t="str">
        <f t="shared" si="10"/>
        <v>HLY090139SIL2.5</v>
      </c>
      <c r="H663">
        <v>62.632167000000003</v>
      </c>
      <c r="I663">
        <v>-171.99083300000001</v>
      </c>
      <c r="J663" s="3">
        <v>20090327</v>
      </c>
      <c r="K663">
        <v>2009</v>
      </c>
      <c r="L663">
        <v>0.54610999999999998</v>
      </c>
      <c r="M663">
        <v>8.5576699999999999</v>
      </c>
      <c r="N663">
        <v>0.14654</v>
      </c>
      <c r="O663">
        <v>0</v>
      </c>
      <c r="P663">
        <v>5.951E-2</v>
      </c>
      <c r="Q663">
        <v>0</v>
      </c>
      <c r="R663">
        <v>2.4000000000000001E-4</v>
      </c>
      <c r="S663">
        <v>0.47070000000000001</v>
      </c>
      <c r="T663">
        <v>4.5599999999999998E-3</v>
      </c>
      <c r="U663">
        <v>1.5980000000000001E-2</v>
      </c>
      <c r="V663">
        <v>9.8013100000000009</v>
      </c>
      <c r="W663" t="s">
        <v>10</v>
      </c>
      <c r="X663">
        <v>8.1229999999999993</v>
      </c>
      <c r="Y663">
        <v>259.952</v>
      </c>
      <c r="Z663">
        <v>2.1030000000000002</v>
      </c>
      <c r="AA663">
        <v>0</v>
      </c>
      <c r="AB663">
        <v>4.2510000000000003</v>
      </c>
      <c r="AC663">
        <v>0</v>
      </c>
      <c r="AD663">
        <v>4.0000000000000001E-3</v>
      </c>
      <c r="AE663">
        <v>32.021000000000001</v>
      </c>
      <c r="AF663">
        <v>4.9000000000000002E-2</v>
      </c>
      <c r="AG663">
        <v>0.32500000000000001</v>
      </c>
      <c r="AH663">
        <v>306.82799999999997</v>
      </c>
      <c r="AI663" t="s">
        <v>22</v>
      </c>
      <c r="AJ663">
        <v>1280</v>
      </c>
      <c r="AK663">
        <v>1250</v>
      </c>
      <c r="AL663">
        <v>1332.5</v>
      </c>
      <c r="AM663">
        <v>0</v>
      </c>
      <c r="AN663">
        <v>5</v>
      </c>
      <c r="AO663">
        <v>0</v>
      </c>
      <c r="AP663">
        <v>0</v>
      </c>
      <c r="AQ663">
        <v>27.5</v>
      </c>
      <c r="AR663">
        <v>27.5</v>
      </c>
      <c r="AS663">
        <v>40</v>
      </c>
      <c r="AT663">
        <v>3962.5</v>
      </c>
      <c r="AU663" t="s">
        <v>35</v>
      </c>
    </row>
    <row r="664" spans="1:47" x14ac:dyDescent="0.2">
      <c r="A664">
        <v>510</v>
      </c>
      <c r="B664" t="s">
        <v>340</v>
      </c>
      <c r="C664">
        <v>4</v>
      </c>
      <c r="D664" t="s">
        <v>238</v>
      </c>
      <c r="G664" t="str">
        <f t="shared" si="10"/>
        <v>HLY09014SWC3</v>
      </c>
      <c r="H664">
        <v>62.557833000000002</v>
      </c>
      <c r="I664">
        <v>-173.0865</v>
      </c>
      <c r="J664" s="3">
        <v>20090315</v>
      </c>
      <c r="K664">
        <v>2009</v>
      </c>
      <c r="L664">
        <v>2.0142199999999999</v>
      </c>
      <c r="M664">
        <v>5.99871</v>
      </c>
      <c r="N664">
        <v>0.19384999999999999</v>
      </c>
      <c r="O664">
        <v>6.3000000000000003E-4</v>
      </c>
      <c r="P664">
        <v>0.25363999999999998</v>
      </c>
      <c r="Q664">
        <v>0</v>
      </c>
      <c r="R664">
        <v>2.4000000000000001E-4</v>
      </c>
      <c r="S664">
        <v>0</v>
      </c>
      <c r="T664">
        <v>0.23222000000000001</v>
      </c>
      <c r="U664">
        <v>0.16458</v>
      </c>
      <c r="V664">
        <v>8.8580900000000007</v>
      </c>
      <c r="W664" t="s">
        <v>10</v>
      </c>
      <c r="X664">
        <v>29.498999999999999</v>
      </c>
      <c r="Y664">
        <v>184.58099999999999</v>
      </c>
      <c r="Z664">
        <v>2.4710000000000001</v>
      </c>
      <c r="AA664">
        <v>1.4E-2</v>
      </c>
      <c r="AB664">
        <v>18.117000000000001</v>
      </c>
      <c r="AC664">
        <v>0</v>
      </c>
      <c r="AD664">
        <v>4.0000000000000001E-3</v>
      </c>
      <c r="AE664">
        <v>0</v>
      </c>
      <c r="AF664">
        <v>2.4969999999999999</v>
      </c>
      <c r="AG664">
        <v>7.7969999999999997</v>
      </c>
      <c r="AH664">
        <v>244.98</v>
      </c>
      <c r="AI664" t="s">
        <v>22</v>
      </c>
      <c r="AJ664">
        <v>1325</v>
      </c>
      <c r="AK664">
        <v>1202.5</v>
      </c>
      <c r="AL664">
        <v>285</v>
      </c>
      <c r="AM664">
        <v>10</v>
      </c>
      <c r="AN664">
        <v>12.5</v>
      </c>
      <c r="AO664">
        <v>0</v>
      </c>
      <c r="AP664">
        <v>0</v>
      </c>
      <c r="AQ664">
        <v>0</v>
      </c>
      <c r="AR664">
        <v>25</v>
      </c>
      <c r="AS664">
        <v>57.5</v>
      </c>
      <c r="AT664">
        <v>2917.5</v>
      </c>
      <c r="AU664" t="s">
        <v>33</v>
      </c>
    </row>
    <row r="665" spans="1:47" x14ac:dyDescent="0.2">
      <c r="A665">
        <v>511</v>
      </c>
      <c r="B665" t="s">
        <v>340</v>
      </c>
      <c r="C665">
        <v>40</v>
      </c>
      <c r="D665" t="s">
        <v>241</v>
      </c>
      <c r="G665" t="str">
        <f t="shared" si="10"/>
        <v>HLY090140CD1</v>
      </c>
      <c r="H665">
        <v>62.676167</v>
      </c>
      <c r="I665">
        <v>-173.371667</v>
      </c>
      <c r="J665" s="3">
        <v>20090327</v>
      </c>
      <c r="K665">
        <v>2009</v>
      </c>
      <c r="L665">
        <v>3.23678</v>
      </c>
      <c r="M665">
        <v>18.809709999999999</v>
      </c>
      <c r="N665">
        <v>1.10764</v>
      </c>
      <c r="O665">
        <v>4.8999999999999998E-3</v>
      </c>
      <c r="P665">
        <v>0.1512</v>
      </c>
      <c r="Q665">
        <v>0</v>
      </c>
      <c r="R665">
        <v>0</v>
      </c>
      <c r="S665">
        <v>0</v>
      </c>
      <c r="T665">
        <v>2.2040000000000001E-2</v>
      </c>
      <c r="U665">
        <v>0.11536</v>
      </c>
      <c r="V665">
        <v>23.44763</v>
      </c>
      <c r="W665" t="s">
        <v>10</v>
      </c>
      <c r="X665">
        <v>44.924999999999997</v>
      </c>
      <c r="Y665">
        <v>545.73199999999997</v>
      </c>
      <c r="Z665">
        <v>13.699</v>
      </c>
      <c r="AA665">
        <v>0.109</v>
      </c>
      <c r="AB665">
        <v>10.8</v>
      </c>
      <c r="AC665">
        <v>0</v>
      </c>
      <c r="AD665">
        <v>0</v>
      </c>
      <c r="AE665">
        <v>0</v>
      </c>
      <c r="AF665">
        <v>0.23699999999999999</v>
      </c>
      <c r="AG665">
        <v>3.117</v>
      </c>
      <c r="AH665">
        <v>618.61900000000003</v>
      </c>
      <c r="AI665" t="s">
        <v>22</v>
      </c>
      <c r="AJ665">
        <v>1107.5</v>
      </c>
      <c r="AK665">
        <v>982.5</v>
      </c>
      <c r="AL665">
        <v>697.5</v>
      </c>
      <c r="AM665">
        <v>5</v>
      </c>
      <c r="AN665">
        <v>5</v>
      </c>
      <c r="AO665">
        <v>0</v>
      </c>
      <c r="AP665">
        <v>0</v>
      </c>
      <c r="AQ665">
        <v>0</v>
      </c>
      <c r="AR665">
        <v>27.5</v>
      </c>
      <c r="AS665">
        <v>57.5</v>
      </c>
      <c r="AT665">
        <v>2882.5</v>
      </c>
      <c r="AU665" t="s">
        <v>33</v>
      </c>
    </row>
    <row r="666" spans="1:47" x14ac:dyDescent="0.2">
      <c r="A666">
        <v>512</v>
      </c>
      <c r="B666" t="s">
        <v>340</v>
      </c>
      <c r="C666">
        <v>41</v>
      </c>
      <c r="D666" t="s">
        <v>243</v>
      </c>
      <c r="G666" t="str">
        <f t="shared" si="10"/>
        <v>HLY090141NWC3</v>
      </c>
      <c r="H666">
        <v>62.760167000000003</v>
      </c>
      <c r="I666">
        <v>-173.81549999999999</v>
      </c>
      <c r="J666" s="3">
        <v>20090328</v>
      </c>
      <c r="K666">
        <v>2009</v>
      </c>
      <c r="L666">
        <v>4.1925499999999998</v>
      </c>
      <c r="M666">
        <v>14.85993</v>
      </c>
      <c r="N666">
        <v>0.61140000000000005</v>
      </c>
      <c r="O666">
        <v>0</v>
      </c>
      <c r="P666">
        <v>0.49454999999999999</v>
      </c>
      <c r="Q666">
        <v>0</v>
      </c>
      <c r="R666">
        <v>3.8999999999999998E-3</v>
      </c>
      <c r="S666">
        <v>0</v>
      </c>
      <c r="T666">
        <v>1.414E-2</v>
      </c>
      <c r="U666">
        <v>0.16921</v>
      </c>
      <c r="V666">
        <v>20.345680000000002</v>
      </c>
      <c r="W666" t="s">
        <v>10</v>
      </c>
      <c r="X666">
        <v>73.391000000000005</v>
      </c>
      <c r="Y666">
        <v>405.702</v>
      </c>
      <c r="Z666">
        <v>7.5590000000000002</v>
      </c>
      <c r="AA666">
        <v>0</v>
      </c>
      <c r="AB666">
        <v>35.325000000000003</v>
      </c>
      <c r="AC666">
        <v>0</v>
      </c>
      <c r="AD666">
        <v>6.4000000000000001E-2</v>
      </c>
      <c r="AE666">
        <v>0</v>
      </c>
      <c r="AF666">
        <v>0.152</v>
      </c>
      <c r="AG666">
        <v>4.7720000000000002</v>
      </c>
      <c r="AH666">
        <v>526.96500000000003</v>
      </c>
      <c r="AI666" t="s">
        <v>22</v>
      </c>
      <c r="AJ666">
        <v>1087.5</v>
      </c>
      <c r="AK666">
        <v>1105</v>
      </c>
      <c r="AL666">
        <v>617.5</v>
      </c>
      <c r="AM666">
        <v>0</v>
      </c>
      <c r="AN666">
        <v>22.5</v>
      </c>
      <c r="AO666">
        <v>0</v>
      </c>
      <c r="AP666">
        <v>5</v>
      </c>
      <c r="AQ666">
        <v>0</v>
      </c>
      <c r="AR666">
        <v>10</v>
      </c>
      <c r="AS666">
        <v>50</v>
      </c>
      <c r="AT666">
        <v>2897.5</v>
      </c>
      <c r="AU666" t="s">
        <v>34</v>
      </c>
    </row>
    <row r="667" spans="1:47" x14ac:dyDescent="0.2">
      <c r="A667">
        <v>513</v>
      </c>
      <c r="B667" t="s">
        <v>340</v>
      </c>
      <c r="C667">
        <v>42</v>
      </c>
      <c r="D667" t="s">
        <v>236</v>
      </c>
      <c r="G667" t="str">
        <f t="shared" si="10"/>
        <v>HLY090142POP4</v>
      </c>
      <c r="H667">
        <v>62.388167000000003</v>
      </c>
      <c r="I667">
        <v>-172.6995</v>
      </c>
      <c r="J667" s="3">
        <v>20090328</v>
      </c>
      <c r="K667">
        <v>2009</v>
      </c>
      <c r="L667">
        <v>3.05321</v>
      </c>
      <c r="M667">
        <v>12.41155</v>
      </c>
      <c r="N667">
        <v>8.1309999999999993E-2</v>
      </c>
      <c r="O667">
        <v>0.26766000000000001</v>
      </c>
      <c r="P667">
        <v>0.40511999999999998</v>
      </c>
      <c r="Q667">
        <v>0</v>
      </c>
      <c r="R667">
        <v>1.83E-3</v>
      </c>
      <c r="S667">
        <v>0</v>
      </c>
      <c r="T667">
        <v>3.4399999999999999E-3</v>
      </c>
      <c r="U667">
        <v>1.436E-2</v>
      </c>
      <c r="V667">
        <v>16.238479999999999</v>
      </c>
      <c r="W667" t="s">
        <v>10</v>
      </c>
      <c r="X667">
        <v>46.558</v>
      </c>
      <c r="Y667">
        <v>417.17899999999997</v>
      </c>
      <c r="Z667">
        <v>1.1240000000000001</v>
      </c>
      <c r="AA667">
        <v>5.9480000000000004</v>
      </c>
      <c r="AB667">
        <v>28.937000000000001</v>
      </c>
      <c r="AC667">
        <v>0</v>
      </c>
      <c r="AD667">
        <v>0.03</v>
      </c>
      <c r="AE667">
        <v>0</v>
      </c>
      <c r="AF667">
        <v>3.6999999999999998E-2</v>
      </c>
      <c r="AG667">
        <v>0.34899999999999998</v>
      </c>
      <c r="AH667">
        <v>500.16199999999998</v>
      </c>
      <c r="AI667" t="s">
        <v>22</v>
      </c>
      <c r="AJ667">
        <v>2087.5</v>
      </c>
      <c r="AK667">
        <v>725</v>
      </c>
      <c r="AL667">
        <v>195</v>
      </c>
      <c r="AM667">
        <v>10</v>
      </c>
      <c r="AN667">
        <v>10</v>
      </c>
      <c r="AO667">
        <v>0</v>
      </c>
      <c r="AP667">
        <v>0</v>
      </c>
      <c r="AQ667">
        <v>0</v>
      </c>
      <c r="AR667">
        <v>5</v>
      </c>
      <c r="AS667">
        <v>12.5</v>
      </c>
      <c r="AT667">
        <v>3045</v>
      </c>
      <c r="AU667" t="s">
        <v>33</v>
      </c>
    </row>
    <row r="668" spans="1:47" x14ac:dyDescent="0.2">
      <c r="A668">
        <v>514</v>
      </c>
      <c r="B668" t="s">
        <v>340</v>
      </c>
      <c r="C668">
        <v>43</v>
      </c>
      <c r="D668" t="s">
        <v>237</v>
      </c>
      <c r="G668" t="str">
        <f t="shared" si="10"/>
        <v>HLY090143SWC4A</v>
      </c>
      <c r="H668">
        <v>62.239333000000002</v>
      </c>
      <c r="I668">
        <v>-173.74116699999999</v>
      </c>
      <c r="J668" s="3">
        <v>20090328</v>
      </c>
      <c r="K668">
        <v>2009</v>
      </c>
      <c r="L668">
        <v>5.6601600000000003</v>
      </c>
      <c r="M668">
        <v>1.17299</v>
      </c>
      <c r="N668">
        <v>1.7581199999999999</v>
      </c>
      <c r="O668">
        <v>1.9400000000000001E-3</v>
      </c>
      <c r="P668">
        <v>0.21274000000000001</v>
      </c>
      <c r="Q668">
        <v>0</v>
      </c>
      <c r="R668">
        <v>0</v>
      </c>
      <c r="S668">
        <v>0</v>
      </c>
      <c r="T668">
        <v>1.29298</v>
      </c>
      <c r="U668">
        <v>0.19108</v>
      </c>
      <c r="V668">
        <v>10.290010000000001</v>
      </c>
      <c r="W668" t="s">
        <v>9</v>
      </c>
      <c r="X668">
        <v>81.087999999999994</v>
      </c>
      <c r="Y668">
        <v>30.661999999999999</v>
      </c>
      <c r="Z668">
        <v>22.689</v>
      </c>
      <c r="AA668">
        <v>4.2999999999999997E-2</v>
      </c>
      <c r="AB668">
        <v>15.196</v>
      </c>
      <c r="AC668">
        <v>0</v>
      </c>
      <c r="AD668">
        <v>0</v>
      </c>
      <c r="AE668">
        <v>0</v>
      </c>
      <c r="AF668">
        <v>13.903</v>
      </c>
      <c r="AG668">
        <v>3.5019999999999998</v>
      </c>
      <c r="AH668">
        <v>167.083</v>
      </c>
      <c r="AI668" t="s">
        <v>21</v>
      </c>
      <c r="AJ668">
        <v>3390</v>
      </c>
      <c r="AK668">
        <v>717.5</v>
      </c>
      <c r="AL668">
        <v>1022.5</v>
      </c>
      <c r="AM668">
        <v>10</v>
      </c>
      <c r="AN668">
        <v>5</v>
      </c>
      <c r="AO668">
        <v>0</v>
      </c>
      <c r="AP668">
        <v>0</v>
      </c>
      <c r="AQ668">
        <v>0</v>
      </c>
      <c r="AR668">
        <v>25</v>
      </c>
      <c r="AS668">
        <v>90</v>
      </c>
      <c r="AT668">
        <v>5260</v>
      </c>
      <c r="AU668" t="s">
        <v>33</v>
      </c>
    </row>
    <row r="669" spans="1:47" x14ac:dyDescent="0.2">
      <c r="A669">
        <v>515</v>
      </c>
      <c r="B669" t="s">
        <v>340</v>
      </c>
      <c r="C669">
        <v>5</v>
      </c>
      <c r="D669" t="s">
        <v>246</v>
      </c>
      <c r="G669" t="str">
        <f t="shared" si="10"/>
        <v>HLY09015NWC2.5</v>
      </c>
      <c r="H669">
        <v>62.969833000000001</v>
      </c>
      <c r="I669">
        <v>-173.384333</v>
      </c>
      <c r="J669" s="3">
        <v>20090316</v>
      </c>
      <c r="K669">
        <v>2009</v>
      </c>
      <c r="L669">
        <v>4.1035700000000004</v>
      </c>
      <c r="M669">
        <v>22.089200000000002</v>
      </c>
      <c r="N669">
        <v>0.18071999999999999</v>
      </c>
      <c r="O669">
        <v>0</v>
      </c>
      <c r="P669">
        <v>0.52608999999999995</v>
      </c>
      <c r="Q669">
        <v>0</v>
      </c>
      <c r="R669">
        <v>2.0699999999999998E-3</v>
      </c>
      <c r="S669">
        <v>0</v>
      </c>
      <c r="T669">
        <v>0.91261000000000003</v>
      </c>
      <c r="U669">
        <v>0.43173</v>
      </c>
      <c r="V669">
        <v>28.245989999999999</v>
      </c>
      <c r="W669" t="s">
        <v>10</v>
      </c>
      <c r="X669">
        <v>81.95</v>
      </c>
      <c r="Y669">
        <v>649.327</v>
      </c>
      <c r="Z669">
        <v>2.2280000000000002</v>
      </c>
      <c r="AA669">
        <v>0</v>
      </c>
      <c r="AB669">
        <v>37.578000000000003</v>
      </c>
      <c r="AC669">
        <v>0</v>
      </c>
      <c r="AD669">
        <v>3.4000000000000002E-2</v>
      </c>
      <c r="AE669">
        <v>0</v>
      </c>
      <c r="AF669">
        <v>9.8130000000000006</v>
      </c>
      <c r="AG669">
        <v>7.6449999999999996</v>
      </c>
      <c r="AH669">
        <v>788.57500000000005</v>
      </c>
      <c r="AI669" t="s">
        <v>22</v>
      </c>
      <c r="AJ669">
        <v>1870</v>
      </c>
      <c r="AK669">
        <v>2122.5</v>
      </c>
      <c r="AL669">
        <v>182.5</v>
      </c>
      <c r="AM669">
        <v>0</v>
      </c>
      <c r="AN669">
        <v>37.5</v>
      </c>
      <c r="AO669">
        <v>0</v>
      </c>
      <c r="AP669">
        <v>0</v>
      </c>
      <c r="AQ669">
        <v>0</v>
      </c>
      <c r="AR669">
        <v>47.5</v>
      </c>
      <c r="AS669">
        <v>92.5</v>
      </c>
      <c r="AT669">
        <v>4352.5</v>
      </c>
      <c r="AU669" t="s">
        <v>34</v>
      </c>
    </row>
    <row r="670" spans="1:47" x14ac:dyDescent="0.2">
      <c r="A670">
        <v>516</v>
      </c>
      <c r="B670" t="s">
        <v>340</v>
      </c>
      <c r="C670">
        <v>6</v>
      </c>
      <c r="D670" t="s">
        <v>248</v>
      </c>
      <c r="G670" t="str">
        <f t="shared" si="10"/>
        <v>HLY09016DLN2</v>
      </c>
      <c r="H670">
        <v>63.277667000000001</v>
      </c>
      <c r="I670">
        <v>-173.73699999999999</v>
      </c>
      <c r="J670" s="3">
        <v>20090317</v>
      </c>
      <c r="K670">
        <v>2009</v>
      </c>
      <c r="L670">
        <v>5.7808599999999997</v>
      </c>
      <c r="M670">
        <v>11.35371</v>
      </c>
      <c r="N670">
        <v>1.29732</v>
      </c>
      <c r="O670">
        <v>3.65E-3</v>
      </c>
      <c r="P670">
        <v>0.77646999999999999</v>
      </c>
      <c r="Q670">
        <v>0</v>
      </c>
      <c r="R670">
        <v>1.8000000000000001E-4</v>
      </c>
      <c r="S670">
        <v>0</v>
      </c>
      <c r="T670">
        <v>1.0946100000000001</v>
      </c>
      <c r="U670">
        <v>0.29503000000000001</v>
      </c>
      <c r="V670">
        <v>20.60183</v>
      </c>
      <c r="W670" t="s">
        <v>10</v>
      </c>
      <c r="X670">
        <v>80.078999999999994</v>
      </c>
      <c r="Y670">
        <v>302.20400000000001</v>
      </c>
      <c r="Z670">
        <v>17.323</v>
      </c>
      <c r="AA670">
        <v>8.1000000000000003E-2</v>
      </c>
      <c r="AB670">
        <v>55.462000000000003</v>
      </c>
      <c r="AC670">
        <v>0</v>
      </c>
      <c r="AD670">
        <v>3.0000000000000001E-3</v>
      </c>
      <c r="AE670">
        <v>0</v>
      </c>
      <c r="AF670">
        <v>11.77</v>
      </c>
      <c r="AG670">
        <v>9.8829999999999991</v>
      </c>
      <c r="AH670">
        <v>476.80500000000001</v>
      </c>
      <c r="AI670" t="s">
        <v>22</v>
      </c>
      <c r="AJ670">
        <v>2007.5</v>
      </c>
      <c r="AK670">
        <v>390</v>
      </c>
      <c r="AL670">
        <v>425</v>
      </c>
      <c r="AM670">
        <v>5</v>
      </c>
      <c r="AN670">
        <v>67.5</v>
      </c>
      <c r="AO670">
        <v>0</v>
      </c>
      <c r="AP670">
        <v>0</v>
      </c>
      <c r="AQ670">
        <v>0</v>
      </c>
      <c r="AR670">
        <v>30</v>
      </c>
      <c r="AS670">
        <v>100</v>
      </c>
      <c r="AT670">
        <v>3025</v>
      </c>
      <c r="AU670" t="s">
        <v>33</v>
      </c>
    </row>
    <row r="671" spans="1:47" x14ac:dyDescent="0.2">
      <c r="A671">
        <v>517</v>
      </c>
      <c r="B671" t="s">
        <v>340</v>
      </c>
      <c r="C671">
        <v>7</v>
      </c>
      <c r="D671" t="s">
        <v>247</v>
      </c>
      <c r="G671" t="str">
        <f t="shared" si="10"/>
        <v>HLY09017NWC2</v>
      </c>
      <c r="H671">
        <v>63.103499999999997</v>
      </c>
      <c r="I671">
        <v>-173.145667</v>
      </c>
      <c r="J671" s="3">
        <v>20090317</v>
      </c>
      <c r="K671">
        <v>2009</v>
      </c>
      <c r="L671">
        <v>2.19007</v>
      </c>
      <c r="M671">
        <v>17.187609999999999</v>
      </c>
      <c r="N671">
        <v>1.3404700000000001</v>
      </c>
      <c r="O671">
        <v>5.0000000000000001E-4</v>
      </c>
      <c r="P671">
        <v>0.36712</v>
      </c>
      <c r="Q671">
        <v>0</v>
      </c>
      <c r="R671">
        <v>4.8799999999999998E-3</v>
      </c>
      <c r="S671">
        <v>0</v>
      </c>
      <c r="T671">
        <v>1.4202999999999999</v>
      </c>
      <c r="U671">
        <v>0.11297</v>
      </c>
      <c r="V671">
        <v>22.623919999999998</v>
      </c>
      <c r="W671" t="s">
        <v>10</v>
      </c>
      <c r="X671">
        <v>38.276000000000003</v>
      </c>
      <c r="Y671">
        <v>551.72199999999998</v>
      </c>
      <c r="Z671">
        <v>16.109000000000002</v>
      </c>
      <c r="AA671">
        <v>1.0999999999999999E-2</v>
      </c>
      <c r="AB671">
        <v>26.222999999999999</v>
      </c>
      <c r="AC671">
        <v>0</v>
      </c>
      <c r="AD671">
        <v>0.08</v>
      </c>
      <c r="AE671">
        <v>0</v>
      </c>
      <c r="AF671">
        <v>15.272</v>
      </c>
      <c r="AG671">
        <v>2.6890000000000001</v>
      </c>
      <c r="AH671">
        <v>650.38199999999995</v>
      </c>
      <c r="AI671" t="s">
        <v>22</v>
      </c>
      <c r="AJ671">
        <v>1070</v>
      </c>
      <c r="AK671">
        <v>2395</v>
      </c>
      <c r="AL671">
        <v>1325</v>
      </c>
      <c r="AM671">
        <v>5</v>
      </c>
      <c r="AN671">
        <v>7.5</v>
      </c>
      <c r="AO671">
        <v>0</v>
      </c>
      <c r="AP671">
        <v>5</v>
      </c>
      <c r="AQ671">
        <v>0</v>
      </c>
      <c r="AR671">
        <v>30</v>
      </c>
      <c r="AS671">
        <v>37.5</v>
      </c>
      <c r="AT671">
        <v>4875</v>
      </c>
      <c r="AU671" t="s">
        <v>34</v>
      </c>
    </row>
    <row r="672" spans="1:47" x14ac:dyDescent="0.2">
      <c r="A672">
        <v>518</v>
      </c>
      <c r="B672" t="s">
        <v>340</v>
      </c>
      <c r="C672">
        <v>8</v>
      </c>
      <c r="D672" t="s">
        <v>309</v>
      </c>
      <c r="G672" t="str">
        <f t="shared" si="10"/>
        <v>HLY09018NWC1</v>
      </c>
      <c r="H672">
        <v>63.486499999999999</v>
      </c>
      <c r="I672">
        <v>-172.316833</v>
      </c>
      <c r="J672" s="3">
        <v>20090317</v>
      </c>
      <c r="K672">
        <v>2009</v>
      </c>
      <c r="L672">
        <v>2.0347</v>
      </c>
      <c r="M672">
        <v>2.2179600000000002</v>
      </c>
      <c r="N672">
        <v>1.6543099999999999</v>
      </c>
      <c r="O672">
        <v>3.2000000000000003E-4</v>
      </c>
      <c r="P672">
        <v>8.8000000000000003E-4</v>
      </c>
      <c r="Q672">
        <v>0</v>
      </c>
      <c r="R672">
        <v>0</v>
      </c>
      <c r="S672">
        <v>0</v>
      </c>
      <c r="T672">
        <v>6.7699999999999996E-2</v>
      </c>
      <c r="U672">
        <v>7.9269999999999993E-2</v>
      </c>
      <c r="V672">
        <v>6.0551399999999997</v>
      </c>
      <c r="W672" t="s">
        <v>10</v>
      </c>
      <c r="X672">
        <v>29.158999999999999</v>
      </c>
      <c r="Y672">
        <v>61.722999999999999</v>
      </c>
      <c r="Z672">
        <v>23.655000000000001</v>
      </c>
      <c r="AA672">
        <v>7.0000000000000001E-3</v>
      </c>
      <c r="AB672">
        <v>6.3E-2</v>
      </c>
      <c r="AC672">
        <v>0</v>
      </c>
      <c r="AD672">
        <v>0</v>
      </c>
      <c r="AE672">
        <v>0</v>
      </c>
      <c r="AF672">
        <v>0.72799999999999998</v>
      </c>
      <c r="AG672">
        <v>3.7429999999999999</v>
      </c>
      <c r="AH672">
        <v>119.078</v>
      </c>
      <c r="AI672" t="s">
        <v>22</v>
      </c>
      <c r="AJ672">
        <v>2262.5</v>
      </c>
      <c r="AK672">
        <v>1697.5</v>
      </c>
      <c r="AL672">
        <v>8400</v>
      </c>
      <c r="AM672">
        <v>5</v>
      </c>
      <c r="AN672">
        <v>7.5</v>
      </c>
      <c r="AO672">
        <v>0</v>
      </c>
      <c r="AP672">
        <v>0</v>
      </c>
      <c r="AQ672">
        <v>0</v>
      </c>
      <c r="AR672">
        <v>35</v>
      </c>
      <c r="AS672">
        <v>392.5</v>
      </c>
      <c r="AT672">
        <v>12800</v>
      </c>
      <c r="AU672" t="s">
        <v>35</v>
      </c>
    </row>
    <row r="673" spans="1:47" x14ac:dyDescent="0.2">
      <c r="A673">
        <v>519</v>
      </c>
      <c r="B673" t="s">
        <v>340</v>
      </c>
      <c r="C673">
        <v>9</v>
      </c>
      <c r="D673" t="s">
        <v>239</v>
      </c>
      <c r="G673" t="str">
        <f t="shared" si="10"/>
        <v>HLY09019VNG3.5</v>
      </c>
      <c r="H673">
        <v>62.565666999999998</v>
      </c>
      <c r="I673">
        <v>-173.56800000000001</v>
      </c>
      <c r="J673" s="3">
        <v>20090318</v>
      </c>
      <c r="K673">
        <v>2009</v>
      </c>
      <c r="L673">
        <v>2.5853000000000002</v>
      </c>
      <c r="M673">
        <v>15.61218</v>
      </c>
      <c r="N673">
        <v>0.16045000000000001</v>
      </c>
      <c r="O673">
        <v>5.6570000000000002E-2</v>
      </c>
      <c r="P673">
        <v>0.56049000000000004</v>
      </c>
      <c r="Q673">
        <v>0</v>
      </c>
      <c r="R673">
        <v>5.5000000000000003E-4</v>
      </c>
      <c r="S673">
        <v>0</v>
      </c>
      <c r="T673">
        <v>6.1379999999999997E-2</v>
      </c>
      <c r="U673">
        <v>9.0039999999999995E-2</v>
      </c>
      <c r="V673">
        <v>19.12696</v>
      </c>
      <c r="W673" t="s">
        <v>10</v>
      </c>
      <c r="X673">
        <v>41.204000000000001</v>
      </c>
      <c r="Y673">
        <v>498.53199999999998</v>
      </c>
      <c r="Z673">
        <v>1.8919999999999999</v>
      </c>
      <c r="AA673">
        <v>1.2569999999999999</v>
      </c>
      <c r="AB673">
        <v>40.034999999999997</v>
      </c>
      <c r="AC673">
        <v>0</v>
      </c>
      <c r="AD673">
        <v>8.9999999999999993E-3</v>
      </c>
      <c r="AE673">
        <v>0</v>
      </c>
      <c r="AF673">
        <v>0.66</v>
      </c>
      <c r="AG673">
        <v>3.6349999999999998</v>
      </c>
      <c r="AH673">
        <v>587.22400000000005</v>
      </c>
      <c r="AI673" t="s">
        <v>22</v>
      </c>
      <c r="AJ673">
        <v>937.5</v>
      </c>
      <c r="AK673">
        <v>1115</v>
      </c>
      <c r="AL673">
        <v>220</v>
      </c>
      <c r="AM673">
        <v>32.5</v>
      </c>
      <c r="AN673">
        <v>25</v>
      </c>
      <c r="AO673">
        <v>0</v>
      </c>
      <c r="AP673">
        <v>0</v>
      </c>
      <c r="AQ673">
        <v>0</v>
      </c>
      <c r="AR673">
        <v>27.5</v>
      </c>
      <c r="AS673">
        <v>40</v>
      </c>
      <c r="AT673">
        <v>2397.5</v>
      </c>
      <c r="AU673" t="s">
        <v>34</v>
      </c>
    </row>
    <row r="674" spans="1:47" x14ac:dyDescent="0.2">
      <c r="A674">
        <v>997</v>
      </c>
      <c r="B674" s="4" t="s">
        <v>935</v>
      </c>
      <c r="C674">
        <v>100</v>
      </c>
      <c r="D674" t="s">
        <v>444</v>
      </c>
      <c r="G674" t="str">
        <f t="shared" si="10"/>
        <v>RUSALCA09100HC55</v>
      </c>
      <c r="H674">
        <v>73.057500000000005</v>
      </c>
      <c r="I674">
        <v>-174.01300000000001</v>
      </c>
      <c r="J674" s="3">
        <v>20090914</v>
      </c>
      <c r="K674">
        <v>2009</v>
      </c>
      <c r="L674">
        <v>0.69421999999999995</v>
      </c>
      <c r="M674">
        <v>0.24584</v>
      </c>
      <c r="N674">
        <v>1.0370000000000001E-2</v>
      </c>
      <c r="O674">
        <v>0</v>
      </c>
      <c r="P674">
        <v>6.9999999999999994E-5</v>
      </c>
      <c r="Q674">
        <v>0</v>
      </c>
      <c r="R674">
        <v>0</v>
      </c>
      <c r="S674">
        <v>0</v>
      </c>
      <c r="T674">
        <v>4.3966700000000003</v>
      </c>
      <c r="U674">
        <v>0.31644</v>
      </c>
      <c r="V674">
        <v>5.6636100000000003</v>
      </c>
      <c r="W674" t="s">
        <v>17</v>
      </c>
      <c r="X674">
        <v>9.9499999999999993</v>
      </c>
      <c r="Y674">
        <v>6.0469999999999997</v>
      </c>
      <c r="Z674">
        <v>0.128</v>
      </c>
      <c r="AA674">
        <v>0</v>
      </c>
      <c r="AB674">
        <v>5.0000000000000001E-3</v>
      </c>
      <c r="AC674">
        <v>0</v>
      </c>
      <c r="AD674">
        <v>0</v>
      </c>
      <c r="AE674">
        <v>0</v>
      </c>
      <c r="AF674">
        <v>47.276000000000003</v>
      </c>
      <c r="AG674">
        <v>29.934000000000001</v>
      </c>
      <c r="AH674">
        <v>93.34</v>
      </c>
      <c r="AI674" t="s">
        <v>29</v>
      </c>
      <c r="AJ674">
        <v>132.5</v>
      </c>
      <c r="AK674">
        <v>92.5</v>
      </c>
      <c r="AL674">
        <v>7.5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7.5</v>
      </c>
      <c r="AS674">
        <v>15</v>
      </c>
      <c r="AT674">
        <v>255</v>
      </c>
      <c r="AU674" t="s">
        <v>33</v>
      </c>
    </row>
    <row r="675" spans="1:47" x14ac:dyDescent="0.2">
      <c r="A675">
        <v>998</v>
      </c>
      <c r="B675" s="4" t="s">
        <v>935</v>
      </c>
      <c r="C675">
        <v>11</v>
      </c>
      <c r="D675" s="4" t="s">
        <v>936</v>
      </c>
      <c r="E675" s="4" t="s">
        <v>936</v>
      </c>
      <c r="F675" s="4" t="s">
        <v>445</v>
      </c>
      <c r="G675" t="str">
        <f t="shared" si="10"/>
        <v>RUSALCA0911DBO3.10</v>
      </c>
      <c r="H675">
        <v>67.431167000000002</v>
      </c>
      <c r="I675">
        <v>-169.61</v>
      </c>
      <c r="J675" s="3">
        <v>20090927</v>
      </c>
      <c r="K675">
        <v>2009</v>
      </c>
      <c r="L675">
        <v>3.3272699999999999</v>
      </c>
      <c r="M675">
        <v>94.712959999999995</v>
      </c>
      <c r="N675">
        <v>0.30435000000000001</v>
      </c>
      <c r="O675">
        <v>0</v>
      </c>
      <c r="P675">
        <v>0</v>
      </c>
      <c r="Q675">
        <v>0</v>
      </c>
      <c r="R675">
        <v>1.3657900000000001</v>
      </c>
      <c r="S675">
        <v>0</v>
      </c>
      <c r="T675">
        <v>4.6000000000000001E-4</v>
      </c>
      <c r="U675">
        <v>6.0999999999999997E-4</v>
      </c>
      <c r="V675">
        <v>99.711439999999996</v>
      </c>
      <c r="W675" t="s">
        <v>10</v>
      </c>
      <c r="X675">
        <v>44.143999999999998</v>
      </c>
      <c r="Y675">
        <v>2695.1469999999999</v>
      </c>
      <c r="Z675">
        <v>3.6480000000000001</v>
      </c>
      <c r="AA675">
        <v>0</v>
      </c>
      <c r="AB675">
        <v>0</v>
      </c>
      <c r="AC675">
        <v>0</v>
      </c>
      <c r="AD675">
        <v>22.39</v>
      </c>
      <c r="AE675">
        <v>0</v>
      </c>
      <c r="AF675">
        <v>5.0000000000000001E-3</v>
      </c>
      <c r="AG675">
        <v>1.2999999999999999E-2</v>
      </c>
      <c r="AH675">
        <v>2765.3470000000002</v>
      </c>
      <c r="AI675" t="s">
        <v>22</v>
      </c>
      <c r="AJ675">
        <v>802.5</v>
      </c>
      <c r="AK675">
        <v>1677.5</v>
      </c>
      <c r="AL675">
        <v>680</v>
      </c>
      <c r="AM675">
        <v>0</v>
      </c>
      <c r="AN675">
        <v>0</v>
      </c>
      <c r="AO675">
        <v>0</v>
      </c>
      <c r="AP675">
        <v>17.5</v>
      </c>
      <c r="AQ675">
        <v>0</v>
      </c>
      <c r="AR675">
        <v>7.5</v>
      </c>
      <c r="AS675">
        <v>15</v>
      </c>
      <c r="AT675">
        <v>3200</v>
      </c>
      <c r="AU675" t="s">
        <v>34</v>
      </c>
    </row>
    <row r="676" spans="1:47" x14ac:dyDescent="0.2">
      <c r="A676">
        <v>999</v>
      </c>
      <c r="B676" s="4" t="s">
        <v>935</v>
      </c>
      <c r="C676">
        <v>118</v>
      </c>
      <c r="D676" t="s">
        <v>446</v>
      </c>
      <c r="G676" t="str">
        <f t="shared" si="10"/>
        <v>RUSALCA09118GD7</v>
      </c>
      <c r="H676">
        <v>76.664332999999999</v>
      </c>
      <c r="I676">
        <v>-164.01300000000001</v>
      </c>
      <c r="J676" s="3">
        <v>20090920</v>
      </c>
      <c r="K676">
        <v>2009</v>
      </c>
      <c r="L676">
        <v>9.9799999999999993E-3</v>
      </c>
      <c r="M676">
        <v>4.4999999999999999E-4</v>
      </c>
      <c r="N676">
        <v>0.11559</v>
      </c>
      <c r="O676">
        <v>2.3800000000000002E-3</v>
      </c>
      <c r="P676">
        <v>2.7E-4</v>
      </c>
      <c r="Q676">
        <v>0</v>
      </c>
      <c r="R676">
        <v>1.8000000000000001E-4</v>
      </c>
      <c r="S676">
        <v>0</v>
      </c>
      <c r="T676">
        <v>1.004E-2</v>
      </c>
      <c r="U676">
        <v>4.7600000000000003E-3</v>
      </c>
      <c r="V676">
        <v>0.14365</v>
      </c>
      <c r="W676" t="s">
        <v>11</v>
      </c>
      <c r="X676">
        <v>0.13900000000000001</v>
      </c>
      <c r="Y676">
        <v>1.4999999999999999E-2</v>
      </c>
      <c r="Z676">
        <v>1.5620000000000001</v>
      </c>
      <c r="AA676">
        <v>5.2999999999999999E-2</v>
      </c>
      <c r="AB676">
        <v>1.9E-2</v>
      </c>
      <c r="AC676">
        <v>0</v>
      </c>
      <c r="AD676">
        <v>3.0000000000000001E-3</v>
      </c>
      <c r="AE676">
        <v>0</v>
      </c>
      <c r="AF676">
        <v>0.108</v>
      </c>
      <c r="AG676">
        <v>0.33300000000000002</v>
      </c>
      <c r="AH676">
        <v>2.2320000000000002</v>
      </c>
      <c r="AI676" t="s">
        <v>23</v>
      </c>
      <c r="AJ676">
        <v>5</v>
      </c>
      <c r="AK676">
        <v>15</v>
      </c>
      <c r="AL676">
        <v>1642.5</v>
      </c>
      <c r="AM676">
        <v>2.5</v>
      </c>
      <c r="AN676">
        <v>0</v>
      </c>
      <c r="AO676">
        <v>0</v>
      </c>
      <c r="AP676">
        <v>0</v>
      </c>
      <c r="AQ676">
        <v>0</v>
      </c>
      <c r="AR676">
        <v>15</v>
      </c>
      <c r="AS676">
        <v>0</v>
      </c>
      <c r="AT676">
        <v>1680</v>
      </c>
      <c r="AU676" t="s">
        <v>35</v>
      </c>
    </row>
    <row r="677" spans="1:47" x14ac:dyDescent="0.2">
      <c r="A677">
        <v>1000</v>
      </c>
      <c r="B677" s="4" t="s">
        <v>935</v>
      </c>
      <c r="C677">
        <v>119</v>
      </c>
      <c r="D677" t="s">
        <v>447</v>
      </c>
      <c r="G677" t="str">
        <f t="shared" si="10"/>
        <v>RUSALCA09119LS1</v>
      </c>
      <c r="H677">
        <v>69.829982999999999</v>
      </c>
      <c r="I677">
        <v>178.00643299999999</v>
      </c>
      <c r="J677" s="3">
        <v>20090908</v>
      </c>
      <c r="K677">
        <v>2009</v>
      </c>
      <c r="L677">
        <v>3.29765</v>
      </c>
      <c r="M677">
        <v>3.66716</v>
      </c>
      <c r="N677">
        <v>0.17548</v>
      </c>
      <c r="O677">
        <v>0</v>
      </c>
      <c r="P677">
        <v>0.36442000000000002</v>
      </c>
      <c r="Q677">
        <v>0</v>
      </c>
      <c r="R677">
        <v>0.19239000000000001</v>
      </c>
      <c r="S677">
        <v>7.442E-2</v>
      </c>
      <c r="T677">
        <v>4.3699999999999998E-3</v>
      </c>
      <c r="U677">
        <v>0.88985999999999998</v>
      </c>
      <c r="V677">
        <v>8.6657499999999992</v>
      </c>
      <c r="W677" t="s">
        <v>10</v>
      </c>
      <c r="X677">
        <v>47.69</v>
      </c>
      <c r="Y677">
        <v>100.371</v>
      </c>
      <c r="Z677">
        <v>2.355</v>
      </c>
      <c r="AA677">
        <v>0</v>
      </c>
      <c r="AB677">
        <v>26.03</v>
      </c>
      <c r="AC677">
        <v>0</v>
      </c>
      <c r="AD677">
        <v>3.1539999999999999</v>
      </c>
      <c r="AE677">
        <v>5.3159999999999998</v>
      </c>
      <c r="AF677">
        <v>4.7E-2</v>
      </c>
      <c r="AG677">
        <v>14.74</v>
      </c>
      <c r="AH677">
        <v>199.703</v>
      </c>
      <c r="AI677" t="s">
        <v>22</v>
      </c>
      <c r="AJ677">
        <v>1295</v>
      </c>
      <c r="AK677">
        <v>705</v>
      </c>
      <c r="AL677">
        <v>127.5</v>
      </c>
      <c r="AM677">
        <v>0</v>
      </c>
      <c r="AN677">
        <v>32.5</v>
      </c>
      <c r="AO677">
        <v>0</v>
      </c>
      <c r="AP677">
        <v>5</v>
      </c>
      <c r="AQ677">
        <v>7.5</v>
      </c>
      <c r="AR677">
        <v>7.5</v>
      </c>
      <c r="AS677">
        <v>60</v>
      </c>
      <c r="AT677">
        <v>2240</v>
      </c>
      <c r="AU677" t="s">
        <v>33</v>
      </c>
    </row>
    <row r="678" spans="1:47" x14ac:dyDescent="0.2">
      <c r="A678">
        <v>1001</v>
      </c>
      <c r="B678" s="4" t="s">
        <v>935</v>
      </c>
      <c r="C678">
        <v>121</v>
      </c>
      <c r="D678" t="s">
        <v>448</v>
      </c>
      <c r="G678" t="str">
        <f t="shared" si="10"/>
        <v>RUSALCA09121LS3</v>
      </c>
      <c r="H678">
        <v>70.335832999999994</v>
      </c>
      <c r="I678">
        <v>178.33</v>
      </c>
      <c r="J678" s="3">
        <v>20090908</v>
      </c>
      <c r="K678">
        <v>2009</v>
      </c>
      <c r="L678">
        <v>4.2142400000000002</v>
      </c>
      <c r="M678">
        <v>3.28762</v>
      </c>
      <c r="N678">
        <v>2.4850000000000001E-2</v>
      </c>
      <c r="O678">
        <v>8.0600000000000005E-2</v>
      </c>
      <c r="P678">
        <v>0.26152999999999998</v>
      </c>
      <c r="Q678">
        <v>0</v>
      </c>
      <c r="R678">
        <v>0.39833000000000002</v>
      </c>
      <c r="S678">
        <v>0.10872</v>
      </c>
      <c r="T678">
        <v>1.8600000000000001E-3</v>
      </c>
      <c r="U678">
        <v>1.0070000000000001E-2</v>
      </c>
      <c r="V678">
        <v>8.3878199999999996</v>
      </c>
      <c r="W678" t="s">
        <v>9</v>
      </c>
      <c r="X678">
        <v>59.881</v>
      </c>
      <c r="Y678">
        <v>100.929</v>
      </c>
      <c r="Z678">
        <v>0.309</v>
      </c>
      <c r="AA678">
        <v>1.7909999999999999</v>
      </c>
      <c r="AB678">
        <v>18.681000000000001</v>
      </c>
      <c r="AC678">
        <v>0</v>
      </c>
      <c r="AD678">
        <v>6.53</v>
      </c>
      <c r="AE678">
        <v>7.766</v>
      </c>
      <c r="AF678">
        <v>0.02</v>
      </c>
      <c r="AG678">
        <v>0.45600000000000002</v>
      </c>
      <c r="AH678">
        <v>196.363</v>
      </c>
      <c r="AI678" t="s">
        <v>22</v>
      </c>
      <c r="AJ678">
        <v>300</v>
      </c>
      <c r="AK678">
        <v>907.5</v>
      </c>
      <c r="AL678">
        <v>57.5</v>
      </c>
      <c r="AM678">
        <v>25</v>
      </c>
      <c r="AN678">
        <v>25</v>
      </c>
      <c r="AO678">
        <v>0</v>
      </c>
      <c r="AP678">
        <v>2.5</v>
      </c>
      <c r="AQ678">
        <v>5</v>
      </c>
      <c r="AR678">
        <v>5</v>
      </c>
      <c r="AS678">
        <v>65</v>
      </c>
      <c r="AT678">
        <v>1392.5</v>
      </c>
      <c r="AU678" t="s">
        <v>34</v>
      </c>
    </row>
    <row r="679" spans="1:47" x14ac:dyDescent="0.2">
      <c r="A679">
        <v>1002</v>
      </c>
      <c r="B679" s="4" t="s">
        <v>935</v>
      </c>
      <c r="C679">
        <v>125</v>
      </c>
      <c r="D679" t="s">
        <v>449</v>
      </c>
      <c r="G679" t="str">
        <f t="shared" si="10"/>
        <v>RUSALCA09125CEN3</v>
      </c>
      <c r="H679">
        <v>70.284000000000006</v>
      </c>
      <c r="I679">
        <v>-176.66900000000001</v>
      </c>
      <c r="J679" s="3">
        <v>20090906</v>
      </c>
      <c r="K679">
        <v>2009</v>
      </c>
      <c r="L679">
        <v>4.23332</v>
      </c>
      <c r="M679">
        <v>0.24787000000000001</v>
      </c>
      <c r="N679">
        <v>4.4000000000000002E-4</v>
      </c>
      <c r="O679">
        <v>0</v>
      </c>
      <c r="P679">
        <v>2.1000000000000001E-4</v>
      </c>
      <c r="Q679">
        <v>0</v>
      </c>
      <c r="R679">
        <v>3.1700000000000001E-3</v>
      </c>
      <c r="S679">
        <v>0</v>
      </c>
      <c r="T679">
        <v>0</v>
      </c>
      <c r="U679">
        <v>3.0700000000000002E-2</v>
      </c>
      <c r="V679">
        <v>4.5157100000000003</v>
      </c>
      <c r="W679" t="s">
        <v>9</v>
      </c>
      <c r="X679">
        <v>63.456000000000003</v>
      </c>
      <c r="Y679">
        <v>6.9329999999999998</v>
      </c>
      <c r="Z679">
        <v>6.0000000000000001E-3</v>
      </c>
      <c r="AA679">
        <v>0</v>
      </c>
      <c r="AB679">
        <v>1.4999999999999999E-2</v>
      </c>
      <c r="AC679">
        <v>0</v>
      </c>
      <c r="AD679">
        <v>5.1999999999999998E-2</v>
      </c>
      <c r="AE679">
        <v>0</v>
      </c>
      <c r="AF679">
        <v>0</v>
      </c>
      <c r="AG679">
        <v>0.499</v>
      </c>
      <c r="AH679">
        <v>70.960999999999999</v>
      </c>
      <c r="AI679" t="s">
        <v>21</v>
      </c>
      <c r="AJ679">
        <v>140</v>
      </c>
      <c r="AK679">
        <v>260</v>
      </c>
      <c r="AL679">
        <v>7.5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12.5</v>
      </c>
      <c r="AT679">
        <v>420</v>
      </c>
      <c r="AU679" t="s">
        <v>34</v>
      </c>
    </row>
    <row r="680" spans="1:47" x14ac:dyDescent="0.2">
      <c r="A680">
        <v>1003</v>
      </c>
      <c r="B680" s="4" t="s">
        <v>935</v>
      </c>
      <c r="C680">
        <v>127</v>
      </c>
      <c r="D680" t="s">
        <v>450</v>
      </c>
      <c r="G680" t="str">
        <f t="shared" si="10"/>
        <v>RUSALCA09127CEN5</v>
      </c>
      <c r="H680">
        <v>69.684332999999995</v>
      </c>
      <c r="I680">
        <v>-174.84299999999999</v>
      </c>
      <c r="J680" s="3">
        <v>20090906</v>
      </c>
      <c r="K680">
        <v>2009</v>
      </c>
      <c r="L680">
        <v>0.30693999999999999</v>
      </c>
      <c r="M680">
        <v>1.481E-2</v>
      </c>
      <c r="N680">
        <v>1.2600000000000001E-3</v>
      </c>
      <c r="O680">
        <v>0</v>
      </c>
      <c r="P680">
        <v>1.47E-3</v>
      </c>
      <c r="Q680">
        <v>0</v>
      </c>
      <c r="R680">
        <v>0</v>
      </c>
      <c r="S680">
        <v>0</v>
      </c>
      <c r="T680">
        <v>9.4950000000000007E-2</v>
      </c>
      <c r="U680">
        <v>8.7000000000000001E-4</v>
      </c>
      <c r="V680">
        <v>0.42030000000000001</v>
      </c>
      <c r="W680" t="s">
        <v>9</v>
      </c>
      <c r="X680">
        <v>4.9550000000000001</v>
      </c>
      <c r="Y680">
        <v>0.58799999999999997</v>
      </c>
      <c r="Z680">
        <v>1.7000000000000001E-2</v>
      </c>
      <c r="AA680">
        <v>0</v>
      </c>
      <c r="AB680">
        <v>0.105</v>
      </c>
      <c r="AC680">
        <v>0</v>
      </c>
      <c r="AD680">
        <v>0</v>
      </c>
      <c r="AE680">
        <v>0</v>
      </c>
      <c r="AF680">
        <v>1.0209999999999999</v>
      </c>
      <c r="AG680">
        <v>4.2999999999999997E-2</v>
      </c>
      <c r="AH680">
        <v>6.7290000000000001</v>
      </c>
      <c r="AI680" t="s">
        <v>21</v>
      </c>
      <c r="AJ680">
        <v>77.5</v>
      </c>
      <c r="AK680">
        <v>165</v>
      </c>
      <c r="AL680">
        <v>12.5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17.5</v>
      </c>
      <c r="AS680">
        <v>7.5</v>
      </c>
      <c r="AT680">
        <v>280</v>
      </c>
      <c r="AU680" t="s">
        <v>34</v>
      </c>
    </row>
    <row r="681" spans="1:47" x14ac:dyDescent="0.2">
      <c r="A681">
        <v>1004</v>
      </c>
      <c r="B681" s="4" t="s">
        <v>935</v>
      </c>
      <c r="C681">
        <v>136</v>
      </c>
      <c r="D681" t="s">
        <v>451</v>
      </c>
      <c r="G681" t="str">
        <f t="shared" si="10"/>
        <v>RUSALCA09136WN1</v>
      </c>
      <c r="H681">
        <v>71.664833000000002</v>
      </c>
      <c r="I681">
        <v>179.499</v>
      </c>
      <c r="J681" s="3">
        <v>20090911</v>
      </c>
      <c r="K681">
        <v>2009</v>
      </c>
      <c r="L681">
        <v>3.0362</v>
      </c>
      <c r="M681">
        <v>5.56473</v>
      </c>
      <c r="N681">
        <v>1.45157</v>
      </c>
      <c r="O681">
        <v>1.3999999999999999E-4</v>
      </c>
      <c r="P681">
        <v>0.12376</v>
      </c>
      <c r="Q681">
        <v>0</v>
      </c>
      <c r="R681">
        <v>0.26680999999999999</v>
      </c>
      <c r="S681">
        <v>3.1773699999999998</v>
      </c>
      <c r="T681">
        <v>0</v>
      </c>
      <c r="U681">
        <v>0.15062999999999999</v>
      </c>
      <c r="V681">
        <v>13.77121</v>
      </c>
      <c r="W681" t="s">
        <v>10</v>
      </c>
      <c r="X681">
        <v>49.390999999999998</v>
      </c>
      <c r="Y681">
        <v>151.274</v>
      </c>
      <c r="Z681">
        <v>19.346</v>
      </c>
      <c r="AA681">
        <v>3.0000000000000001E-3</v>
      </c>
      <c r="AB681">
        <v>8.84</v>
      </c>
      <c r="AC681">
        <v>0</v>
      </c>
      <c r="AD681">
        <v>4.3739999999999997</v>
      </c>
      <c r="AE681">
        <v>226.95500000000001</v>
      </c>
      <c r="AF681">
        <v>0</v>
      </c>
      <c r="AG681">
        <v>4.7939999999999996</v>
      </c>
      <c r="AH681">
        <v>464.97699999999998</v>
      </c>
      <c r="AI681" t="s">
        <v>28</v>
      </c>
      <c r="AJ681">
        <v>977.5</v>
      </c>
      <c r="AK681">
        <v>630</v>
      </c>
      <c r="AL681">
        <v>620</v>
      </c>
      <c r="AM681">
        <v>2.5</v>
      </c>
      <c r="AN681">
        <v>57.5</v>
      </c>
      <c r="AO681">
        <v>0</v>
      </c>
      <c r="AP681">
        <v>2.5</v>
      </c>
      <c r="AQ681">
        <v>60</v>
      </c>
      <c r="AR681">
        <v>0</v>
      </c>
      <c r="AS681">
        <v>52.5</v>
      </c>
      <c r="AT681">
        <v>2402.5</v>
      </c>
      <c r="AU681" t="s">
        <v>33</v>
      </c>
    </row>
    <row r="682" spans="1:47" x14ac:dyDescent="0.2">
      <c r="A682">
        <v>1005</v>
      </c>
      <c r="B682" s="4" t="s">
        <v>935</v>
      </c>
      <c r="C682">
        <v>137</v>
      </c>
      <c r="D682" t="s">
        <v>452</v>
      </c>
      <c r="G682" t="str">
        <f t="shared" si="10"/>
        <v>RUSALCA09137WN2</v>
      </c>
      <c r="H682">
        <v>72.334500000000006</v>
      </c>
      <c r="I682">
        <v>178.50299999999999</v>
      </c>
      <c r="J682" s="3">
        <v>20090911</v>
      </c>
      <c r="K682">
        <v>2009</v>
      </c>
      <c r="L682">
        <v>1.87846</v>
      </c>
      <c r="M682">
        <v>0.57540999999999998</v>
      </c>
      <c r="N682">
        <v>0.88053000000000003</v>
      </c>
      <c r="O682">
        <v>0</v>
      </c>
      <c r="P682">
        <v>3.9489999999999997E-2</v>
      </c>
      <c r="Q682">
        <v>0</v>
      </c>
      <c r="R682">
        <v>0.50263999999999998</v>
      </c>
      <c r="S682">
        <v>0</v>
      </c>
      <c r="T682">
        <v>0</v>
      </c>
      <c r="U682">
        <v>2.512E-2</v>
      </c>
      <c r="V682">
        <v>3.9016500000000001</v>
      </c>
      <c r="W682" t="s">
        <v>9</v>
      </c>
      <c r="X682">
        <v>27.125</v>
      </c>
      <c r="Y682">
        <v>15.432</v>
      </c>
      <c r="Z682">
        <v>11.903</v>
      </c>
      <c r="AA682">
        <v>0</v>
      </c>
      <c r="AB682">
        <v>2.8210000000000002</v>
      </c>
      <c r="AC682">
        <v>0</v>
      </c>
      <c r="AD682">
        <v>8.24</v>
      </c>
      <c r="AE682">
        <v>0</v>
      </c>
      <c r="AF682">
        <v>0</v>
      </c>
      <c r="AG682">
        <v>0.51200000000000001</v>
      </c>
      <c r="AH682">
        <v>66.033000000000001</v>
      </c>
      <c r="AI682" t="s">
        <v>21</v>
      </c>
      <c r="AJ682">
        <v>695</v>
      </c>
      <c r="AK682">
        <v>785</v>
      </c>
      <c r="AL682">
        <v>130</v>
      </c>
      <c r="AM682">
        <v>0</v>
      </c>
      <c r="AN682">
        <v>22.5</v>
      </c>
      <c r="AO682">
        <v>0</v>
      </c>
      <c r="AP682">
        <v>2.5</v>
      </c>
      <c r="AQ682">
        <v>0</v>
      </c>
      <c r="AR682">
        <v>0</v>
      </c>
      <c r="AS682">
        <v>37.5</v>
      </c>
      <c r="AT682">
        <v>1672.5</v>
      </c>
      <c r="AU682" t="s">
        <v>34</v>
      </c>
    </row>
    <row r="683" spans="1:47" x14ac:dyDescent="0.2">
      <c r="A683">
        <v>1006</v>
      </c>
      <c r="B683" s="4" t="s">
        <v>935</v>
      </c>
      <c r="C683">
        <v>138</v>
      </c>
      <c r="D683" t="s">
        <v>453</v>
      </c>
      <c r="G683" t="str">
        <f t="shared" si="10"/>
        <v>RUSALCA09138WN3</v>
      </c>
      <c r="H683">
        <v>72.664167000000006</v>
      </c>
      <c r="I683">
        <v>177.66900000000001</v>
      </c>
      <c r="J683" s="3">
        <v>20090910</v>
      </c>
      <c r="K683">
        <v>2009</v>
      </c>
      <c r="L683">
        <v>1.9709099999999999</v>
      </c>
      <c r="M683">
        <v>2.4885799999999998</v>
      </c>
      <c r="N683">
        <v>1.32253</v>
      </c>
      <c r="O683">
        <v>4.28E-3</v>
      </c>
      <c r="P683">
        <v>4.7890000000000002E-2</v>
      </c>
      <c r="Q683">
        <v>0</v>
      </c>
      <c r="R683">
        <v>1.7890200000000001</v>
      </c>
      <c r="S683">
        <v>0</v>
      </c>
      <c r="T683">
        <v>0.17884</v>
      </c>
      <c r="U683">
        <v>0.76014999999999999</v>
      </c>
      <c r="V683">
        <v>8.5622000000000007</v>
      </c>
      <c r="W683" t="s">
        <v>10</v>
      </c>
      <c r="X683">
        <v>28.742000000000001</v>
      </c>
      <c r="Y683">
        <v>113.145</v>
      </c>
      <c r="Z683">
        <v>18.847999999999999</v>
      </c>
      <c r="AA683">
        <v>9.5000000000000001E-2</v>
      </c>
      <c r="AB683">
        <v>3.4209999999999998</v>
      </c>
      <c r="AC683">
        <v>0</v>
      </c>
      <c r="AD683">
        <v>30.036999999999999</v>
      </c>
      <c r="AE683">
        <v>0</v>
      </c>
      <c r="AF683">
        <v>1.923</v>
      </c>
      <c r="AG683">
        <v>17.073</v>
      </c>
      <c r="AH683">
        <v>213.28399999999999</v>
      </c>
      <c r="AI683" t="s">
        <v>22</v>
      </c>
      <c r="AJ683">
        <v>465</v>
      </c>
      <c r="AK683">
        <v>667.5</v>
      </c>
      <c r="AL683">
        <v>550</v>
      </c>
      <c r="AM683">
        <v>7.5</v>
      </c>
      <c r="AN683">
        <v>45</v>
      </c>
      <c r="AO683">
        <v>0</v>
      </c>
      <c r="AP683">
        <v>7.5</v>
      </c>
      <c r="AQ683">
        <v>0</v>
      </c>
      <c r="AR683">
        <v>17.5</v>
      </c>
      <c r="AS683">
        <v>27.5</v>
      </c>
      <c r="AT683">
        <v>1787.5</v>
      </c>
      <c r="AU683" t="s">
        <v>34</v>
      </c>
    </row>
    <row r="684" spans="1:47" x14ac:dyDescent="0.2">
      <c r="A684">
        <v>1007</v>
      </c>
      <c r="B684" s="4" t="s">
        <v>935</v>
      </c>
      <c r="C684">
        <v>143</v>
      </c>
      <c r="D684" t="s">
        <v>454</v>
      </c>
      <c r="G684" t="str">
        <f t="shared" si="10"/>
        <v>RUSALCA09143SS3</v>
      </c>
      <c r="H684">
        <v>72.420833000000002</v>
      </c>
      <c r="I684">
        <v>172.00700000000001</v>
      </c>
      <c r="J684" s="3">
        <v>20090910</v>
      </c>
      <c r="K684">
        <v>2009</v>
      </c>
      <c r="L684">
        <v>0.99087999999999998</v>
      </c>
      <c r="M684">
        <v>4.2564599999999997</v>
      </c>
      <c r="N684">
        <v>0.21418999999999999</v>
      </c>
      <c r="O684">
        <v>7.0699999999999999E-3</v>
      </c>
      <c r="P684">
        <v>8.9300000000000004E-3</v>
      </c>
      <c r="Q684">
        <v>0</v>
      </c>
      <c r="R684">
        <v>0</v>
      </c>
      <c r="S684">
        <v>0</v>
      </c>
      <c r="T684">
        <v>0.29946</v>
      </c>
      <c r="U684">
        <v>0.61672000000000005</v>
      </c>
      <c r="V684">
        <v>6.3937099999999996</v>
      </c>
      <c r="W684" t="s">
        <v>10</v>
      </c>
      <c r="X684">
        <v>13.438000000000001</v>
      </c>
      <c r="Y684">
        <v>110.033</v>
      </c>
      <c r="Z684">
        <v>2.9089999999999998</v>
      </c>
      <c r="AA684">
        <v>0.157</v>
      </c>
      <c r="AB684">
        <v>0.63800000000000001</v>
      </c>
      <c r="AC684">
        <v>0</v>
      </c>
      <c r="AD684">
        <v>0</v>
      </c>
      <c r="AE684">
        <v>0</v>
      </c>
      <c r="AF684">
        <v>3.22</v>
      </c>
      <c r="AG684">
        <v>29.13</v>
      </c>
      <c r="AH684">
        <v>159.52500000000001</v>
      </c>
      <c r="AI684" t="s">
        <v>22</v>
      </c>
      <c r="AJ684">
        <v>617.5</v>
      </c>
      <c r="AK684">
        <v>1850</v>
      </c>
      <c r="AL684">
        <v>57.5</v>
      </c>
      <c r="AM684">
        <v>12.5</v>
      </c>
      <c r="AN684">
        <v>20</v>
      </c>
      <c r="AO684">
        <v>0</v>
      </c>
      <c r="AP684">
        <v>0</v>
      </c>
      <c r="AQ684">
        <v>0</v>
      </c>
      <c r="AR684">
        <v>7.5</v>
      </c>
      <c r="AS684">
        <v>160</v>
      </c>
      <c r="AT684">
        <v>2725</v>
      </c>
      <c r="AU684" t="s">
        <v>34</v>
      </c>
    </row>
    <row r="685" spans="1:47" x14ac:dyDescent="0.2">
      <c r="A685">
        <v>1008</v>
      </c>
      <c r="B685" s="4" t="s">
        <v>935</v>
      </c>
      <c r="C685">
        <v>144</v>
      </c>
      <c r="D685" t="s">
        <v>455</v>
      </c>
      <c r="G685" t="str">
        <f t="shared" si="10"/>
        <v>RUSALCA09144SS4</v>
      </c>
      <c r="H685">
        <v>71.820166999999998</v>
      </c>
      <c r="I685">
        <v>172.99</v>
      </c>
      <c r="J685" s="3">
        <v>20090909</v>
      </c>
      <c r="K685">
        <v>2009</v>
      </c>
      <c r="L685">
        <v>0.93366000000000005</v>
      </c>
      <c r="M685">
        <v>4.7370099999999997</v>
      </c>
      <c r="N685">
        <v>0.16686000000000001</v>
      </c>
      <c r="O685">
        <v>0.21140999999999999</v>
      </c>
      <c r="P685">
        <v>2.5139999999999999E-2</v>
      </c>
      <c r="Q685">
        <v>0</v>
      </c>
      <c r="R685">
        <v>4.8999999999999998E-4</v>
      </c>
      <c r="S685">
        <v>5.5710000000000003E-2</v>
      </c>
      <c r="T685">
        <v>0</v>
      </c>
      <c r="U685">
        <v>4.5462999999999996</v>
      </c>
      <c r="V685">
        <v>10.67658</v>
      </c>
      <c r="W685" t="s">
        <v>10</v>
      </c>
      <c r="X685">
        <v>14.581</v>
      </c>
      <c r="Y685">
        <v>129.94800000000001</v>
      </c>
      <c r="Z685">
        <v>2.2589999999999999</v>
      </c>
      <c r="AA685">
        <v>4.6980000000000004</v>
      </c>
      <c r="AB685">
        <v>1.796</v>
      </c>
      <c r="AC685">
        <v>0</v>
      </c>
      <c r="AD685">
        <v>8.0000000000000002E-3</v>
      </c>
      <c r="AE685">
        <v>3.9790000000000001</v>
      </c>
      <c r="AF685">
        <v>0</v>
      </c>
      <c r="AG685">
        <v>214.15</v>
      </c>
      <c r="AH685">
        <v>371.41899999999998</v>
      </c>
      <c r="AI685" t="s">
        <v>30</v>
      </c>
      <c r="AJ685">
        <v>317.5</v>
      </c>
      <c r="AK685">
        <v>485</v>
      </c>
      <c r="AL685">
        <v>37.5</v>
      </c>
      <c r="AM685">
        <v>17.5</v>
      </c>
      <c r="AN685">
        <v>15</v>
      </c>
      <c r="AO685">
        <v>0</v>
      </c>
      <c r="AP685">
        <v>2.5</v>
      </c>
      <c r="AQ685">
        <v>2.5</v>
      </c>
      <c r="AR685">
        <v>0</v>
      </c>
      <c r="AS685">
        <v>52.5</v>
      </c>
      <c r="AT685">
        <v>930</v>
      </c>
      <c r="AU685" t="s">
        <v>34</v>
      </c>
    </row>
    <row r="686" spans="1:47" x14ac:dyDescent="0.2">
      <c r="A686">
        <v>1009</v>
      </c>
      <c r="B686" s="4" t="s">
        <v>935</v>
      </c>
      <c r="C686">
        <v>145</v>
      </c>
      <c r="D686" t="s">
        <v>456</v>
      </c>
      <c r="G686" t="str">
        <f t="shared" si="10"/>
        <v>RUSALCA09145SS5</v>
      </c>
      <c r="H686">
        <v>71.339667000000006</v>
      </c>
      <c r="I686">
        <v>172.49600000000001</v>
      </c>
      <c r="J686" s="3">
        <v>20090909</v>
      </c>
      <c r="K686">
        <v>2009</v>
      </c>
      <c r="L686">
        <v>8.2479999999999998E-2</v>
      </c>
      <c r="M686">
        <v>14.987719999999999</v>
      </c>
      <c r="N686">
        <v>1.7939400000000001</v>
      </c>
      <c r="O686">
        <v>0</v>
      </c>
      <c r="P686">
        <v>1.6650000000000002E-2</v>
      </c>
      <c r="Q686">
        <v>0</v>
      </c>
      <c r="R686">
        <v>1.2E-4</v>
      </c>
      <c r="S686">
        <v>0</v>
      </c>
      <c r="T686">
        <v>0</v>
      </c>
      <c r="U686">
        <v>1.124E-2</v>
      </c>
      <c r="V686">
        <v>16.892150000000001</v>
      </c>
      <c r="W686" t="s">
        <v>10</v>
      </c>
      <c r="X686">
        <v>1.2270000000000001</v>
      </c>
      <c r="Y686">
        <v>394.91800000000001</v>
      </c>
      <c r="Z686">
        <v>24.244</v>
      </c>
      <c r="AA686">
        <v>0</v>
      </c>
      <c r="AB686">
        <v>1.1890000000000001</v>
      </c>
      <c r="AC686">
        <v>0</v>
      </c>
      <c r="AD686">
        <v>2E-3</v>
      </c>
      <c r="AE686">
        <v>0</v>
      </c>
      <c r="AF686">
        <v>0</v>
      </c>
      <c r="AG686">
        <v>0.53500000000000003</v>
      </c>
      <c r="AH686">
        <v>422.11500000000001</v>
      </c>
      <c r="AI686" t="s">
        <v>22</v>
      </c>
      <c r="AJ686">
        <v>22.5</v>
      </c>
      <c r="AK686">
        <v>1592.5</v>
      </c>
      <c r="AL686">
        <v>30</v>
      </c>
      <c r="AM686">
        <v>0</v>
      </c>
      <c r="AN686">
        <v>5</v>
      </c>
      <c r="AO686">
        <v>0</v>
      </c>
      <c r="AP686">
        <v>0</v>
      </c>
      <c r="AQ686">
        <v>0</v>
      </c>
      <c r="AR686">
        <v>0</v>
      </c>
      <c r="AS686">
        <v>2.5</v>
      </c>
      <c r="AT686">
        <v>1652.5</v>
      </c>
      <c r="AU686" t="s">
        <v>34</v>
      </c>
    </row>
    <row r="687" spans="1:47" x14ac:dyDescent="0.2">
      <c r="A687">
        <v>1010</v>
      </c>
      <c r="B687" s="4" t="s">
        <v>935</v>
      </c>
      <c r="C687">
        <v>147</v>
      </c>
      <c r="D687" t="s">
        <v>457</v>
      </c>
      <c r="G687" t="str">
        <f t="shared" si="10"/>
        <v>RUSALCA09147X1</v>
      </c>
      <c r="H687">
        <v>68.394616999999997</v>
      </c>
      <c r="I687">
        <v>-174.14940000000001</v>
      </c>
      <c r="J687" s="3">
        <v>20090905</v>
      </c>
      <c r="K687">
        <v>2009</v>
      </c>
      <c r="L687">
        <v>3.8927399999999999</v>
      </c>
      <c r="M687">
        <v>2.2785500000000001</v>
      </c>
      <c r="N687">
        <v>8.0999999999999996E-4</v>
      </c>
      <c r="O687">
        <v>0</v>
      </c>
      <c r="P687">
        <v>0</v>
      </c>
      <c r="Q687">
        <v>0</v>
      </c>
      <c r="R687">
        <v>5.5375199999999998</v>
      </c>
      <c r="S687">
        <v>0</v>
      </c>
      <c r="T687">
        <v>4.3047800000000001</v>
      </c>
      <c r="U687">
        <v>9.1300000000000006E-2</v>
      </c>
      <c r="V687">
        <v>16.105699999999999</v>
      </c>
      <c r="W687" t="s">
        <v>15</v>
      </c>
      <c r="X687">
        <v>58.526000000000003</v>
      </c>
      <c r="Y687">
        <v>50.591999999999999</v>
      </c>
      <c r="Z687">
        <v>1.0999999999999999E-2</v>
      </c>
      <c r="AA687">
        <v>0</v>
      </c>
      <c r="AB687">
        <v>0</v>
      </c>
      <c r="AC687">
        <v>0</v>
      </c>
      <c r="AD687">
        <v>90.778999999999996</v>
      </c>
      <c r="AE687">
        <v>0</v>
      </c>
      <c r="AF687">
        <v>46.287999999999997</v>
      </c>
      <c r="AG687">
        <v>1.696</v>
      </c>
      <c r="AH687">
        <v>247.892</v>
      </c>
      <c r="AI687" t="s">
        <v>27</v>
      </c>
      <c r="AJ687">
        <v>1310</v>
      </c>
      <c r="AK687">
        <v>770</v>
      </c>
      <c r="AL687">
        <v>10</v>
      </c>
      <c r="AM687">
        <v>0</v>
      </c>
      <c r="AN687">
        <v>0</v>
      </c>
      <c r="AO687">
        <v>0</v>
      </c>
      <c r="AP687">
        <v>60</v>
      </c>
      <c r="AQ687">
        <v>0</v>
      </c>
      <c r="AR687">
        <v>40</v>
      </c>
      <c r="AS687">
        <v>120</v>
      </c>
      <c r="AT687">
        <v>2310</v>
      </c>
      <c r="AU687" t="s">
        <v>33</v>
      </c>
    </row>
    <row r="688" spans="1:47" x14ac:dyDescent="0.2">
      <c r="A688">
        <v>1011</v>
      </c>
      <c r="B688" s="4" t="s">
        <v>935</v>
      </c>
      <c r="C688">
        <v>148</v>
      </c>
      <c r="D688" t="s">
        <v>458</v>
      </c>
      <c r="G688" t="str">
        <f t="shared" si="10"/>
        <v>RUSALCA09148HC60</v>
      </c>
      <c r="H688">
        <v>71.395332999999994</v>
      </c>
      <c r="I688">
        <v>-174.779</v>
      </c>
      <c r="J688" s="3">
        <v>20090917</v>
      </c>
      <c r="K688">
        <v>2009</v>
      </c>
      <c r="L688">
        <v>4.2034599999999998</v>
      </c>
      <c r="M688">
        <v>0.63019000000000003</v>
      </c>
      <c r="N688">
        <v>0.14693999999999999</v>
      </c>
      <c r="O688">
        <v>4.27379</v>
      </c>
      <c r="P688">
        <v>4.938E-2</v>
      </c>
      <c r="Q688">
        <v>2.03775</v>
      </c>
      <c r="R688">
        <v>5.1360000000000003E-2</v>
      </c>
      <c r="S688">
        <v>0</v>
      </c>
      <c r="T688">
        <v>1.67E-3</v>
      </c>
      <c r="U688">
        <v>6.7769999999999997E-2</v>
      </c>
      <c r="V688">
        <v>11.46231</v>
      </c>
      <c r="W688" t="s">
        <v>12</v>
      </c>
      <c r="X688">
        <v>61.496000000000002</v>
      </c>
      <c r="Y688">
        <v>33.255000000000003</v>
      </c>
      <c r="Z688">
        <v>1.9830000000000001</v>
      </c>
      <c r="AA688">
        <v>94.972999999999999</v>
      </c>
      <c r="AB688">
        <v>3.5270000000000001</v>
      </c>
      <c r="AC688">
        <v>185.25</v>
      </c>
      <c r="AD688">
        <v>0.84199999999999997</v>
      </c>
      <c r="AE688">
        <v>0</v>
      </c>
      <c r="AF688">
        <v>1.7999999999999999E-2</v>
      </c>
      <c r="AG688">
        <v>1.2689999999999999</v>
      </c>
      <c r="AH688">
        <v>382.613</v>
      </c>
      <c r="AI688" t="s">
        <v>26</v>
      </c>
      <c r="AJ688">
        <v>660</v>
      </c>
      <c r="AK688">
        <v>337.5</v>
      </c>
      <c r="AL688">
        <v>1075</v>
      </c>
      <c r="AM688">
        <v>65</v>
      </c>
      <c r="AN688">
        <v>72.5</v>
      </c>
      <c r="AO688">
        <v>2.5</v>
      </c>
      <c r="AP688">
        <v>15</v>
      </c>
      <c r="AQ688">
        <v>0</v>
      </c>
      <c r="AR688">
        <v>7.5</v>
      </c>
      <c r="AS688">
        <v>37.5</v>
      </c>
      <c r="AT688">
        <v>2272.5</v>
      </c>
      <c r="AU688" t="s">
        <v>35</v>
      </c>
    </row>
    <row r="689" spans="1:47" x14ac:dyDescent="0.2">
      <c r="A689">
        <v>1012</v>
      </c>
      <c r="B689" s="4" t="s">
        <v>935</v>
      </c>
      <c r="C689">
        <v>15</v>
      </c>
      <c r="D689" s="4" t="s">
        <v>937</v>
      </c>
      <c r="E689" s="4" t="s">
        <v>937</v>
      </c>
      <c r="F689" s="4" t="s">
        <v>459</v>
      </c>
      <c r="G689" t="str">
        <f t="shared" si="10"/>
        <v>RUSALCA0915DBO3.12</v>
      </c>
      <c r="H689">
        <v>67.873666999999998</v>
      </c>
      <c r="I689">
        <v>-168.31399999999999</v>
      </c>
      <c r="J689" s="3">
        <v>20090927</v>
      </c>
      <c r="K689">
        <v>2009</v>
      </c>
      <c r="L689">
        <v>11.512320000000001</v>
      </c>
      <c r="M689">
        <v>20.31973</v>
      </c>
      <c r="N689">
        <v>5.79E-3</v>
      </c>
      <c r="O689">
        <v>0</v>
      </c>
      <c r="P689">
        <v>5.5999999999999999E-3</v>
      </c>
      <c r="Q689">
        <v>0</v>
      </c>
      <c r="R689">
        <v>1.8013399999999999</v>
      </c>
      <c r="S689">
        <v>0</v>
      </c>
      <c r="T689">
        <v>0</v>
      </c>
      <c r="U689">
        <v>0.09</v>
      </c>
      <c r="V689">
        <v>33.734780000000001</v>
      </c>
      <c r="W689" t="s">
        <v>10</v>
      </c>
      <c r="X689">
        <v>162.071</v>
      </c>
      <c r="Y689">
        <v>563.572</v>
      </c>
      <c r="Z689">
        <v>6.8000000000000005E-2</v>
      </c>
      <c r="AA689">
        <v>0</v>
      </c>
      <c r="AB689">
        <v>0.4</v>
      </c>
      <c r="AC689">
        <v>0</v>
      </c>
      <c r="AD689">
        <v>29.53</v>
      </c>
      <c r="AE689">
        <v>0</v>
      </c>
      <c r="AF689">
        <v>0</v>
      </c>
      <c r="AG689">
        <v>1.2689999999999999</v>
      </c>
      <c r="AH689">
        <v>756.91</v>
      </c>
      <c r="AI689" t="s">
        <v>22</v>
      </c>
      <c r="AJ689">
        <v>1977.5</v>
      </c>
      <c r="AK689">
        <v>342.5</v>
      </c>
      <c r="AL689">
        <v>67.5</v>
      </c>
      <c r="AM689">
        <v>0</v>
      </c>
      <c r="AN689">
        <v>2.5</v>
      </c>
      <c r="AO689">
        <v>0</v>
      </c>
      <c r="AP689">
        <v>35</v>
      </c>
      <c r="AQ689">
        <v>0</v>
      </c>
      <c r="AR689">
        <v>0</v>
      </c>
      <c r="AS689">
        <v>775</v>
      </c>
      <c r="AT689">
        <v>3200</v>
      </c>
      <c r="AU689" t="s">
        <v>33</v>
      </c>
    </row>
    <row r="690" spans="1:47" x14ac:dyDescent="0.2">
      <c r="A690">
        <v>1013</v>
      </c>
      <c r="B690" s="4" t="s">
        <v>935</v>
      </c>
      <c r="C690">
        <v>180</v>
      </c>
      <c r="D690" t="s">
        <v>460</v>
      </c>
      <c r="G690" t="str">
        <f t="shared" si="10"/>
        <v>RUSALCA09180HC49</v>
      </c>
      <c r="H690">
        <v>73.356333000000006</v>
      </c>
      <c r="I690">
        <v>-175.62299999999999</v>
      </c>
      <c r="J690" s="3">
        <v>20090914</v>
      </c>
      <c r="K690">
        <v>2009</v>
      </c>
      <c r="L690">
        <v>0.20388000000000001</v>
      </c>
      <c r="M690">
        <v>0.21737999999999999</v>
      </c>
      <c r="N690">
        <v>6.9999999999999994E-5</v>
      </c>
      <c r="O690">
        <v>0</v>
      </c>
      <c r="P690">
        <v>4.8000000000000001E-4</v>
      </c>
      <c r="Q690">
        <v>0</v>
      </c>
      <c r="R690">
        <v>2.9999999999999997E-4</v>
      </c>
      <c r="S690">
        <v>0</v>
      </c>
      <c r="T690">
        <v>6.9940000000000002E-2</v>
      </c>
      <c r="U690">
        <v>2.2200000000000001E-2</v>
      </c>
      <c r="V690">
        <v>0.51424999999999998</v>
      </c>
      <c r="W690" t="s">
        <v>10</v>
      </c>
      <c r="X690">
        <v>2.915</v>
      </c>
      <c r="Y690">
        <v>6.2110000000000003</v>
      </c>
      <c r="Z690">
        <v>1E-3</v>
      </c>
      <c r="AA690">
        <v>0</v>
      </c>
      <c r="AB690">
        <v>3.4000000000000002E-2</v>
      </c>
      <c r="AC690">
        <v>0</v>
      </c>
      <c r="AD690">
        <v>5.0000000000000001E-3</v>
      </c>
      <c r="AE690">
        <v>0</v>
      </c>
      <c r="AF690">
        <v>0.752</v>
      </c>
      <c r="AG690">
        <v>0.93799999999999994</v>
      </c>
      <c r="AH690">
        <v>10.856</v>
      </c>
      <c r="AI690" t="s">
        <v>22</v>
      </c>
      <c r="AJ690">
        <v>55</v>
      </c>
      <c r="AK690">
        <v>25</v>
      </c>
      <c r="AL690">
        <v>2.5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12.5</v>
      </c>
      <c r="AS690">
        <v>2.5</v>
      </c>
      <c r="AT690">
        <v>97.5</v>
      </c>
      <c r="AU690" t="s">
        <v>33</v>
      </c>
    </row>
    <row r="691" spans="1:47" x14ac:dyDescent="0.2">
      <c r="A691">
        <v>1014</v>
      </c>
      <c r="B691" s="4" t="s">
        <v>935</v>
      </c>
      <c r="C691">
        <v>20</v>
      </c>
      <c r="D691" t="s">
        <v>461</v>
      </c>
      <c r="G691" t="str">
        <f t="shared" si="10"/>
        <v>RUSALCA0920CS17</v>
      </c>
      <c r="H691">
        <v>68.298167000000007</v>
      </c>
      <c r="I691">
        <v>-167.04400000000001</v>
      </c>
      <c r="J691" s="3">
        <v>20090928</v>
      </c>
      <c r="K691">
        <v>2009</v>
      </c>
      <c r="L691">
        <v>3.2347199999999998</v>
      </c>
      <c r="M691">
        <v>2.3992499999999999</v>
      </c>
      <c r="N691">
        <v>0.36188999999999999</v>
      </c>
      <c r="O691">
        <v>0.32741999999999999</v>
      </c>
      <c r="P691">
        <v>7.77E-3</v>
      </c>
      <c r="Q691">
        <v>0</v>
      </c>
      <c r="R691">
        <v>1.519E-2</v>
      </c>
      <c r="S691">
        <v>8.1555599999999995</v>
      </c>
      <c r="T691">
        <v>4.938E-2</v>
      </c>
      <c r="U691">
        <v>4.5341699999999996</v>
      </c>
      <c r="V691">
        <v>19.085349999999998</v>
      </c>
      <c r="W691" t="s">
        <v>16</v>
      </c>
      <c r="X691">
        <v>44.540999999999997</v>
      </c>
      <c r="Y691">
        <v>146.31700000000001</v>
      </c>
      <c r="Z691">
        <v>5.2270000000000003</v>
      </c>
      <c r="AA691">
        <v>7.2759999999999998</v>
      </c>
      <c r="AB691">
        <v>0.55500000000000005</v>
      </c>
      <c r="AC691">
        <v>0</v>
      </c>
      <c r="AD691">
        <v>0.249</v>
      </c>
      <c r="AE691">
        <v>208.96</v>
      </c>
      <c r="AF691">
        <v>0.53100000000000003</v>
      </c>
      <c r="AG691">
        <v>257.37</v>
      </c>
      <c r="AH691">
        <v>671.02599999999995</v>
      </c>
      <c r="AI691" t="s">
        <v>30</v>
      </c>
      <c r="AJ691">
        <v>2322.5</v>
      </c>
      <c r="AK691">
        <v>507.5</v>
      </c>
      <c r="AL691">
        <v>605</v>
      </c>
      <c r="AM691">
        <v>567.5</v>
      </c>
      <c r="AN691">
        <v>100</v>
      </c>
      <c r="AO691">
        <v>0</v>
      </c>
      <c r="AP691">
        <v>7.5</v>
      </c>
      <c r="AQ691">
        <v>117.5</v>
      </c>
      <c r="AR691">
        <v>100</v>
      </c>
      <c r="AS691">
        <v>400</v>
      </c>
      <c r="AT691">
        <v>4727.5</v>
      </c>
      <c r="AU691" t="s">
        <v>33</v>
      </c>
    </row>
    <row r="692" spans="1:47" x14ac:dyDescent="0.2">
      <c r="A692">
        <v>1015</v>
      </c>
      <c r="B692" s="4" t="s">
        <v>935</v>
      </c>
      <c r="C692">
        <v>23</v>
      </c>
      <c r="D692" t="s">
        <v>462</v>
      </c>
      <c r="G692" t="str">
        <f t="shared" si="10"/>
        <v>RUSALCA0923CL1</v>
      </c>
      <c r="H692">
        <v>68.948667</v>
      </c>
      <c r="I692">
        <v>-166.916</v>
      </c>
      <c r="J692" s="3">
        <v>20090924</v>
      </c>
      <c r="K692">
        <v>2009</v>
      </c>
      <c r="L692">
        <v>0.62958000000000003</v>
      </c>
      <c r="M692">
        <v>0.12073</v>
      </c>
      <c r="N692">
        <v>1.99E-3</v>
      </c>
      <c r="O692">
        <v>0</v>
      </c>
      <c r="P692">
        <v>3.4000000000000002E-4</v>
      </c>
      <c r="Q692">
        <v>0</v>
      </c>
      <c r="R692">
        <v>6.0000000000000002E-5</v>
      </c>
      <c r="S692">
        <v>0</v>
      </c>
      <c r="T692">
        <v>0</v>
      </c>
      <c r="U692">
        <v>1.375E-2</v>
      </c>
      <c r="V692">
        <v>0.76644999999999996</v>
      </c>
      <c r="W692" t="s">
        <v>9</v>
      </c>
      <c r="X692">
        <v>9.8840000000000003</v>
      </c>
      <c r="Y692">
        <v>4.0179999999999998</v>
      </c>
      <c r="Z692">
        <v>2.5999999999999999E-2</v>
      </c>
      <c r="AA692">
        <v>0</v>
      </c>
      <c r="AB692">
        <v>2.4E-2</v>
      </c>
      <c r="AC692">
        <v>0</v>
      </c>
      <c r="AD692">
        <v>1E-3</v>
      </c>
      <c r="AE692">
        <v>0</v>
      </c>
      <c r="AF692">
        <v>0</v>
      </c>
      <c r="AG692">
        <v>0.45400000000000001</v>
      </c>
      <c r="AH692">
        <v>14.407</v>
      </c>
      <c r="AI692" t="s">
        <v>21</v>
      </c>
      <c r="AJ692">
        <v>157.5</v>
      </c>
      <c r="AK692">
        <v>840</v>
      </c>
      <c r="AL692">
        <v>15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35</v>
      </c>
      <c r="AT692">
        <v>1047.5</v>
      </c>
      <c r="AU692" t="s">
        <v>34</v>
      </c>
    </row>
    <row r="693" spans="1:47" x14ac:dyDescent="0.2">
      <c r="A693">
        <v>1016</v>
      </c>
      <c r="B693" s="4" t="s">
        <v>935</v>
      </c>
      <c r="C693">
        <v>25</v>
      </c>
      <c r="D693" t="s">
        <v>463</v>
      </c>
      <c r="G693" t="str">
        <f t="shared" si="10"/>
        <v>RUSALCA0925CL3</v>
      </c>
      <c r="H693">
        <v>69.004666999999998</v>
      </c>
      <c r="I693">
        <v>-168.89599999999999</v>
      </c>
      <c r="J693" s="3">
        <v>20090925</v>
      </c>
      <c r="K693">
        <v>2009</v>
      </c>
      <c r="L693">
        <v>0.77590999999999999</v>
      </c>
      <c r="M693">
        <v>5.5710000000000003E-2</v>
      </c>
      <c r="N693">
        <v>8.1019999999999995E-2</v>
      </c>
      <c r="O693">
        <v>0</v>
      </c>
      <c r="P693">
        <v>1.0460000000000001E-2</v>
      </c>
      <c r="Q693">
        <v>0</v>
      </c>
      <c r="R693">
        <v>1.1000000000000001E-3</v>
      </c>
      <c r="S693">
        <v>0</v>
      </c>
      <c r="T693">
        <v>0</v>
      </c>
      <c r="U693">
        <v>2.4599999999999999E-3</v>
      </c>
      <c r="V693">
        <v>0.92666000000000004</v>
      </c>
      <c r="W693" t="s">
        <v>9</v>
      </c>
      <c r="X693">
        <v>11.6</v>
      </c>
      <c r="Y693">
        <v>1.9079999999999999</v>
      </c>
      <c r="Z693">
        <v>1.002</v>
      </c>
      <c r="AA693">
        <v>0</v>
      </c>
      <c r="AB693">
        <v>0.747</v>
      </c>
      <c r="AC693">
        <v>0</v>
      </c>
      <c r="AD693">
        <v>1.7999999999999999E-2</v>
      </c>
      <c r="AE693">
        <v>0</v>
      </c>
      <c r="AF693">
        <v>0</v>
      </c>
      <c r="AG693">
        <v>4.8000000000000001E-2</v>
      </c>
      <c r="AH693">
        <v>15.323</v>
      </c>
      <c r="AI693" t="s">
        <v>21</v>
      </c>
      <c r="AJ693">
        <v>72.5</v>
      </c>
      <c r="AK693">
        <v>585</v>
      </c>
      <c r="AL693">
        <v>37.5</v>
      </c>
      <c r="AM693">
        <v>0</v>
      </c>
      <c r="AN693">
        <v>10</v>
      </c>
      <c r="AO693">
        <v>0</v>
      </c>
      <c r="AP693">
        <v>0</v>
      </c>
      <c r="AQ693">
        <v>0</v>
      </c>
      <c r="AR693">
        <v>0</v>
      </c>
      <c r="AS693">
        <v>65</v>
      </c>
      <c r="AT693">
        <v>770</v>
      </c>
      <c r="AU693" t="s">
        <v>34</v>
      </c>
    </row>
    <row r="694" spans="1:47" x14ac:dyDescent="0.2">
      <c r="A694">
        <v>1017</v>
      </c>
      <c r="B694" s="4" t="s">
        <v>935</v>
      </c>
      <c r="C694">
        <v>28</v>
      </c>
      <c r="D694" t="s">
        <v>464</v>
      </c>
      <c r="G694" t="str">
        <f t="shared" si="10"/>
        <v>RUSALCA0928CL6</v>
      </c>
      <c r="H694">
        <v>68.518332999999998</v>
      </c>
      <c r="I694">
        <v>-171.46199999999999</v>
      </c>
      <c r="J694" s="3">
        <v>20090925</v>
      </c>
      <c r="K694">
        <v>2009</v>
      </c>
      <c r="L694">
        <v>1.20235</v>
      </c>
      <c r="M694">
        <v>14.346629999999999</v>
      </c>
      <c r="N694">
        <v>6.1159999999999999E-2</v>
      </c>
      <c r="O694">
        <v>0</v>
      </c>
      <c r="P694">
        <v>0</v>
      </c>
      <c r="Q694">
        <v>0</v>
      </c>
      <c r="R694">
        <v>0.54278000000000004</v>
      </c>
      <c r="S694">
        <v>0</v>
      </c>
      <c r="T694">
        <v>0</v>
      </c>
      <c r="U694">
        <v>3.6999999999999999E-4</v>
      </c>
      <c r="V694">
        <v>16.153289999999998</v>
      </c>
      <c r="W694" t="s">
        <v>10</v>
      </c>
      <c r="X694">
        <v>18.405000000000001</v>
      </c>
      <c r="Y694">
        <v>377.90699999999998</v>
      </c>
      <c r="Z694">
        <v>0.81899999999999995</v>
      </c>
      <c r="AA694">
        <v>0</v>
      </c>
      <c r="AB694">
        <v>0</v>
      </c>
      <c r="AC694">
        <v>0</v>
      </c>
      <c r="AD694">
        <v>8.8979999999999997</v>
      </c>
      <c r="AE694">
        <v>0</v>
      </c>
      <c r="AF694">
        <v>0</v>
      </c>
      <c r="AG694">
        <v>1.2E-2</v>
      </c>
      <c r="AH694">
        <v>406.041</v>
      </c>
      <c r="AI694" t="s">
        <v>22</v>
      </c>
      <c r="AJ694">
        <v>297.5</v>
      </c>
      <c r="AK694">
        <v>447.5</v>
      </c>
      <c r="AL694">
        <v>127.5</v>
      </c>
      <c r="AM694">
        <v>0</v>
      </c>
      <c r="AN694">
        <v>0</v>
      </c>
      <c r="AO694">
        <v>0</v>
      </c>
      <c r="AP694">
        <v>7.5</v>
      </c>
      <c r="AQ694">
        <v>0</v>
      </c>
      <c r="AR694">
        <v>0</v>
      </c>
      <c r="AS694">
        <v>0</v>
      </c>
      <c r="AT694">
        <v>880</v>
      </c>
      <c r="AU694" t="s">
        <v>34</v>
      </c>
    </row>
    <row r="695" spans="1:47" x14ac:dyDescent="0.2">
      <c r="A695">
        <v>1018</v>
      </c>
      <c r="B695" s="4" t="s">
        <v>935</v>
      </c>
      <c r="C695">
        <v>30</v>
      </c>
      <c r="D695" t="s">
        <v>465</v>
      </c>
      <c r="G695" t="str">
        <f t="shared" si="10"/>
        <v>RUSALCA0930CL8</v>
      </c>
      <c r="H695">
        <v>67.866500000000002</v>
      </c>
      <c r="I695">
        <v>-172.553</v>
      </c>
      <c r="J695" s="3">
        <v>20090926</v>
      </c>
      <c r="K695">
        <v>2009</v>
      </c>
      <c r="L695">
        <v>1.83202</v>
      </c>
      <c r="M695">
        <v>39.46902</v>
      </c>
      <c r="N695">
        <v>4.4000000000000002E-4</v>
      </c>
      <c r="O695">
        <v>0</v>
      </c>
      <c r="P695">
        <v>0</v>
      </c>
      <c r="Q695">
        <v>0</v>
      </c>
      <c r="R695">
        <v>0.99070000000000003</v>
      </c>
      <c r="S695">
        <v>9.8239999999999994E-2</v>
      </c>
      <c r="T695">
        <v>7.1609999999999993E-2</v>
      </c>
      <c r="U695">
        <v>6.5610000000000002E-2</v>
      </c>
      <c r="V695">
        <v>42.527639999999998</v>
      </c>
      <c r="W695" t="s">
        <v>10</v>
      </c>
      <c r="X695">
        <v>25.635999999999999</v>
      </c>
      <c r="Y695">
        <v>1100.2919999999999</v>
      </c>
      <c r="Z695">
        <v>6.0000000000000001E-3</v>
      </c>
      <c r="AA695">
        <v>0</v>
      </c>
      <c r="AB695">
        <v>0</v>
      </c>
      <c r="AC695">
        <v>0</v>
      </c>
      <c r="AD695">
        <v>16.241</v>
      </c>
      <c r="AE695">
        <v>7.0170000000000003</v>
      </c>
      <c r="AF695">
        <v>0.77</v>
      </c>
      <c r="AG695">
        <v>1.2769999999999999</v>
      </c>
      <c r="AH695">
        <v>1151.239</v>
      </c>
      <c r="AI695" t="s">
        <v>22</v>
      </c>
      <c r="AJ695">
        <v>1027.5</v>
      </c>
      <c r="AK695">
        <v>1125</v>
      </c>
      <c r="AL695">
        <v>5</v>
      </c>
      <c r="AM695">
        <v>0</v>
      </c>
      <c r="AN695">
        <v>0</v>
      </c>
      <c r="AO695">
        <v>0</v>
      </c>
      <c r="AP695">
        <v>27.5</v>
      </c>
      <c r="AQ695">
        <v>17.5</v>
      </c>
      <c r="AR695">
        <v>7.5</v>
      </c>
      <c r="AS695">
        <v>17.5</v>
      </c>
      <c r="AT695">
        <v>2227.5</v>
      </c>
      <c r="AU695" t="s">
        <v>34</v>
      </c>
    </row>
    <row r="696" spans="1:47" x14ac:dyDescent="0.2">
      <c r="A696">
        <v>1019</v>
      </c>
      <c r="B696" s="4" t="s">
        <v>935</v>
      </c>
      <c r="C696">
        <v>32</v>
      </c>
      <c r="D696" t="s">
        <v>466</v>
      </c>
      <c r="G696" t="str">
        <f t="shared" si="10"/>
        <v>RUSALCA0932CL10</v>
      </c>
      <c r="H696">
        <v>67.403833000000006</v>
      </c>
      <c r="I696">
        <v>-173.60400000000001</v>
      </c>
      <c r="J696" s="3">
        <v>20090926</v>
      </c>
      <c r="K696">
        <v>2009</v>
      </c>
      <c r="L696">
        <v>0.38973999999999998</v>
      </c>
      <c r="M696">
        <v>0.90193000000000001</v>
      </c>
      <c r="N696">
        <v>0.67066000000000003</v>
      </c>
      <c r="O696">
        <v>0</v>
      </c>
      <c r="P696">
        <v>6.9999999999999994E-5</v>
      </c>
      <c r="Q696">
        <v>0</v>
      </c>
      <c r="R696">
        <v>0</v>
      </c>
      <c r="S696">
        <v>6.4899999999999999E-2</v>
      </c>
      <c r="T696">
        <v>0.18487999999999999</v>
      </c>
      <c r="U696">
        <v>8.8760000000000006E-2</v>
      </c>
      <c r="V696">
        <v>2.3009400000000002</v>
      </c>
      <c r="W696" t="s">
        <v>10</v>
      </c>
      <c r="X696">
        <v>5.8250000000000002</v>
      </c>
      <c r="Y696">
        <v>30.888000000000002</v>
      </c>
      <c r="Z696">
        <v>8.6289999999999996</v>
      </c>
      <c r="AA696">
        <v>0</v>
      </c>
      <c r="AB696">
        <v>5.0000000000000001E-3</v>
      </c>
      <c r="AC696">
        <v>0</v>
      </c>
      <c r="AD696">
        <v>0</v>
      </c>
      <c r="AE696">
        <v>4.6360000000000001</v>
      </c>
      <c r="AF696">
        <v>1.988</v>
      </c>
      <c r="AG696">
        <v>1.8560000000000001</v>
      </c>
      <c r="AH696">
        <v>53.826999999999998</v>
      </c>
      <c r="AI696" t="s">
        <v>22</v>
      </c>
      <c r="AJ696">
        <v>816.66899999999998</v>
      </c>
      <c r="AK696">
        <v>279.99799999999999</v>
      </c>
      <c r="AL696">
        <v>276.666</v>
      </c>
      <c r="AM696">
        <v>0</v>
      </c>
      <c r="AN696">
        <v>0</v>
      </c>
      <c r="AO696">
        <v>0</v>
      </c>
      <c r="AP696">
        <v>0</v>
      </c>
      <c r="AQ696">
        <v>3.3330000000000002</v>
      </c>
      <c r="AR696">
        <v>40</v>
      </c>
      <c r="AS696">
        <v>46.665999999999997</v>
      </c>
      <c r="AT696">
        <v>1463.3320000000001</v>
      </c>
      <c r="AU696" t="s">
        <v>33</v>
      </c>
    </row>
    <row r="697" spans="1:47" x14ac:dyDescent="0.2">
      <c r="A697">
        <v>1020</v>
      </c>
      <c r="B697" s="4" t="s">
        <v>935</v>
      </c>
      <c r="C697">
        <v>7</v>
      </c>
      <c r="D697" s="4" t="s">
        <v>934</v>
      </c>
      <c r="E697" s="4" t="s">
        <v>934</v>
      </c>
      <c r="F697" s="4" t="s">
        <v>467</v>
      </c>
      <c r="G697" t="str">
        <f t="shared" si="10"/>
        <v>RUSALCA097DBO3.14</v>
      </c>
      <c r="H697">
        <v>66.933833000000007</v>
      </c>
      <c r="I697">
        <v>-170.98599999999999</v>
      </c>
      <c r="J697" s="3">
        <v>20090926</v>
      </c>
      <c r="K697">
        <v>2009</v>
      </c>
      <c r="L697">
        <v>2.7873700000000001</v>
      </c>
      <c r="M697">
        <v>15.02951</v>
      </c>
      <c r="N697">
        <v>1.4026799999999999</v>
      </c>
      <c r="O697">
        <v>4.7699999999999999E-3</v>
      </c>
      <c r="P697">
        <v>0</v>
      </c>
      <c r="Q697">
        <v>0</v>
      </c>
      <c r="R697">
        <v>1.17364</v>
      </c>
      <c r="S697">
        <v>0</v>
      </c>
      <c r="T697">
        <v>2.0650000000000002E-2</v>
      </c>
      <c r="U697">
        <v>4.8399999999999999E-2</v>
      </c>
      <c r="V697">
        <v>20.467020000000002</v>
      </c>
      <c r="W697" t="s">
        <v>10</v>
      </c>
      <c r="X697">
        <v>40.917000000000002</v>
      </c>
      <c r="Y697">
        <v>351.87</v>
      </c>
      <c r="Z697">
        <v>20.585000000000001</v>
      </c>
      <c r="AA697">
        <v>0.106</v>
      </c>
      <c r="AB697">
        <v>0</v>
      </c>
      <c r="AC697">
        <v>0</v>
      </c>
      <c r="AD697">
        <v>19.239999999999998</v>
      </c>
      <c r="AE697">
        <v>0</v>
      </c>
      <c r="AF697">
        <v>0.222</v>
      </c>
      <c r="AG697">
        <v>1.8029999999999999</v>
      </c>
      <c r="AH697">
        <v>434.74299999999999</v>
      </c>
      <c r="AI697" t="s">
        <v>22</v>
      </c>
      <c r="AJ697">
        <v>470</v>
      </c>
      <c r="AK697">
        <v>987.5</v>
      </c>
      <c r="AL697">
        <v>502.5</v>
      </c>
      <c r="AM697">
        <v>17.5</v>
      </c>
      <c r="AN697">
        <v>0</v>
      </c>
      <c r="AO697">
        <v>0</v>
      </c>
      <c r="AP697">
        <v>10</v>
      </c>
      <c r="AQ697">
        <v>0</v>
      </c>
      <c r="AR697">
        <v>5</v>
      </c>
      <c r="AS697">
        <v>22.5</v>
      </c>
      <c r="AT697">
        <v>2015</v>
      </c>
      <c r="AU697" t="s">
        <v>34</v>
      </c>
    </row>
    <row r="698" spans="1:47" x14ac:dyDescent="0.2">
      <c r="A698">
        <v>1040</v>
      </c>
      <c r="B698" t="s">
        <v>927</v>
      </c>
      <c r="C698" t="s">
        <v>390</v>
      </c>
      <c r="D698" t="s">
        <v>390</v>
      </c>
      <c r="G698" t="str">
        <f t="shared" si="10"/>
        <v>SHELL09B1B1</v>
      </c>
      <c r="H698">
        <v>71.250833330000006</v>
      </c>
      <c r="I698">
        <v>-163.19685000000001</v>
      </c>
      <c r="J698" s="3">
        <v>20090813</v>
      </c>
      <c r="K698">
        <v>2009</v>
      </c>
      <c r="L698">
        <v>8.3051600000000008</v>
      </c>
      <c r="M698">
        <v>2.3581500000000002</v>
      </c>
      <c r="N698">
        <v>0.48226000000000002</v>
      </c>
      <c r="O698">
        <v>2.3800000000000002E-3</v>
      </c>
      <c r="P698">
        <v>0.95270999999999995</v>
      </c>
      <c r="Q698">
        <v>0</v>
      </c>
      <c r="R698">
        <v>0</v>
      </c>
      <c r="S698">
        <v>1.23E-3</v>
      </c>
      <c r="T698">
        <v>0</v>
      </c>
      <c r="U698">
        <v>0.24809</v>
      </c>
      <c r="V698">
        <v>12.34998</v>
      </c>
      <c r="W698" t="s">
        <v>9</v>
      </c>
      <c r="X698">
        <v>113.602</v>
      </c>
      <c r="Y698">
        <v>65.177000000000007</v>
      </c>
      <c r="Z698">
        <v>5.8460000000000001</v>
      </c>
      <c r="AA698">
        <v>5.2999999999999999E-2</v>
      </c>
      <c r="AB698">
        <v>68.051000000000002</v>
      </c>
      <c r="AC698">
        <v>0</v>
      </c>
      <c r="AD698">
        <v>0</v>
      </c>
      <c r="AE698">
        <v>0.03</v>
      </c>
      <c r="AF698">
        <v>0</v>
      </c>
      <c r="AG698">
        <v>3.593</v>
      </c>
      <c r="AH698">
        <v>256.35199999999998</v>
      </c>
      <c r="AI698" t="s">
        <v>21</v>
      </c>
      <c r="AJ698">
        <v>990</v>
      </c>
      <c r="AK698">
        <v>620</v>
      </c>
      <c r="AL698">
        <v>1340</v>
      </c>
      <c r="AM698">
        <v>30</v>
      </c>
      <c r="AN698">
        <v>120</v>
      </c>
      <c r="AO698">
        <v>0</v>
      </c>
      <c r="AP698">
        <v>0</v>
      </c>
      <c r="AQ698">
        <v>10</v>
      </c>
      <c r="AR698">
        <v>0</v>
      </c>
      <c r="AS698">
        <v>180</v>
      </c>
      <c r="AT698">
        <v>3290</v>
      </c>
      <c r="AU698" t="s">
        <v>35</v>
      </c>
    </row>
    <row r="699" spans="1:47" x14ac:dyDescent="0.2">
      <c r="A699">
        <v>1041</v>
      </c>
      <c r="B699" t="s">
        <v>927</v>
      </c>
      <c r="C699" t="s">
        <v>488</v>
      </c>
      <c r="D699" t="s">
        <v>488</v>
      </c>
      <c r="G699" t="str">
        <f t="shared" si="10"/>
        <v>SHELL09B10B10</v>
      </c>
      <c r="H699">
        <v>71.2517</v>
      </c>
      <c r="I699">
        <v>-163.19215</v>
      </c>
      <c r="J699" s="3">
        <v>20090813</v>
      </c>
      <c r="K699">
        <v>2009</v>
      </c>
      <c r="L699">
        <v>5.4484899999999996</v>
      </c>
      <c r="M699">
        <v>1.3178000000000001</v>
      </c>
      <c r="N699">
        <v>0.38066</v>
      </c>
      <c r="O699">
        <v>1.3999999999999999E-4</v>
      </c>
      <c r="P699">
        <v>0.65554000000000001</v>
      </c>
      <c r="Q699">
        <v>0</v>
      </c>
      <c r="R699">
        <v>0</v>
      </c>
      <c r="S699">
        <v>0</v>
      </c>
      <c r="T699">
        <v>0</v>
      </c>
      <c r="U699">
        <v>0.12162000000000001</v>
      </c>
      <c r="V699">
        <v>7.9242499999999998</v>
      </c>
      <c r="W699" t="s">
        <v>9</v>
      </c>
      <c r="X699">
        <v>82.096000000000004</v>
      </c>
      <c r="Y699">
        <v>36.536000000000001</v>
      </c>
      <c r="Z699">
        <v>4.718</v>
      </c>
      <c r="AA699">
        <v>3.0000000000000001E-3</v>
      </c>
      <c r="AB699">
        <v>46.823999999999998</v>
      </c>
      <c r="AC699">
        <v>0</v>
      </c>
      <c r="AD699">
        <v>0</v>
      </c>
      <c r="AE699">
        <v>0</v>
      </c>
      <c r="AF699">
        <v>0</v>
      </c>
      <c r="AG699">
        <v>2.036</v>
      </c>
      <c r="AH699">
        <v>172.21299999999999</v>
      </c>
      <c r="AI699" t="s">
        <v>21</v>
      </c>
      <c r="AJ699">
        <v>490</v>
      </c>
      <c r="AK699">
        <v>460</v>
      </c>
      <c r="AL699">
        <v>640</v>
      </c>
      <c r="AM699">
        <v>10</v>
      </c>
      <c r="AN699">
        <v>110</v>
      </c>
      <c r="AO699">
        <v>0</v>
      </c>
      <c r="AP699">
        <v>0</v>
      </c>
      <c r="AQ699">
        <v>0</v>
      </c>
      <c r="AR699">
        <v>0</v>
      </c>
      <c r="AS699">
        <v>70</v>
      </c>
      <c r="AT699">
        <v>1780</v>
      </c>
      <c r="AU699" t="s">
        <v>35</v>
      </c>
    </row>
    <row r="700" spans="1:47" x14ac:dyDescent="0.2">
      <c r="A700">
        <v>1042</v>
      </c>
      <c r="B700" t="s">
        <v>927</v>
      </c>
      <c r="C700" t="s">
        <v>489</v>
      </c>
      <c r="D700" t="s">
        <v>489</v>
      </c>
      <c r="G700" t="str">
        <f t="shared" si="10"/>
        <v>SHELL09B11B11</v>
      </c>
      <c r="H700">
        <v>71.250450000000001</v>
      </c>
      <c r="I700">
        <v>-163.19229999999999</v>
      </c>
      <c r="J700" s="3">
        <v>20090813</v>
      </c>
      <c r="K700">
        <v>2009</v>
      </c>
      <c r="L700">
        <v>7.8591800000000003</v>
      </c>
      <c r="M700">
        <v>4.2822300000000002</v>
      </c>
      <c r="N700">
        <v>0.31730999999999998</v>
      </c>
      <c r="O700">
        <v>15.13157</v>
      </c>
      <c r="P700">
        <v>0.92</v>
      </c>
      <c r="Q700">
        <v>0</v>
      </c>
      <c r="R700">
        <v>0</v>
      </c>
      <c r="S700">
        <v>0</v>
      </c>
      <c r="T700">
        <v>0</v>
      </c>
      <c r="U700">
        <v>0.77869999999999995</v>
      </c>
      <c r="V700">
        <v>29.288989999999998</v>
      </c>
      <c r="W700" t="s">
        <v>12</v>
      </c>
      <c r="X700">
        <v>100.49</v>
      </c>
      <c r="Y700">
        <v>114.581</v>
      </c>
      <c r="Z700">
        <v>3.8039999999999998</v>
      </c>
      <c r="AA700">
        <v>336.25700000000001</v>
      </c>
      <c r="AB700">
        <v>65.713999999999999</v>
      </c>
      <c r="AC700">
        <v>0</v>
      </c>
      <c r="AD700">
        <v>0</v>
      </c>
      <c r="AE700">
        <v>0</v>
      </c>
      <c r="AF700">
        <v>0</v>
      </c>
      <c r="AG700">
        <v>11.85</v>
      </c>
      <c r="AH700">
        <v>632.69600000000003</v>
      </c>
      <c r="AI700" t="s">
        <v>24</v>
      </c>
      <c r="AJ700">
        <v>530</v>
      </c>
      <c r="AK700">
        <v>460</v>
      </c>
      <c r="AL700">
        <v>970</v>
      </c>
      <c r="AM700">
        <v>50</v>
      </c>
      <c r="AN700">
        <v>150</v>
      </c>
      <c r="AO700">
        <v>0</v>
      </c>
      <c r="AP700">
        <v>0</v>
      </c>
      <c r="AQ700">
        <v>0</v>
      </c>
      <c r="AR700">
        <v>0</v>
      </c>
      <c r="AS700">
        <v>60</v>
      </c>
      <c r="AT700">
        <v>2220</v>
      </c>
      <c r="AU700" t="s">
        <v>35</v>
      </c>
    </row>
    <row r="701" spans="1:47" x14ac:dyDescent="0.2">
      <c r="A701">
        <v>1043</v>
      </c>
      <c r="B701" t="s">
        <v>927</v>
      </c>
      <c r="C701" t="s">
        <v>161</v>
      </c>
      <c r="D701" t="s">
        <v>161</v>
      </c>
      <c r="G701" t="str">
        <f t="shared" si="10"/>
        <v>SHELL09B12B12</v>
      </c>
      <c r="H701">
        <v>71.250649999999993</v>
      </c>
      <c r="I701">
        <v>-163.19659999999999</v>
      </c>
      <c r="J701" s="3">
        <v>20090813</v>
      </c>
      <c r="K701">
        <v>2009</v>
      </c>
      <c r="L701">
        <v>8.3199000000000005</v>
      </c>
      <c r="M701">
        <v>5.05016</v>
      </c>
      <c r="N701">
        <v>0.33905999999999997</v>
      </c>
      <c r="O701">
        <v>19.720040000000001</v>
      </c>
      <c r="P701">
        <v>0.69223999999999997</v>
      </c>
      <c r="Q701">
        <v>0</v>
      </c>
      <c r="R701">
        <v>0</v>
      </c>
      <c r="S701">
        <v>0.38658999999999999</v>
      </c>
      <c r="T701">
        <v>0</v>
      </c>
      <c r="U701">
        <v>0.40239000000000003</v>
      </c>
      <c r="V701">
        <v>34.910380000000004</v>
      </c>
      <c r="W701" t="s">
        <v>12</v>
      </c>
      <c r="X701">
        <v>123.143</v>
      </c>
      <c r="Y701">
        <v>197.48</v>
      </c>
      <c r="Z701">
        <v>4.5979999999999999</v>
      </c>
      <c r="AA701">
        <v>438.22300000000001</v>
      </c>
      <c r="AB701">
        <v>49.445999999999998</v>
      </c>
      <c r="AC701">
        <v>0</v>
      </c>
      <c r="AD701">
        <v>0</v>
      </c>
      <c r="AE701">
        <v>9.4290000000000003</v>
      </c>
      <c r="AF701">
        <v>0</v>
      </c>
      <c r="AG701">
        <v>5.5430000000000001</v>
      </c>
      <c r="AH701">
        <v>827.86199999999997</v>
      </c>
      <c r="AI701" t="s">
        <v>24</v>
      </c>
      <c r="AJ701">
        <v>2450</v>
      </c>
      <c r="AK701">
        <v>550</v>
      </c>
      <c r="AL701">
        <v>3070</v>
      </c>
      <c r="AM701">
        <v>50</v>
      </c>
      <c r="AN701">
        <v>250</v>
      </c>
      <c r="AO701">
        <v>0</v>
      </c>
      <c r="AP701">
        <v>0</v>
      </c>
      <c r="AQ701">
        <v>20</v>
      </c>
      <c r="AR701">
        <v>0</v>
      </c>
      <c r="AS701">
        <v>40</v>
      </c>
      <c r="AT701">
        <v>6430</v>
      </c>
      <c r="AU701" t="s">
        <v>35</v>
      </c>
    </row>
    <row r="702" spans="1:47" x14ac:dyDescent="0.2">
      <c r="A702">
        <v>1044</v>
      </c>
      <c r="B702" t="s">
        <v>927</v>
      </c>
      <c r="C702" t="s">
        <v>490</v>
      </c>
      <c r="D702" t="s">
        <v>490</v>
      </c>
      <c r="G702" t="str">
        <f t="shared" si="10"/>
        <v>SHELL09B2B2</v>
      </c>
      <c r="H702">
        <v>71.251516670000001</v>
      </c>
      <c r="I702">
        <v>-163.19141669999999</v>
      </c>
      <c r="J702" s="3">
        <v>20090813</v>
      </c>
      <c r="K702">
        <v>2009</v>
      </c>
      <c r="L702">
        <v>2.79257</v>
      </c>
      <c r="M702">
        <v>0.75936000000000003</v>
      </c>
      <c r="N702">
        <v>0.36148999999999998</v>
      </c>
      <c r="O702">
        <v>1.31E-3</v>
      </c>
      <c r="P702">
        <v>0.62649999999999995</v>
      </c>
      <c r="Q702">
        <v>0</v>
      </c>
      <c r="R702">
        <v>0</v>
      </c>
      <c r="S702">
        <v>0</v>
      </c>
      <c r="T702">
        <v>0</v>
      </c>
      <c r="U702">
        <v>0.92396</v>
      </c>
      <c r="V702">
        <v>5.4651899999999998</v>
      </c>
      <c r="W702" t="s">
        <v>9</v>
      </c>
      <c r="X702">
        <v>40.808</v>
      </c>
      <c r="Y702">
        <v>20.927</v>
      </c>
      <c r="Z702">
        <v>4.7690000000000001</v>
      </c>
      <c r="AA702">
        <v>2.9000000000000001E-2</v>
      </c>
      <c r="AB702">
        <v>44.75</v>
      </c>
      <c r="AC702">
        <v>0</v>
      </c>
      <c r="AD702">
        <v>0</v>
      </c>
      <c r="AE702">
        <v>0</v>
      </c>
      <c r="AF702">
        <v>0</v>
      </c>
      <c r="AG702">
        <v>11.228</v>
      </c>
      <c r="AH702">
        <v>122.511</v>
      </c>
      <c r="AI702" t="s">
        <v>25</v>
      </c>
      <c r="AJ702">
        <v>480</v>
      </c>
      <c r="AK702">
        <v>580</v>
      </c>
      <c r="AL702">
        <v>890</v>
      </c>
      <c r="AM702">
        <v>10</v>
      </c>
      <c r="AN702">
        <v>150</v>
      </c>
      <c r="AO702">
        <v>0</v>
      </c>
      <c r="AP702">
        <v>0</v>
      </c>
      <c r="AQ702">
        <v>0</v>
      </c>
      <c r="AR702">
        <v>0</v>
      </c>
      <c r="AS702">
        <v>100</v>
      </c>
      <c r="AT702">
        <v>2210</v>
      </c>
      <c r="AU702" t="s">
        <v>35</v>
      </c>
    </row>
    <row r="703" spans="1:47" x14ac:dyDescent="0.2">
      <c r="A703">
        <v>1045</v>
      </c>
      <c r="B703" t="s">
        <v>927</v>
      </c>
      <c r="C703" t="s">
        <v>391</v>
      </c>
      <c r="D703" t="s">
        <v>391</v>
      </c>
      <c r="G703" t="str">
        <f t="shared" si="10"/>
        <v>SHELL09B3B3</v>
      </c>
      <c r="H703">
        <v>71.250633329999999</v>
      </c>
      <c r="I703">
        <v>-163.19995</v>
      </c>
      <c r="J703" s="3">
        <v>20090813</v>
      </c>
      <c r="K703">
        <v>2009</v>
      </c>
      <c r="L703">
        <v>5.3834299999999997</v>
      </c>
      <c r="M703">
        <v>1.2156199999999999</v>
      </c>
      <c r="N703">
        <v>0.26995999999999998</v>
      </c>
      <c r="O703">
        <v>9.0565700000000007</v>
      </c>
      <c r="P703">
        <v>0.17532</v>
      </c>
      <c r="Q703">
        <v>0</v>
      </c>
      <c r="R703">
        <v>0</v>
      </c>
      <c r="S703">
        <v>0</v>
      </c>
      <c r="T703">
        <v>0</v>
      </c>
      <c r="U703">
        <v>3.3656999999999999</v>
      </c>
      <c r="V703">
        <v>19.4666</v>
      </c>
      <c r="W703" t="s">
        <v>12</v>
      </c>
      <c r="X703">
        <v>72.222999999999999</v>
      </c>
      <c r="Y703">
        <v>33.340000000000003</v>
      </c>
      <c r="Z703">
        <v>3.2320000000000002</v>
      </c>
      <c r="AA703">
        <v>201.25700000000001</v>
      </c>
      <c r="AB703">
        <v>12.523</v>
      </c>
      <c r="AC703">
        <v>0</v>
      </c>
      <c r="AD703">
        <v>0</v>
      </c>
      <c r="AE703">
        <v>0</v>
      </c>
      <c r="AF703">
        <v>0</v>
      </c>
      <c r="AG703">
        <v>36.686999999999998</v>
      </c>
      <c r="AH703">
        <v>359.262</v>
      </c>
      <c r="AI703" t="s">
        <v>24</v>
      </c>
      <c r="AJ703">
        <v>450</v>
      </c>
      <c r="AK703">
        <v>380</v>
      </c>
      <c r="AL703">
        <v>800</v>
      </c>
      <c r="AM703">
        <v>20</v>
      </c>
      <c r="AN703">
        <v>60</v>
      </c>
      <c r="AO703">
        <v>0</v>
      </c>
      <c r="AP703">
        <v>0</v>
      </c>
      <c r="AQ703">
        <v>0</v>
      </c>
      <c r="AR703">
        <v>0</v>
      </c>
      <c r="AS703">
        <v>60</v>
      </c>
      <c r="AT703">
        <v>1770</v>
      </c>
      <c r="AU703" t="s">
        <v>35</v>
      </c>
    </row>
    <row r="704" spans="1:47" x14ac:dyDescent="0.2">
      <c r="A704">
        <v>1046</v>
      </c>
      <c r="B704" t="s">
        <v>927</v>
      </c>
      <c r="C704" t="s">
        <v>491</v>
      </c>
      <c r="D704" t="s">
        <v>492</v>
      </c>
      <c r="G704" t="str">
        <f t="shared" si="10"/>
        <v>SHELL09B3AB3a</v>
      </c>
      <c r="H704">
        <v>71.251466669999999</v>
      </c>
      <c r="I704">
        <v>-163.19721670000001</v>
      </c>
      <c r="J704" s="3">
        <v>20090813</v>
      </c>
      <c r="K704">
        <v>2009</v>
      </c>
      <c r="L704">
        <v>4.2175900000000004</v>
      </c>
      <c r="M704">
        <v>0.54001999999999994</v>
      </c>
      <c r="N704">
        <v>0.2099</v>
      </c>
      <c r="O704">
        <v>28.436900000000001</v>
      </c>
      <c r="P704">
        <v>0.43042999999999998</v>
      </c>
      <c r="Q704">
        <v>0</v>
      </c>
      <c r="R704">
        <v>0</v>
      </c>
      <c r="S704">
        <v>0</v>
      </c>
      <c r="T704">
        <v>0</v>
      </c>
      <c r="U704">
        <v>0.32169999999999999</v>
      </c>
      <c r="V704">
        <v>34.15654</v>
      </c>
      <c r="W704" t="s">
        <v>12</v>
      </c>
      <c r="X704">
        <v>72.555999999999997</v>
      </c>
      <c r="Y704">
        <v>13.909000000000001</v>
      </c>
      <c r="Z704">
        <v>2.7480000000000002</v>
      </c>
      <c r="AA704">
        <v>631.93100000000004</v>
      </c>
      <c r="AB704">
        <v>30.745000000000001</v>
      </c>
      <c r="AC704">
        <v>0</v>
      </c>
      <c r="AD704">
        <v>0</v>
      </c>
      <c r="AE704">
        <v>0</v>
      </c>
      <c r="AF704">
        <v>0</v>
      </c>
      <c r="AG704">
        <v>3.83</v>
      </c>
      <c r="AH704">
        <v>755.71900000000005</v>
      </c>
      <c r="AI704" t="s">
        <v>24</v>
      </c>
      <c r="AJ704">
        <v>320</v>
      </c>
      <c r="AK704">
        <v>680</v>
      </c>
      <c r="AL704">
        <v>760</v>
      </c>
      <c r="AM704">
        <v>50</v>
      </c>
      <c r="AN704">
        <v>80</v>
      </c>
      <c r="AO704">
        <v>0</v>
      </c>
      <c r="AP704">
        <v>0</v>
      </c>
      <c r="AQ704">
        <v>0</v>
      </c>
      <c r="AR704">
        <v>0</v>
      </c>
      <c r="AS704">
        <v>80</v>
      </c>
      <c r="AT704">
        <v>1970</v>
      </c>
      <c r="AU704" t="s">
        <v>35</v>
      </c>
    </row>
    <row r="705" spans="1:47" x14ac:dyDescent="0.2">
      <c r="A705">
        <v>1047</v>
      </c>
      <c r="B705" t="s">
        <v>927</v>
      </c>
      <c r="C705" t="s">
        <v>392</v>
      </c>
      <c r="D705" t="s">
        <v>392</v>
      </c>
      <c r="G705" t="str">
        <f t="shared" si="10"/>
        <v>SHELL09B4B4</v>
      </c>
      <c r="H705">
        <v>71.253600000000006</v>
      </c>
      <c r="I705">
        <v>-163.19104999999999</v>
      </c>
      <c r="J705" s="3">
        <v>20090813</v>
      </c>
      <c r="K705">
        <v>2009</v>
      </c>
      <c r="L705">
        <v>7.1555600000000004</v>
      </c>
      <c r="M705">
        <v>0.93689</v>
      </c>
      <c r="N705">
        <v>0.30469000000000002</v>
      </c>
      <c r="O705">
        <v>5.5799999999999999E-3</v>
      </c>
      <c r="P705">
        <v>0.42398000000000002</v>
      </c>
      <c r="Q705">
        <v>0</v>
      </c>
      <c r="R705">
        <v>0</v>
      </c>
      <c r="S705">
        <v>0</v>
      </c>
      <c r="T705">
        <v>0</v>
      </c>
      <c r="U705">
        <v>6.2950000000000006E-2</v>
      </c>
      <c r="V705">
        <v>8.8896499999999996</v>
      </c>
      <c r="W705" t="s">
        <v>9</v>
      </c>
      <c r="X705">
        <v>103.065</v>
      </c>
      <c r="Y705">
        <v>25.241</v>
      </c>
      <c r="Z705">
        <v>4.0819999999999999</v>
      </c>
      <c r="AA705">
        <v>0.124</v>
      </c>
      <c r="AB705">
        <v>30.283999999999999</v>
      </c>
      <c r="AC705">
        <v>0</v>
      </c>
      <c r="AD705">
        <v>0</v>
      </c>
      <c r="AE705">
        <v>0</v>
      </c>
      <c r="AF705">
        <v>0</v>
      </c>
      <c r="AG705">
        <v>0.76600000000000001</v>
      </c>
      <c r="AH705">
        <v>163.56200000000001</v>
      </c>
      <c r="AI705" t="s">
        <v>21</v>
      </c>
      <c r="AJ705">
        <v>790</v>
      </c>
      <c r="AK705">
        <v>410</v>
      </c>
      <c r="AL705">
        <v>1950</v>
      </c>
      <c r="AM705">
        <v>40</v>
      </c>
      <c r="AN705">
        <v>100</v>
      </c>
      <c r="AO705">
        <v>0</v>
      </c>
      <c r="AP705">
        <v>0</v>
      </c>
      <c r="AQ705">
        <v>0</v>
      </c>
      <c r="AR705">
        <v>0</v>
      </c>
      <c r="AS705">
        <v>30</v>
      </c>
      <c r="AT705">
        <v>3320</v>
      </c>
      <c r="AU705" t="s">
        <v>35</v>
      </c>
    </row>
    <row r="706" spans="1:47" x14ac:dyDescent="0.2">
      <c r="A706">
        <v>1048</v>
      </c>
      <c r="B706" t="s">
        <v>927</v>
      </c>
      <c r="C706" t="s">
        <v>493</v>
      </c>
      <c r="D706" t="s">
        <v>493</v>
      </c>
      <c r="G706" t="str">
        <f t="shared" si="10"/>
        <v>SHELL09B5B5</v>
      </c>
      <c r="H706">
        <v>71.252133330000007</v>
      </c>
      <c r="I706">
        <v>-163.19575</v>
      </c>
      <c r="J706" s="3">
        <v>20090813</v>
      </c>
      <c r="K706">
        <v>2009</v>
      </c>
      <c r="L706">
        <v>5.0446799999999996</v>
      </c>
      <c r="M706">
        <v>5.6113900000000001</v>
      </c>
      <c r="N706">
        <v>0.42479</v>
      </c>
      <c r="O706">
        <v>0</v>
      </c>
      <c r="P706">
        <v>0.71087999999999996</v>
      </c>
      <c r="Q706">
        <v>0</v>
      </c>
      <c r="R706">
        <v>0</v>
      </c>
      <c r="S706">
        <v>0</v>
      </c>
      <c r="T706">
        <v>0</v>
      </c>
      <c r="U706">
        <v>8.3019999999999997E-2</v>
      </c>
      <c r="V706">
        <v>11.87476</v>
      </c>
      <c r="W706" t="s">
        <v>10</v>
      </c>
      <c r="X706">
        <v>74.015000000000001</v>
      </c>
      <c r="Y706">
        <v>184.625</v>
      </c>
      <c r="Z706">
        <v>4.923</v>
      </c>
      <c r="AA706">
        <v>0</v>
      </c>
      <c r="AB706">
        <v>50.777000000000001</v>
      </c>
      <c r="AC706">
        <v>0</v>
      </c>
      <c r="AD706">
        <v>0</v>
      </c>
      <c r="AE706">
        <v>0</v>
      </c>
      <c r="AF706">
        <v>0</v>
      </c>
      <c r="AG706">
        <v>1.839</v>
      </c>
      <c r="AH706">
        <v>316.17899999999997</v>
      </c>
      <c r="AI706" t="s">
        <v>22</v>
      </c>
      <c r="AJ706">
        <v>490</v>
      </c>
      <c r="AK706">
        <v>320</v>
      </c>
      <c r="AL706">
        <v>1140</v>
      </c>
      <c r="AM706">
        <v>0</v>
      </c>
      <c r="AN706">
        <v>90</v>
      </c>
      <c r="AO706">
        <v>0</v>
      </c>
      <c r="AP706">
        <v>0</v>
      </c>
      <c r="AQ706">
        <v>0</v>
      </c>
      <c r="AR706">
        <v>0</v>
      </c>
      <c r="AS706">
        <v>70</v>
      </c>
      <c r="AT706">
        <v>2110</v>
      </c>
      <c r="AU706" t="s">
        <v>35</v>
      </c>
    </row>
    <row r="707" spans="1:47" x14ac:dyDescent="0.2">
      <c r="A707">
        <v>1049</v>
      </c>
      <c r="B707" t="s">
        <v>927</v>
      </c>
      <c r="C707" t="s">
        <v>494</v>
      </c>
      <c r="D707" t="s">
        <v>494</v>
      </c>
      <c r="G707" t="str">
        <f t="shared" ref="G707:G770" si="11">CONCATENATE(B707,C707,D707)</f>
        <v>SHELL09B6B6</v>
      </c>
      <c r="H707">
        <v>71.251416669999998</v>
      </c>
      <c r="I707">
        <v>-163.1942</v>
      </c>
      <c r="J707" s="3">
        <v>20090813</v>
      </c>
      <c r="K707">
        <v>2009</v>
      </c>
      <c r="L707">
        <v>2.7968999999999999</v>
      </c>
      <c r="M707">
        <v>2.4714800000000001</v>
      </c>
      <c r="N707">
        <v>0.39305000000000001</v>
      </c>
      <c r="O707">
        <v>8.1883400000000002</v>
      </c>
      <c r="P707">
        <v>1.2346600000000001</v>
      </c>
      <c r="Q707">
        <v>0</v>
      </c>
      <c r="R707">
        <v>0</v>
      </c>
      <c r="S707">
        <v>0</v>
      </c>
      <c r="T707">
        <v>0</v>
      </c>
      <c r="U707">
        <v>0.14096</v>
      </c>
      <c r="V707">
        <v>15.225390000000001</v>
      </c>
      <c r="W707" t="s">
        <v>12</v>
      </c>
      <c r="X707">
        <v>39.334000000000003</v>
      </c>
      <c r="Y707">
        <v>144.24199999999999</v>
      </c>
      <c r="Z707">
        <v>5.0759999999999996</v>
      </c>
      <c r="AA707">
        <v>181.96299999999999</v>
      </c>
      <c r="AB707">
        <v>88.19</v>
      </c>
      <c r="AC707">
        <v>0</v>
      </c>
      <c r="AD707">
        <v>0</v>
      </c>
      <c r="AE707">
        <v>0</v>
      </c>
      <c r="AF707">
        <v>0</v>
      </c>
      <c r="AG707">
        <v>3.3849999999999998</v>
      </c>
      <c r="AH707">
        <v>462.19</v>
      </c>
      <c r="AI707" t="s">
        <v>24</v>
      </c>
      <c r="AJ707">
        <v>1100</v>
      </c>
      <c r="AK707">
        <v>520</v>
      </c>
      <c r="AL707">
        <v>1430</v>
      </c>
      <c r="AM707">
        <v>50</v>
      </c>
      <c r="AN707">
        <v>190</v>
      </c>
      <c r="AO707">
        <v>0</v>
      </c>
      <c r="AP707">
        <v>0</v>
      </c>
      <c r="AQ707">
        <v>0</v>
      </c>
      <c r="AR707">
        <v>0</v>
      </c>
      <c r="AS707">
        <v>140</v>
      </c>
      <c r="AT707">
        <v>3430</v>
      </c>
      <c r="AU707" t="s">
        <v>35</v>
      </c>
    </row>
    <row r="708" spans="1:47" x14ac:dyDescent="0.2">
      <c r="A708">
        <v>1050</v>
      </c>
      <c r="B708" t="s">
        <v>927</v>
      </c>
      <c r="C708" t="s">
        <v>495</v>
      </c>
      <c r="D708" t="s">
        <v>495</v>
      </c>
      <c r="G708" t="str">
        <f t="shared" si="11"/>
        <v>SHELL09B7B7</v>
      </c>
      <c r="H708">
        <v>71.251033329999999</v>
      </c>
      <c r="I708">
        <v>-163.1937667</v>
      </c>
      <c r="J708" s="3">
        <v>20090813</v>
      </c>
      <c r="K708">
        <v>2009</v>
      </c>
      <c r="L708">
        <v>2.2789999999999999</v>
      </c>
      <c r="M708">
        <v>6.1455599999999997</v>
      </c>
      <c r="N708">
        <v>0.35600999999999999</v>
      </c>
      <c r="O708">
        <v>3.9424999999999999</v>
      </c>
      <c r="P708">
        <v>0.99575999999999998</v>
      </c>
      <c r="Q708">
        <v>0</v>
      </c>
      <c r="R708">
        <v>0.15939</v>
      </c>
      <c r="S708">
        <v>0</v>
      </c>
      <c r="T708">
        <v>0</v>
      </c>
      <c r="U708">
        <v>0.10406</v>
      </c>
      <c r="V708">
        <v>13.982279999999999</v>
      </c>
      <c r="W708" t="s">
        <v>10</v>
      </c>
      <c r="X708">
        <v>33.143000000000001</v>
      </c>
      <c r="Y708">
        <v>169.65199999999999</v>
      </c>
      <c r="Z708">
        <v>4.5090000000000003</v>
      </c>
      <c r="AA708">
        <v>87.611000000000004</v>
      </c>
      <c r="AB708">
        <v>71.126000000000005</v>
      </c>
      <c r="AC708">
        <v>0</v>
      </c>
      <c r="AD708">
        <v>2.613</v>
      </c>
      <c r="AE708">
        <v>0</v>
      </c>
      <c r="AF708">
        <v>0</v>
      </c>
      <c r="AG708">
        <v>1.75</v>
      </c>
      <c r="AH708">
        <v>370.404</v>
      </c>
      <c r="AI708" t="s">
        <v>22</v>
      </c>
      <c r="AJ708">
        <v>670</v>
      </c>
      <c r="AK708">
        <v>520</v>
      </c>
      <c r="AL708">
        <v>1220</v>
      </c>
      <c r="AM708">
        <v>10</v>
      </c>
      <c r="AN708">
        <v>120</v>
      </c>
      <c r="AO708">
        <v>0</v>
      </c>
      <c r="AP708">
        <v>1300</v>
      </c>
      <c r="AQ708">
        <v>0</v>
      </c>
      <c r="AR708">
        <v>0</v>
      </c>
      <c r="AS708">
        <v>20</v>
      </c>
      <c r="AT708">
        <v>3860</v>
      </c>
      <c r="AU708" t="s">
        <v>39</v>
      </c>
    </row>
    <row r="709" spans="1:47" x14ac:dyDescent="0.2">
      <c r="A709">
        <v>1051</v>
      </c>
      <c r="B709" t="s">
        <v>927</v>
      </c>
      <c r="C709" t="s">
        <v>496</v>
      </c>
      <c r="D709" t="s">
        <v>496</v>
      </c>
      <c r="G709" t="str">
        <f t="shared" si="11"/>
        <v>SHELL09B8B8</v>
      </c>
      <c r="H709">
        <v>71.250916669999995</v>
      </c>
      <c r="I709">
        <v>-163.19536669999999</v>
      </c>
      <c r="J709" s="3">
        <v>20090813</v>
      </c>
      <c r="K709">
        <v>2009</v>
      </c>
      <c r="L709">
        <v>4.2869700000000002</v>
      </c>
      <c r="M709">
        <v>0.61707999999999996</v>
      </c>
      <c r="N709">
        <v>0.58860000000000001</v>
      </c>
      <c r="O709">
        <v>11.088089999999999</v>
      </c>
      <c r="P709">
        <v>1.03986</v>
      </c>
      <c r="Q709">
        <v>0</v>
      </c>
      <c r="R709">
        <v>0</v>
      </c>
      <c r="S709">
        <v>0</v>
      </c>
      <c r="T709">
        <v>0</v>
      </c>
      <c r="U709">
        <v>1.67E-3</v>
      </c>
      <c r="V709">
        <v>17.62227</v>
      </c>
      <c r="W709" t="s">
        <v>12</v>
      </c>
      <c r="X709">
        <v>61.151000000000003</v>
      </c>
      <c r="Y709">
        <v>33.686</v>
      </c>
      <c r="Z709">
        <v>7.36</v>
      </c>
      <c r="AA709">
        <v>246.40199999999999</v>
      </c>
      <c r="AB709">
        <v>74.275999999999996</v>
      </c>
      <c r="AC709">
        <v>0</v>
      </c>
      <c r="AD709">
        <v>0</v>
      </c>
      <c r="AE709">
        <v>0</v>
      </c>
      <c r="AF709">
        <v>0</v>
      </c>
      <c r="AG709">
        <v>2.7E-2</v>
      </c>
      <c r="AH709">
        <v>422.90199999999999</v>
      </c>
      <c r="AI709" t="s">
        <v>24</v>
      </c>
      <c r="AJ709">
        <v>580</v>
      </c>
      <c r="AK709">
        <v>480</v>
      </c>
      <c r="AL709">
        <v>1600</v>
      </c>
      <c r="AM709">
        <v>40</v>
      </c>
      <c r="AN709">
        <v>190</v>
      </c>
      <c r="AO709">
        <v>0</v>
      </c>
      <c r="AP709">
        <v>0</v>
      </c>
      <c r="AQ709">
        <v>0</v>
      </c>
      <c r="AR709">
        <v>0</v>
      </c>
      <c r="AS709">
        <v>30</v>
      </c>
      <c r="AT709">
        <v>2920</v>
      </c>
      <c r="AU709" t="s">
        <v>35</v>
      </c>
    </row>
    <row r="710" spans="1:47" x14ac:dyDescent="0.2">
      <c r="A710">
        <v>1052</v>
      </c>
      <c r="B710" t="s">
        <v>927</v>
      </c>
      <c r="C710" t="s">
        <v>497</v>
      </c>
      <c r="D710" t="s">
        <v>497</v>
      </c>
      <c r="G710" t="str">
        <f t="shared" si="11"/>
        <v>SHELL09B9B9</v>
      </c>
      <c r="H710">
        <v>71.251750000000001</v>
      </c>
      <c r="I710">
        <v>-163.1962833</v>
      </c>
      <c r="J710" s="3">
        <v>20090813</v>
      </c>
      <c r="K710">
        <v>2009</v>
      </c>
      <c r="L710">
        <v>1.6311899999999999</v>
      </c>
      <c r="M710">
        <v>4.0850600000000004</v>
      </c>
      <c r="N710">
        <v>0.69135000000000002</v>
      </c>
      <c r="O710">
        <v>1.7099999999999999E-3</v>
      </c>
      <c r="P710">
        <v>0.67023999999999995</v>
      </c>
      <c r="Q710">
        <v>0</v>
      </c>
      <c r="R710">
        <v>0</v>
      </c>
      <c r="S710">
        <v>0</v>
      </c>
      <c r="T710">
        <v>0</v>
      </c>
      <c r="U710">
        <v>2.64256</v>
      </c>
      <c r="V710">
        <v>9.7221100000000007</v>
      </c>
      <c r="W710" t="s">
        <v>10</v>
      </c>
      <c r="X710">
        <v>24.221</v>
      </c>
      <c r="Y710">
        <v>128.11199999999999</v>
      </c>
      <c r="Z710">
        <v>10.048</v>
      </c>
      <c r="AA710">
        <v>3.7999999999999999E-2</v>
      </c>
      <c r="AB710">
        <v>47.874000000000002</v>
      </c>
      <c r="AC710">
        <v>0</v>
      </c>
      <c r="AD710">
        <v>0</v>
      </c>
      <c r="AE710">
        <v>0</v>
      </c>
      <c r="AF710">
        <v>0</v>
      </c>
      <c r="AG710">
        <v>33.253</v>
      </c>
      <c r="AH710">
        <v>243.54599999999999</v>
      </c>
      <c r="AI710" t="s">
        <v>22</v>
      </c>
      <c r="AJ710">
        <v>480</v>
      </c>
      <c r="AK710">
        <v>640</v>
      </c>
      <c r="AL710">
        <v>680</v>
      </c>
      <c r="AM710">
        <v>10</v>
      </c>
      <c r="AN710">
        <v>110</v>
      </c>
      <c r="AO710">
        <v>0</v>
      </c>
      <c r="AP710">
        <v>0</v>
      </c>
      <c r="AQ710">
        <v>0</v>
      </c>
      <c r="AR710">
        <v>0</v>
      </c>
      <c r="AS710">
        <v>90</v>
      </c>
      <c r="AT710">
        <v>2010</v>
      </c>
      <c r="AU710" t="s">
        <v>35</v>
      </c>
    </row>
    <row r="711" spans="1:47" x14ac:dyDescent="0.2">
      <c r="A711">
        <v>1053</v>
      </c>
      <c r="B711" t="s">
        <v>927</v>
      </c>
      <c r="C711" t="s">
        <v>498</v>
      </c>
      <c r="D711" t="s">
        <v>498</v>
      </c>
      <c r="G711" t="str">
        <f t="shared" si="11"/>
        <v>SHELL09BRGBRG</v>
      </c>
      <c r="H711">
        <v>71.251333329999994</v>
      </c>
      <c r="I711">
        <v>-163.19551670000001</v>
      </c>
      <c r="J711" s="3">
        <v>20090813</v>
      </c>
      <c r="K711">
        <v>2009</v>
      </c>
      <c r="L711">
        <v>5.3791599999999997</v>
      </c>
      <c r="M711">
        <v>2.9942500000000001</v>
      </c>
      <c r="N711">
        <v>0.40028999999999998</v>
      </c>
      <c r="O711">
        <v>7.2400099999999998</v>
      </c>
      <c r="P711">
        <v>0.73699000000000003</v>
      </c>
      <c r="Q711">
        <v>0</v>
      </c>
      <c r="R711">
        <v>1.141E-2</v>
      </c>
      <c r="S711">
        <v>2.7720000000000002E-2</v>
      </c>
      <c r="T711">
        <v>0</v>
      </c>
      <c r="U711">
        <v>0.82196999999999998</v>
      </c>
      <c r="V711">
        <v>17.611799999999999</v>
      </c>
      <c r="W711" t="s">
        <v>12</v>
      </c>
      <c r="X711">
        <v>76.563000000000002</v>
      </c>
      <c r="Y711">
        <v>100.105</v>
      </c>
      <c r="Z711">
        <v>5.1260000000000003</v>
      </c>
      <c r="AA711">
        <v>160.88900000000001</v>
      </c>
      <c r="AB711">
        <v>52.642000000000003</v>
      </c>
      <c r="AC711">
        <v>0</v>
      </c>
      <c r="AD711">
        <v>0.187</v>
      </c>
      <c r="AE711">
        <v>0.67600000000000005</v>
      </c>
      <c r="AF711">
        <v>0</v>
      </c>
      <c r="AG711">
        <v>10.323</v>
      </c>
      <c r="AH711">
        <v>406.51100000000002</v>
      </c>
      <c r="AI711" t="s">
        <v>24</v>
      </c>
      <c r="AJ711">
        <v>791.428</v>
      </c>
      <c r="AK711">
        <v>504.286</v>
      </c>
      <c r="AL711">
        <v>1305.712</v>
      </c>
      <c r="AM711">
        <v>27.856999999999999</v>
      </c>
      <c r="AN711">
        <v>131.429</v>
      </c>
      <c r="AO711">
        <v>0</v>
      </c>
      <c r="AP711">
        <v>92.856999999999999</v>
      </c>
      <c r="AQ711">
        <v>2.1429999999999998</v>
      </c>
      <c r="AR711">
        <v>0</v>
      </c>
      <c r="AS711">
        <v>72.143000000000001</v>
      </c>
      <c r="AT711">
        <v>2927.855</v>
      </c>
      <c r="AU711" t="s">
        <v>35</v>
      </c>
    </row>
    <row r="712" spans="1:47" x14ac:dyDescent="0.2">
      <c r="A712">
        <v>1054</v>
      </c>
      <c r="B712" t="s">
        <v>927</v>
      </c>
      <c r="C712" t="s">
        <v>499</v>
      </c>
      <c r="D712" t="s">
        <v>500</v>
      </c>
      <c r="G712" t="str">
        <f t="shared" si="11"/>
        <v>SHELL09BSB_site</v>
      </c>
      <c r="H712">
        <v>71.251333329999994</v>
      </c>
      <c r="I712">
        <v>-163.19551670000001</v>
      </c>
      <c r="J712" s="3">
        <v>20090813</v>
      </c>
      <c r="K712">
        <v>2009</v>
      </c>
      <c r="L712">
        <v>9.7885799999999996</v>
      </c>
      <c r="M712">
        <v>6.5286600000000004</v>
      </c>
      <c r="N712">
        <v>0.48533999999999999</v>
      </c>
      <c r="O712">
        <v>5.7852499999999996</v>
      </c>
      <c r="P712">
        <v>0.78966999999999998</v>
      </c>
      <c r="Q712">
        <v>0</v>
      </c>
      <c r="R712">
        <v>0</v>
      </c>
      <c r="S712">
        <v>0</v>
      </c>
      <c r="T712">
        <v>0</v>
      </c>
      <c r="U712">
        <v>2.3097599999999998</v>
      </c>
      <c r="V712">
        <v>25.687259999999998</v>
      </c>
      <c r="W712" t="s">
        <v>9</v>
      </c>
      <c r="X712">
        <v>132.05600000000001</v>
      </c>
      <c r="Y712">
        <v>233.96799999999999</v>
      </c>
      <c r="Z712">
        <v>6.05</v>
      </c>
      <c r="AA712">
        <v>128.56100000000001</v>
      </c>
      <c r="AB712">
        <v>56.405000000000001</v>
      </c>
      <c r="AC712">
        <v>0</v>
      </c>
      <c r="AD712">
        <v>0</v>
      </c>
      <c r="AE712">
        <v>0</v>
      </c>
      <c r="AF712">
        <v>0</v>
      </c>
      <c r="AG712">
        <v>28.731999999999999</v>
      </c>
      <c r="AH712">
        <v>585.77200000000005</v>
      </c>
      <c r="AI712" t="s">
        <v>22</v>
      </c>
      <c r="AJ712">
        <v>1260</v>
      </c>
      <c r="AK712">
        <v>440</v>
      </c>
      <c r="AL712">
        <v>1790</v>
      </c>
      <c r="AM712">
        <v>20</v>
      </c>
      <c r="AN712">
        <v>120</v>
      </c>
      <c r="AO712">
        <v>0</v>
      </c>
      <c r="AP712">
        <v>0</v>
      </c>
      <c r="AQ712">
        <v>0</v>
      </c>
      <c r="AR712">
        <v>0</v>
      </c>
      <c r="AS712">
        <v>40</v>
      </c>
      <c r="AT712">
        <v>3670</v>
      </c>
      <c r="AU712" t="s">
        <v>35</v>
      </c>
    </row>
    <row r="713" spans="1:47" x14ac:dyDescent="0.2">
      <c r="A713">
        <v>1055</v>
      </c>
      <c r="B713" t="s">
        <v>927</v>
      </c>
      <c r="C713" t="s">
        <v>501</v>
      </c>
      <c r="D713" t="s">
        <v>502</v>
      </c>
      <c r="G713" t="str">
        <f t="shared" si="11"/>
        <v>SHELL09C1AC1A=Csite</v>
      </c>
      <c r="H713">
        <v>71.417100000000005</v>
      </c>
      <c r="I713">
        <v>-165.54429999999999</v>
      </c>
      <c r="J713" s="3">
        <v>20090815</v>
      </c>
      <c r="K713">
        <v>2009</v>
      </c>
      <c r="L713">
        <v>6.1532600000000004</v>
      </c>
      <c r="M713">
        <v>1.6491800000000001</v>
      </c>
      <c r="N713">
        <v>0.17143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4.5500000000000002E-3</v>
      </c>
      <c r="V713">
        <v>7.9784199999999998</v>
      </c>
      <c r="W713" t="s">
        <v>9</v>
      </c>
      <c r="X713">
        <v>87.215999999999994</v>
      </c>
      <c r="Y713">
        <v>36.453000000000003</v>
      </c>
      <c r="Z713">
        <v>2.3170000000000002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8.8999999999999996E-2</v>
      </c>
      <c r="AH713">
        <v>126.075</v>
      </c>
      <c r="AI713" t="s">
        <v>21</v>
      </c>
      <c r="AJ713">
        <v>430</v>
      </c>
      <c r="AK713">
        <v>250</v>
      </c>
      <c r="AL713">
        <v>130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20</v>
      </c>
      <c r="AT713">
        <v>830</v>
      </c>
      <c r="AU713" t="s">
        <v>33</v>
      </c>
    </row>
    <row r="714" spans="1:47" x14ac:dyDescent="0.2">
      <c r="A714">
        <v>1056</v>
      </c>
      <c r="B714" t="s">
        <v>927</v>
      </c>
      <c r="C714" t="s">
        <v>503</v>
      </c>
      <c r="D714" t="s">
        <v>503</v>
      </c>
      <c r="G714" t="str">
        <f t="shared" si="11"/>
        <v>SHELL09C3C3</v>
      </c>
      <c r="H714">
        <v>71.418850000000006</v>
      </c>
      <c r="I714">
        <v>-165.54040000000001</v>
      </c>
      <c r="J714" s="3">
        <v>20090815</v>
      </c>
      <c r="K714">
        <v>2009</v>
      </c>
      <c r="L714">
        <v>4.4618599999999997</v>
      </c>
      <c r="M714">
        <v>0.60499999999999998</v>
      </c>
      <c r="N714">
        <v>0.26784999999999998</v>
      </c>
      <c r="O714">
        <v>2.88734</v>
      </c>
      <c r="P714">
        <v>0.40410000000000001</v>
      </c>
      <c r="Q714">
        <v>0</v>
      </c>
      <c r="R714">
        <v>0</v>
      </c>
      <c r="S714">
        <v>0</v>
      </c>
      <c r="T714">
        <v>0</v>
      </c>
      <c r="U714">
        <v>5.4000000000000001E-4</v>
      </c>
      <c r="V714">
        <v>8.62669</v>
      </c>
      <c r="W714" t="s">
        <v>9</v>
      </c>
      <c r="X714">
        <v>65.126999999999995</v>
      </c>
      <c r="Y714">
        <v>35.643000000000001</v>
      </c>
      <c r="Z714">
        <v>3.9239999999999999</v>
      </c>
      <c r="AA714">
        <v>64.162999999999997</v>
      </c>
      <c r="AB714">
        <v>28.864000000000001</v>
      </c>
      <c r="AC714">
        <v>0</v>
      </c>
      <c r="AD714">
        <v>0</v>
      </c>
      <c r="AE714">
        <v>0</v>
      </c>
      <c r="AF714">
        <v>0</v>
      </c>
      <c r="AG714">
        <v>1.7999999999999999E-2</v>
      </c>
      <c r="AH714">
        <v>197.739</v>
      </c>
      <c r="AI714" t="s">
        <v>21</v>
      </c>
      <c r="AJ714">
        <v>410</v>
      </c>
      <c r="AK714">
        <v>320</v>
      </c>
      <c r="AL714">
        <v>190</v>
      </c>
      <c r="AM714">
        <v>30</v>
      </c>
      <c r="AN714">
        <v>50</v>
      </c>
      <c r="AO714">
        <v>0</v>
      </c>
      <c r="AP714">
        <v>0</v>
      </c>
      <c r="AQ714">
        <v>0</v>
      </c>
      <c r="AR714">
        <v>0</v>
      </c>
      <c r="AS714">
        <v>10</v>
      </c>
      <c r="AT714">
        <v>1010</v>
      </c>
      <c r="AU714" t="s">
        <v>33</v>
      </c>
    </row>
    <row r="715" spans="1:47" x14ac:dyDescent="0.2">
      <c r="A715">
        <v>1057</v>
      </c>
      <c r="B715" t="s">
        <v>927</v>
      </c>
      <c r="C715" t="s">
        <v>504</v>
      </c>
      <c r="D715" t="s">
        <v>504</v>
      </c>
      <c r="G715" t="str">
        <f t="shared" si="11"/>
        <v>SHELL09C5C5</v>
      </c>
      <c r="H715">
        <v>71.418583330000004</v>
      </c>
      <c r="I715">
        <v>-165.5427167</v>
      </c>
      <c r="J715" s="3">
        <v>20090815</v>
      </c>
      <c r="K715">
        <v>2009</v>
      </c>
      <c r="L715">
        <v>13.825659999999999</v>
      </c>
      <c r="M715">
        <v>2.0379100000000001</v>
      </c>
      <c r="N715">
        <v>0.14652000000000001</v>
      </c>
      <c r="O715">
        <v>3.0599999999999998E-3</v>
      </c>
      <c r="P715">
        <v>0.13721</v>
      </c>
      <c r="Q715">
        <v>0</v>
      </c>
      <c r="R715">
        <v>0</v>
      </c>
      <c r="S715">
        <v>0</v>
      </c>
      <c r="T715">
        <v>0</v>
      </c>
      <c r="U715">
        <v>0.22852</v>
      </c>
      <c r="V715">
        <v>16.378879999999999</v>
      </c>
      <c r="W715" t="s">
        <v>9</v>
      </c>
      <c r="X715">
        <v>200.42400000000001</v>
      </c>
      <c r="Y715">
        <v>68.724999999999994</v>
      </c>
      <c r="Z715">
        <v>1.9330000000000001</v>
      </c>
      <c r="AA715">
        <v>6.8000000000000005E-2</v>
      </c>
      <c r="AB715">
        <v>9.8010000000000002</v>
      </c>
      <c r="AC715">
        <v>0</v>
      </c>
      <c r="AD715">
        <v>0</v>
      </c>
      <c r="AE715">
        <v>0</v>
      </c>
      <c r="AF715">
        <v>0</v>
      </c>
      <c r="AG715">
        <v>2.4940000000000002</v>
      </c>
      <c r="AH715">
        <v>283.44499999999999</v>
      </c>
      <c r="AI715" t="s">
        <v>21</v>
      </c>
      <c r="AJ715">
        <v>410</v>
      </c>
      <c r="AK715">
        <v>310</v>
      </c>
      <c r="AL715">
        <v>120</v>
      </c>
      <c r="AM715">
        <v>10</v>
      </c>
      <c r="AN715">
        <v>10</v>
      </c>
      <c r="AO715">
        <v>0</v>
      </c>
      <c r="AP715">
        <v>0</v>
      </c>
      <c r="AQ715">
        <v>0</v>
      </c>
      <c r="AR715">
        <v>0</v>
      </c>
      <c r="AS715">
        <v>60</v>
      </c>
      <c r="AT715">
        <v>920</v>
      </c>
      <c r="AU715" t="s">
        <v>33</v>
      </c>
    </row>
    <row r="716" spans="1:47" x14ac:dyDescent="0.2">
      <c r="A716">
        <v>1058</v>
      </c>
      <c r="B716" t="s">
        <v>927</v>
      </c>
      <c r="C716" t="s">
        <v>505</v>
      </c>
      <c r="D716" t="s">
        <v>505</v>
      </c>
      <c r="G716" t="str">
        <f t="shared" si="11"/>
        <v>SHELL09C7C7</v>
      </c>
      <c r="H716">
        <v>71.41801667</v>
      </c>
      <c r="I716">
        <v>-165.54178329999999</v>
      </c>
      <c r="J716" s="3">
        <v>20090815</v>
      </c>
      <c r="K716">
        <v>2009</v>
      </c>
      <c r="L716">
        <v>7.6180700000000003</v>
      </c>
      <c r="M716">
        <v>0.54557999999999995</v>
      </c>
      <c r="N716">
        <v>0.13105</v>
      </c>
      <c r="O716">
        <v>0</v>
      </c>
      <c r="P716">
        <v>0.28963</v>
      </c>
      <c r="Q716">
        <v>0</v>
      </c>
      <c r="R716">
        <v>0</v>
      </c>
      <c r="S716">
        <v>0</v>
      </c>
      <c r="T716">
        <v>0</v>
      </c>
      <c r="U716">
        <v>5.9310000000000002E-2</v>
      </c>
      <c r="V716">
        <v>8.6436399999999995</v>
      </c>
      <c r="W716" t="s">
        <v>9</v>
      </c>
      <c r="X716">
        <v>109.29</v>
      </c>
      <c r="Y716">
        <v>14.234999999999999</v>
      </c>
      <c r="Z716">
        <v>1.831</v>
      </c>
      <c r="AA716">
        <v>0</v>
      </c>
      <c r="AB716">
        <v>20.687999999999999</v>
      </c>
      <c r="AC716">
        <v>0</v>
      </c>
      <c r="AD716">
        <v>0</v>
      </c>
      <c r="AE716">
        <v>0</v>
      </c>
      <c r="AF716">
        <v>0</v>
      </c>
      <c r="AG716">
        <v>0.89</v>
      </c>
      <c r="AH716">
        <v>146.934</v>
      </c>
      <c r="AI716" t="s">
        <v>21</v>
      </c>
      <c r="AJ716">
        <v>460</v>
      </c>
      <c r="AK716">
        <v>370</v>
      </c>
      <c r="AL716">
        <v>130</v>
      </c>
      <c r="AM716">
        <v>0</v>
      </c>
      <c r="AN716">
        <v>10</v>
      </c>
      <c r="AO716">
        <v>0</v>
      </c>
      <c r="AP716">
        <v>0</v>
      </c>
      <c r="AQ716">
        <v>0</v>
      </c>
      <c r="AR716">
        <v>0</v>
      </c>
      <c r="AS716">
        <v>40</v>
      </c>
      <c r="AT716">
        <v>1010</v>
      </c>
      <c r="AU716" t="s">
        <v>33</v>
      </c>
    </row>
    <row r="717" spans="1:47" x14ac:dyDescent="0.2">
      <c r="A717">
        <v>1059</v>
      </c>
      <c r="B717" t="s">
        <v>927</v>
      </c>
      <c r="C717" t="s">
        <v>506</v>
      </c>
      <c r="D717" t="s">
        <v>506</v>
      </c>
      <c r="G717" t="str">
        <f t="shared" si="11"/>
        <v>SHELL09C9C9</v>
      </c>
      <c r="H717">
        <v>71.419083330000007</v>
      </c>
      <c r="I717">
        <v>-165.54495</v>
      </c>
      <c r="J717" s="3">
        <v>20090815</v>
      </c>
      <c r="K717">
        <v>2009</v>
      </c>
      <c r="L717">
        <v>6.3268899999999997</v>
      </c>
      <c r="M717">
        <v>0.19838</v>
      </c>
      <c r="N717">
        <v>0</v>
      </c>
      <c r="O717">
        <v>0</v>
      </c>
      <c r="P717">
        <v>1.0000000000000001E-5</v>
      </c>
      <c r="Q717">
        <v>0</v>
      </c>
      <c r="R717">
        <v>0</v>
      </c>
      <c r="S717">
        <v>0</v>
      </c>
      <c r="T717">
        <v>0</v>
      </c>
      <c r="U717">
        <v>6.5920000000000006E-2</v>
      </c>
      <c r="V717">
        <v>6.5911999999999997</v>
      </c>
      <c r="W717" t="s">
        <v>9</v>
      </c>
      <c r="X717">
        <v>82.113</v>
      </c>
      <c r="Y717">
        <v>5.1509999999999998</v>
      </c>
      <c r="Z717">
        <v>0</v>
      </c>
      <c r="AA717">
        <v>0</v>
      </c>
      <c r="AB717">
        <v>1E-3</v>
      </c>
      <c r="AC717">
        <v>0</v>
      </c>
      <c r="AD717">
        <v>0</v>
      </c>
      <c r="AE717">
        <v>0</v>
      </c>
      <c r="AF717">
        <v>0</v>
      </c>
      <c r="AG717">
        <v>1.17</v>
      </c>
      <c r="AH717">
        <v>88.435000000000002</v>
      </c>
      <c r="AI717" t="s">
        <v>21</v>
      </c>
      <c r="AJ717">
        <v>390</v>
      </c>
      <c r="AK717">
        <v>230</v>
      </c>
      <c r="AL717">
        <v>0</v>
      </c>
      <c r="AM717">
        <v>0</v>
      </c>
      <c r="AN717">
        <v>10</v>
      </c>
      <c r="AO717">
        <v>0</v>
      </c>
      <c r="AP717">
        <v>0</v>
      </c>
      <c r="AQ717">
        <v>0</v>
      </c>
      <c r="AR717">
        <v>0</v>
      </c>
      <c r="AS717">
        <v>30</v>
      </c>
      <c r="AT717">
        <v>660</v>
      </c>
      <c r="AU717" t="s">
        <v>33</v>
      </c>
    </row>
    <row r="718" spans="1:47" x14ac:dyDescent="0.2">
      <c r="A718">
        <v>1060</v>
      </c>
      <c r="B718" t="s">
        <v>927</v>
      </c>
      <c r="C718" t="s">
        <v>507</v>
      </c>
      <c r="D718" t="s">
        <v>507</v>
      </c>
      <c r="G718" t="str">
        <f t="shared" si="11"/>
        <v>SHELL09CRKCRK</v>
      </c>
      <c r="H718">
        <v>70.711133329999996</v>
      </c>
      <c r="I718">
        <v>-165.24875</v>
      </c>
      <c r="J718" s="3">
        <v>20090814</v>
      </c>
      <c r="K718">
        <v>2009</v>
      </c>
      <c r="L718">
        <v>7.6771399999999996</v>
      </c>
      <c r="M718">
        <v>1.0072000000000001</v>
      </c>
      <c r="N718">
        <v>0.14343</v>
      </c>
      <c r="O718">
        <v>0.57806999999999997</v>
      </c>
      <c r="P718">
        <v>0.16619</v>
      </c>
      <c r="Q718">
        <v>0</v>
      </c>
      <c r="R718">
        <v>0</v>
      </c>
      <c r="S718">
        <v>0</v>
      </c>
      <c r="T718">
        <v>0</v>
      </c>
      <c r="U718">
        <v>7.177E-2</v>
      </c>
      <c r="V718">
        <v>9.6438000000000006</v>
      </c>
      <c r="W718" t="s">
        <v>9</v>
      </c>
      <c r="X718">
        <v>108.834</v>
      </c>
      <c r="Y718">
        <v>32.040999999999997</v>
      </c>
      <c r="Z718">
        <v>2.0019999999999998</v>
      </c>
      <c r="AA718">
        <v>12.846</v>
      </c>
      <c r="AB718">
        <v>11.871</v>
      </c>
      <c r="AC718">
        <v>0</v>
      </c>
      <c r="AD718">
        <v>0</v>
      </c>
      <c r="AE718">
        <v>0</v>
      </c>
      <c r="AF718">
        <v>0</v>
      </c>
      <c r="AG718">
        <v>0.93200000000000005</v>
      </c>
      <c r="AH718">
        <v>168.52600000000001</v>
      </c>
      <c r="AI718" t="s">
        <v>21</v>
      </c>
      <c r="AJ718">
        <v>420</v>
      </c>
      <c r="AK718">
        <v>296</v>
      </c>
      <c r="AL718">
        <v>114</v>
      </c>
      <c r="AM718">
        <v>8</v>
      </c>
      <c r="AN718">
        <v>16</v>
      </c>
      <c r="AO718">
        <v>0</v>
      </c>
      <c r="AP718">
        <v>0</v>
      </c>
      <c r="AQ718">
        <v>0</v>
      </c>
      <c r="AR718">
        <v>0</v>
      </c>
      <c r="AS718">
        <v>32</v>
      </c>
      <c r="AT718">
        <v>886</v>
      </c>
      <c r="AU718" t="s">
        <v>33</v>
      </c>
    </row>
    <row r="719" spans="1:47" x14ac:dyDescent="0.2">
      <c r="A719">
        <v>1061</v>
      </c>
      <c r="B719" t="s">
        <v>927</v>
      </c>
      <c r="C719" t="s">
        <v>398</v>
      </c>
      <c r="D719" t="s">
        <v>398</v>
      </c>
      <c r="G719" t="str">
        <f t="shared" si="11"/>
        <v>SHELL09K1K1</v>
      </c>
      <c r="H719">
        <v>70.709533329999999</v>
      </c>
      <c r="I719">
        <v>-165.2476667</v>
      </c>
      <c r="J719" s="3">
        <v>20090814</v>
      </c>
      <c r="K719">
        <v>2009</v>
      </c>
      <c r="L719">
        <v>2.06717</v>
      </c>
      <c r="M719">
        <v>0.61638999999999999</v>
      </c>
      <c r="N719">
        <v>9.0100000000000006E-3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6.1000000000000004E-3</v>
      </c>
      <c r="V719">
        <v>2.6986699999999999</v>
      </c>
      <c r="W719" t="s">
        <v>9</v>
      </c>
      <c r="X719">
        <v>29.725000000000001</v>
      </c>
      <c r="Y719">
        <v>16.805</v>
      </c>
      <c r="Z719">
        <v>0.125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0.23</v>
      </c>
      <c r="AH719">
        <v>46.884999999999998</v>
      </c>
      <c r="AI719" t="s">
        <v>21</v>
      </c>
      <c r="AJ719">
        <v>60</v>
      </c>
      <c r="AK719">
        <v>170</v>
      </c>
      <c r="AL719">
        <v>70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60</v>
      </c>
      <c r="AT719">
        <v>360</v>
      </c>
      <c r="AU719" t="s">
        <v>34</v>
      </c>
    </row>
    <row r="720" spans="1:47" x14ac:dyDescent="0.2">
      <c r="A720">
        <v>1062</v>
      </c>
      <c r="B720" t="s">
        <v>927</v>
      </c>
      <c r="C720" t="s">
        <v>397</v>
      </c>
      <c r="D720" t="s">
        <v>397</v>
      </c>
      <c r="G720" t="str">
        <f t="shared" si="11"/>
        <v>SHELL09K10K10</v>
      </c>
      <c r="H720">
        <v>70.711083329999994</v>
      </c>
      <c r="I720">
        <v>-165.24895000000001</v>
      </c>
      <c r="J720" s="3">
        <v>20090814</v>
      </c>
      <c r="K720">
        <v>2009</v>
      </c>
      <c r="L720">
        <v>2.77223</v>
      </c>
      <c r="M720">
        <v>0.58096000000000003</v>
      </c>
      <c r="N720">
        <v>1.4710000000000001E-2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1.417E-2</v>
      </c>
      <c r="V720">
        <v>3.3820700000000001</v>
      </c>
      <c r="W720" t="s">
        <v>9</v>
      </c>
      <c r="X720">
        <v>39.627000000000002</v>
      </c>
      <c r="Y720">
        <v>24.646000000000001</v>
      </c>
      <c r="Z720">
        <v>0.19700000000000001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0.315</v>
      </c>
      <c r="AH720">
        <v>64.784999999999997</v>
      </c>
      <c r="AI720" t="s">
        <v>21</v>
      </c>
      <c r="AJ720">
        <v>170</v>
      </c>
      <c r="AK720">
        <v>330</v>
      </c>
      <c r="AL720">
        <v>130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120</v>
      </c>
      <c r="AT720">
        <v>750</v>
      </c>
      <c r="AU720" t="s">
        <v>34</v>
      </c>
    </row>
    <row r="721" spans="1:47" x14ac:dyDescent="0.2">
      <c r="A721">
        <v>1063</v>
      </c>
      <c r="B721" t="s">
        <v>927</v>
      </c>
      <c r="C721" t="s">
        <v>508</v>
      </c>
      <c r="D721" t="s">
        <v>508</v>
      </c>
      <c r="G721" t="str">
        <f t="shared" si="11"/>
        <v>SHELL09K11K11</v>
      </c>
      <c r="H721">
        <v>70.710733329999996</v>
      </c>
      <c r="I721">
        <v>-165.24854999999999</v>
      </c>
      <c r="J721" s="3">
        <v>20090814</v>
      </c>
      <c r="K721">
        <v>2009</v>
      </c>
      <c r="L721">
        <v>4.3215500000000002</v>
      </c>
      <c r="M721">
        <v>1.5214300000000001</v>
      </c>
      <c r="N721">
        <v>8.2589999999999997E-2</v>
      </c>
      <c r="O721">
        <v>10.210100000000001</v>
      </c>
      <c r="P721">
        <v>1.1E-4</v>
      </c>
      <c r="Q721">
        <v>0</v>
      </c>
      <c r="R721">
        <v>0</v>
      </c>
      <c r="S721">
        <v>0</v>
      </c>
      <c r="T721">
        <v>0</v>
      </c>
      <c r="U721">
        <v>8.5900000000000004E-3</v>
      </c>
      <c r="V721">
        <v>16.144369999999999</v>
      </c>
      <c r="W721" t="s">
        <v>12</v>
      </c>
      <c r="X721">
        <v>64.608999999999995</v>
      </c>
      <c r="Y721">
        <v>65.492999999999995</v>
      </c>
      <c r="Z721">
        <v>1.0369999999999999</v>
      </c>
      <c r="AA721">
        <v>226.89099999999999</v>
      </c>
      <c r="AB721">
        <v>8.0000000000000002E-3</v>
      </c>
      <c r="AC721">
        <v>0</v>
      </c>
      <c r="AD721">
        <v>0</v>
      </c>
      <c r="AE721">
        <v>0</v>
      </c>
      <c r="AF721">
        <v>0</v>
      </c>
      <c r="AG721">
        <v>0.20399999999999999</v>
      </c>
      <c r="AH721">
        <v>358.24200000000002</v>
      </c>
      <c r="AI721" t="s">
        <v>24</v>
      </c>
      <c r="AJ721">
        <v>160</v>
      </c>
      <c r="AK721">
        <v>530</v>
      </c>
      <c r="AL721">
        <v>100</v>
      </c>
      <c r="AM721">
        <v>10</v>
      </c>
      <c r="AN721">
        <v>140</v>
      </c>
      <c r="AO721">
        <v>0</v>
      </c>
      <c r="AP721">
        <v>0</v>
      </c>
      <c r="AQ721">
        <v>0</v>
      </c>
      <c r="AR721">
        <v>0</v>
      </c>
      <c r="AS721">
        <v>2270</v>
      </c>
      <c r="AT721">
        <v>3210</v>
      </c>
      <c r="AU721" t="s">
        <v>42</v>
      </c>
    </row>
    <row r="722" spans="1:47" x14ac:dyDescent="0.2">
      <c r="A722">
        <v>1064</v>
      </c>
      <c r="B722" t="s">
        <v>927</v>
      </c>
      <c r="C722" t="s">
        <v>509</v>
      </c>
      <c r="D722" t="s">
        <v>509</v>
      </c>
      <c r="G722" t="str">
        <f t="shared" si="11"/>
        <v>SHELL09K12K12</v>
      </c>
      <c r="H722">
        <v>70.710466670000002</v>
      </c>
      <c r="I722">
        <v>-165.2499833</v>
      </c>
      <c r="J722" s="3">
        <v>20090814</v>
      </c>
      <c r="K722">
        <v>2009</v>
      </c>
      <c r="L722">
        <v>4.7433399999999999</v>
      </c>
      <c r="M722">
        <v>0.93293000000000004</v>
      </c>
      <c r="N722">
        <v>3.6159999999999998E-2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3.755E-2</v>
      </c>
      <c r="V722">
        <v>5.7499799999999999</v>
      </c>
      <c r="W722" t="s">
        <v>9</v>
      </c>
      <c r="X722">
        <v>68.454999999999998</v>
      </c>
      <c r="Y722">
        <v>40.244</v>
      </c>
      <c r="Z722">
        <v>0.504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1.173</v>
      </c>
      <c r="AH722">
        <v>110.376</v>
      </c>
      <c r="AI722" t="s">
        <v>21</v>
      </c>
      <c r="AJ722">
        <v>370</v>
      </c>
      <c r="AK722">
        <v>400</v>
      </c>
      <c r="AL722">
        <v>230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80</v>
      </c>
      <c r="AT722">
        <v>1080</v>
      </c>
      <c r="AU722" t="s">
        <v>34</v>
      </c>
    </row>
    <row r="723" spans="1:47" x14ac:dyDescent="0.2">
      <c r="A723">
        <v>1065</v>
      </c>
      <c r="B723" t="s">
        <v>927</v>
      </c>
      <c r="C723" t="s">
        <v>510</v>
      </c>
      <c r="D723" t="s">
        <v>510</v>
      </c>
      <c r="G723" t="str">
        <f t="shared" si="11"/>
        <v>SHELL09K3K3</v>
      </c>
      <c r="H723">
        <v>70.710149999999999</v>
      </c>
      <c r="I723">
        <v>-165.25309999999999</v>
      </c>
      <c r="J723" s="3">
        <v>20090814</v>
      </c>
      <c r="K723">
        <v>2009</v>
      </c>
      <c r="L723">
        <v>1.6283700000000001</v>
      </c>
      <c r="M723">
        <v>2.50291</v>
      </c>
      <c r="N723">
        <v>7.9479999999999995E-2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5.1999999999999995E-4</v>
      </c>
      <c r="V723">
        <v>4.2112800000000004</v>
      </c>
      <c r="W723" t="s">
        <v>10</v>
      </c>
      <c r="X723">
        <v>22.667999999999999</v>
      </c>
      <c r="Y723">
        <v>77.296999999999997</v>
      </c>
      <c r="Z723">
        <v>1.17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5.1999999999999998E-2</v>
      </c>
      <c r="AH723">
        <v>101.187</v>
      </c>
      <c r="AI723" t="s">
        <v>22</v>
      </c>
      <c r="AJ723">
        <v>450</v>
      </c>
      <c r="AK723">
        <v>380</v>
      </c>
      <c r="AL723">
        <v>300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1130</v>
      </c>
      <c r="AU723" t="s">
        <v>33</v>
      </c>
    </row>
    <row r="724" spans="1:47" x14ac:dyDescent="0.2">
      <c r="A724">
        <v>1066</v>
      </c>
      <c r="B724" t="s">
        <v>927</v>
      </c>
      <c r="C724" t="s">
        <v>394</v>
      </c>
      <c r="D724" t="s">
        <v>394</v>
      </c>
      <c r="G724" t="str">
        <f t="shared" si="11"/>
        <v>SHELL09K4K4</v>
      </c>
      <c r="H724">
        <v>70.712216670000004</v>
      </c>
      <c r="I724">
        <v>-165.24889999999999</v>
      </c>
      <c r="J724" s="3">
        <v>20090814</v>
      </c>
      <c r="K724">
        <v>2009</v>
      </c>
      <c r="L724">
        <v>1.9336800000000001</v>
      </c>
      <c r="M724">
        <v>0.48529</v>
      </c>
      <c r="N724">
        <v>0.11798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1.405E-2</v>
      </c>
      <c r="V724">
        <v>2.5510000000000002</v>
      </c>
      <c r="W724" t="s">
        <v>9</v>
      </c>
      <c r="X724">
        <v>27.588999999999999</v>
      </c>
      <c r="Y724">
        <v>23.809000000000001</v>
      </c>
      <c r="Z724">
        <v>1.7150000000000001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0.70399999999999996</v>
      </c>
      <c r="AH724">
        <v>53.817</v>
      </c>
      <c r="AI724" t="s">
        <v>21</v>
      </c>
      <c r="AJ724">
        <v>220</v>
      </c>
      <c r="AK724">
        <v>450</v>
      </c>
      <c r="AL724">
        <v>160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80</v>
      </c>
      <c r="AT724">
        <v>910</v>
      </c>
      <c r="AU724" t="s">
        <v>34</v>
      </c>
    </row>
    <row r="725" spans="1:47" x14ac:dyDescent="0.2">
      <c r="A725">
        <v>1067</v>
      </c>
      <c r="B725" t="s">
        <v>927</v>
      </c>
      <c r="C725" t="s">
        <v>511</v>
      </c>
      <c r="D725" t="s">
        <v>511</v>
      </c>
      <c r="G725" t="str">
        <f t="shared" si="11"/>
        <v>SHELL09K5K5</v>
      </c>
      <c r="H725">
        <v>70.711583329999996</v>
      </c>
      <c r="I725">
        <v>-165.2504667</v>
      </c>
      <c r="J725" s="3">
        <v>20090814</v>
      </c>
      <c r="K725">
        <v>2009</v>
      </c>
      <c r="L725">
        <v>1.7642199999999999</v>
      </c>
      <c r="M725">
        <v>0.76617000000000002</v>
      </c>
      <c r="N725">
        <v>8.3500000000000005E-2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9.0590000000000004E-2</v>
      </c>
      <c r="V725">
        <v>2.7044800000000002</v>
      </c>
      <c r="W725" t="s">
        <v>9</v>
      </c>
      <c r="X725">
        <v>25.155000000000001</v>
      </c>
      <c r="Y725">
        <v>34.182000000000002</v>
      </c>
      <c r="Z725">
        <v>1.1539999999999999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1.399</v>
      </c>
      <c r="AH725">
        <v>61.89</v>
      </c>
      <c r="AI725" t="s">
        <v>22</v>
      </c>
      <c r="AJ725">
        <v>240</v>
      </c>
      <c r="AK725">
        <v>1030</v>
      </c>
      <c r="AL725">
        <v>340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110</v>
      </c>
      <c r="AT725">
        <v>1720</v>
      </c>
      <c r="AU725" t="s">
        <v>34</v>
      </c>
    </row>
    <row r="726" spans="1:47" x14ac:dyDescent="0.2">
      <c r="A726">
        <v>1068</v>
      </c>
      <c r="B726" t="s">
        <v>927</v>
      </c>
      <c r="C726" t="s">
        <v>393</v>
      </c>
      <c r="D726" t="s">
        <v>393</v>
      </c>
      <c r="G726" t="str">
        <f t="shared" si="11"/>
        <v>SHELL09K6K6</v>
      </c>
      <c r="H726">
        <v>70.711333330000002</v>
      </c>
      <c r="I726">
        <v>-165.24718329999999</v>
      </c>
      <c r="J726" s="3">
        <v>20090814</v>
      </c>
      <c r="K726">
        <v>2009</v>
      </c>
      <c r="L726">
        <v>1.31124</v>
      </c>
      <c r="M726">
        <v>1.0676399999999999</v>
      </c>
      <c r="N726">
        <v>0.12548000000000001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4.8399999999999997E-3</v>
      </c>
      <c r="V726">
        <v>2.5091999999999999</v>
      </c>
      <c r="W726" t="s">
        <v>9</v>
      </c>
      <c r="X726">
        <v>19.369</v>
      </c>
      <c r="Y726">
        <v>49.655000000000001</v>
      </c>
      <c r="Z726">
        <v>1.643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7.8E-2</v>
      </c>
      <c r="AH726">
        <v>70.745000000000005</v>
      </c>
      <c r="AI726" t="s">
        <v>22</v>
      </c>
      <c r="AJ726">
        <v>250</v>
      </c>
      <c r="AK726">
        <v>730</v>
      </c>
      <c r="AL726">
        <v>230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100</v>
      </c>
      <c r="AT726">
        <v>1310</v>
      </c>
      <c r="AU726" t="s">
        <v>34</v>
      </c>
    </row>
    <row r="727" spans="1:47" x14ac:dyDescent="0.2">
      <c r="A727">
        <v>1069</v>
      </c>
      <c r="B727" t="s">
        <v>927</v>
      </c>
      <c r="C727" t="s">
        <v>512</v>
      </c>
      <c r="D727" t="s">
        <v>512</v>
      </c>
      <c r="G727" t="str">
        <f t="shared" si="11"/>
        <v>SHELL09K7K7</v>
      </c>
      <c r="H727">
        <v>70.710216669999994</v>
      </c>
      <c r="I727">
        <v>-165.2476667</v>
      </c>
      <c r="J727" s="3">
        <v>20090814</v>
      </c>
      <c r="K727">
        <v>2009</v>
      </c>
      <c r="L727">
        <v>0.67762</v>
      </c>
      <c r="M727">
        <v>0.54415000000000002</v>
      </c>
      <c r="N727">
        <v>0.14871999999999999</v>
      </c>
      <c r="O727">
        <v>0</v>
      </c>
      <c r="P727">
        <v>6.9999999999999994E-5</v>
      </c>
      <c r="Q727">
        <v>0</v>
      </c>
      <c r="R727">
        <v>0</v>
      </c>
      <c r="S727">
        <v>0</v>
      </c>
      <c r="T727">
        <v>0</v>
      </c>
      <c r="U727">
        <v>8.6099999999999996E-3</v>
      </c>
      <c r="V727">
        <v>1.37917</v>
      </c>
      <c r="W727" t="s">
        <v>9</v>
      </c>
      <c r="X727">
        <v>11.106999999999999</v>
      </c>
      <c r="Y727">
        <v>27.756</v>
      </c>
      <c r="Z727">
        <v>2.0990000000000002</v>
      </c>
      <c r="AA727">
        <v>0</v>
      </c>
      <c r="AB727">
        <v>5.0000000000000001E-3</v>
      </c>
      <c r="AC727">
        <v>0</v>
      </c>
      <c r="AD727">
        <v>0</v>
      </c>
      <c r="AE727">
        <v>0</v>
      </c>
      <c r="AF727">
        <v>0</v>
      </c>
      <c r="AG727">
        <v>0.435</v>
      </c>
      <c r="AH727">
        <v>41.402000000000001</v>
      </c>
      <c r="AI727" t="s">
        <v>22</v>
      </c>
      <c r="AJ727">
        <v>270</v>
      </c>
      <c r="AK727">
        <v>540</v>
      </c>
      <c r="AL727">
        <v>220</v>
      </c>
      <c r="AM727">
        <v>0</v>
      </c>
      <c r="AN727">
        <v>10</v>
      </c>
      <c r="AO727">
        <v>0</v>
      </c>
      <c r="AP727">
        <v>0</v>
      </c>
      <c r="AQ727">
        <v>0</v>
      </c>
      <c r="AR727">
        <v>0</v>
      </c>
      <c r="AS727">
        <v>70</v>
      </c>
      <c r="AT727">
        <v>1110</v>
      </c>
      <c r="AU727" t="s">
        <v>34</v>
      </c>
    </row>
    <row r="728" spans="1:47" x14ac:dyDescent="0.2">
      <c r="A728">
        <v>1070</v>
      </c>
      <c r="B728" t="s">
        <v>927</v>
      </c>
      <c r="C728" t="s">
        <v>513</v>
      </c>
      <c r="D728" t="s">
        <v>513</v>
      </c>
      <c r="G728" t="str">
        <f t="shared" si="11"/>
        <v>SHELL09K8K8</v>
      </c>
      <c r="H728">
        <v>70.710099999999997</v>
      </c>
      <c r="I728">
        <v>-165.25104999999999</v>
      </c>
      <c r="J728" s="3">
        <v>20090814</v>
      </c>
      <c r="K728">
        <v>2009</v>
      </c>
      <c r="L728">
        <v>2.12798</v>
      </c>
      <c r="M728">
        <v>0.95130000000000003</v>
      </c>
      <c r="N728">
        <v>0.15273999999999999</v>
      </c>
      <c r="O728">
        <v>0</v>
      </c>
      <c r="P728">
        <v>0</v>
      </c>
      <c r="Q728">
        <v>0</v>
      </c>
      <c r="R728">
        <v>0</v>
      </c>
      <c r="S728">
        <v>1.4400000000000001E-3</v>
      </c>
      <c r="T728">
        <v>0</v>
      </c>
      <c r="U728">
        <v>2.1170000000000001E-2</v>
      </c>
      <c r="V728">
        <v>3.2546300000000001</v>
      </c>
      <c r="W728" t="s">
        <v>9</v>
      </c>
      <c r="X728">
        <v>31.457999999999998</v>
      </c>
      <c r="Y728">
        <v>26.611000000000001</v>
      </c>
      <c r="Z728">
        <v>2.2360000000000002</v>
      </c>
      <c r="AA728">
        <v>0</v>
      </c>
      <c r="AB728">
        <v>0</v>
      </c>
      <c r="AC728">
        <v>0</v>
      </c>
      <c r="AD728">
        <v>0</v>
      </c>
      <c r="AE728">
        <v>3.5000000000000003E-2</v>
      </c>
      <c r="AF728">
        <v>0</v>
      </c>
      <c r="AG728">
        <v>0.60299999999999998</v>
      </c>
      <c r="AH728">
        <v>60.942999999999998</v>
      </c>
      <c r="AI728" t="s">
        <v>21</v>
      </c>
      <c r="AJ728">
        <v>300</v>
      </c>
      <c r="AK728">
        <v>740</v>
      </c>
      <c r="AL728">
        <v>150</v>
      </c>
      <c r="AM728">
        <v>0</v>
      </c>
      <c r="AN728">
        <v>0</v>
      </c>
      <c r="AO728">
        <v>0</v>
      </c>
      <c r="AP728">
        <v>0</v>
      </c>
      <c r="AQ728">
        <v>10</v>
      </c>
      <c r="AR728">
        <v>0</v>
      </c>
      <c r="AS728">
        <v>190</v>
      </c>
      <c r="AT728">
        <v>1390</v>
      </c>
      <c r="AU728" t="s">
        <v>34</v>
      </c>
    </row>
    <row r="729" spans="1:47" x14ac:dyDescent="0.2">
      <c r="A729">
        <v>1071</v>
      </c>
      <c r="B729" t="s">
        <v>927</v>
      </c>
      <c r="C729" t="s">
        <v>396</v>
      </c>
      <c r="D729" t="s">
        <v>396</v>
      </c>
      <c r="G729" t="str">
        <f t="shared" si="11"/>
        <v>SHELL09K9K9</v>
      </c>
      <c r="H729">
        <v>70.711166669999997</v>
      </c>
      <c r="I729">
        <v>-165.24898329999999</v>
      </c>
      <c r="J729" s="3">
        <v>20090814</v>
      </c>
      <c r="K729">
        <v>2009</v>
      </c>
      <c r="L729">
        <v>5.6702199999999996</v>
      </c>
      <c r="M729">
        <v>0.59518000000000004</v>
      </c>
      <c r="N729">
        <v>6.1080000000000002E-2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2.7813300000000001</v>
      </c>
      <c r="V729">
        <v>9.1078100000000006</v>
      </c>
      <c r="W729" t="s">
        <v>9</v>
      </c>
      <c r="X729">
        <v>70.805000000000007</v>
      </c>
      <c r="Y729">
        <v>30.128</v>
      </c>
      <c r="Z729">
        <v>0.88500000000000001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29.96</v>
      </c>
      <c r="AH729">
        <v>131.77799999999999</v>
      </c>
      <c r="AI729" t="s">
        <v>21</v>
      </c>
      <c r="AJ729">
        <v>260</v>
      </c>
      <c r="AK729">
        <v>410</v>
      </c>
      <c r="AL729">
        <v>290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90</v>
      </c>
      <c r="AT729">
        <v>1050</v>
      </c>
      <c r="AU729" t="s">
        <v>34</v>
      </c>
    </row>
    <row r="730" spans="1:47" x14ac:dyDescent="0.2">
      <c r="A730">
        <v>1072</v>
      </c>
      <c r="B730" t="s">
        <v>927</v>
      </c>
      <c r="C730" t="s">
        <v>514</v>
      </c>
      <c r="D730" t="s">
        <v>514</v>
      </c>
      <c r="G730" t="str">
        <f t="shared" si="11"/>
        <v>SHELL09KLDKLD</v>
      </c>
      <c r="H730">
        <v>70.711133329999996</v>
      </c>
      <c r="I730">
        <v>-165.24875</v>
      </c>
      <c r="J730" s="3">
        <v>20090814</v>
      </c>
      <c r="K730">
        <v>2009</v>
      </c>
      <c r="L730">
        <v>2.9784700000000002</v>
      </c>
      <c r="M730">
        <v>0.90534999999999999</v>
      </c>
      <c r="N730">
        <v>8.4459999999999993E-2</v>
      </c>
      <c r="O730">
        <v>0.78539000000000003</v>
      </c>
      <c r="P730">
        <v>3.0000000000000001E-5</v>
      </c>
      <c r="Q730">
        <v>0</v>
      </c>
      <c r="R730">
        <v>2.81E-3</v>
      </c>
      <c r="S730">
        <v>1.2E-4</v>
      </c>
      <c r="T730">
        <v>0</v>
      </c>
      <c r="U730">
        <v>0.23627000000000001</v>
      </c>
      <c r="V730">
        <v>4.9928999999999997</v>
      </c>
      <c r="W730" t="s">
        <v>9</v>
      </c>
      <c r="X730">
        <v>42.332999999999998</v>
      </c>
      <c r="Y730">
        <v>35.863999999999997</v>
      </c>
      <c r="Z730">
        <v>1.1859999999999999</v>
      </c>
      <c r="AA730">
        <v>17.452999999999999</v>
      </c>
      <c r="AB730">
        <v>2E-3</v>
      </c>
      <c r="AC730">
        <v>0</v>
      </c>
      <c r="AD730">
        <v>4.5999999999999999E-2</v>
      </c>
      <c r="AE730">
        <v>3.0000000000000001E-3</v>
      </c>
      <c r="AF730">
        <v>0</v>
      </c>
      <c r="AG730">
        <v>2.87</v>
      </c>
      <c r="AH730">
        <v>99.757000000000005</v>
      </c>
      <c r="AI730" t="s">
        <v>21</v>
      </c>
      <c r="AJ730">
        <v>248.459</v>
      </c>
      <c r="AK730">
        <v>532.30600000000004</v>
      </c>
      <c r="AL730">
        <v>182.30600000000001</v>
      </c>
      <c r="AM730">
        <v>0.76900000000000002</v>
      </c>
      <c r="AN730">
        <v>12.308</v>
      </c>
      <c r="AO730">
        <v>0</v>
      </c>
      <c r="AP730">
        <v>0.76900000000000002</v>
      </c>
      <c r="AQ730">
        <v>0.76900000000000002</v>
      </c>
      <c r="AR730">
        <v>0</v>
      </c>
      <c r="AS730">
        <v>261.53699999999998</v>
      </c>
      <c r="AT730">
        <v>1239.223</v>
      </c>
      <c r="AU730" t="s">
        <v>34</v>
      </c>
    </row>
    <row r="731" spans="1:47" x14ac:dyDescent="0.2">
      <c r="A731">
        <v>1073</v>
      </c>
      <c r="B731" t="s">
        <v>927</v>
      </c>
      <c r="C731" t="s">
        <v>515</v>
      </c>
      <c r="D731" t="s">
        <v>516</v>
      </c>
      <c r="G731" t="str">
        <f t="shared" si="11"/>
        <v>SHELL09KSK_site</v>
      </c>
      <c r="H731">
        <v>70.711133329999996</v>
      </c>
      <c r="I731">
        <v>-165.24875</v>
      </c>
      <c r="J731" s="3">
        <v>20090814</v>
      </c>
      <c r="K731">
        <v>2009</v>
      </c>
      <c r="L731">
        <v>5.4286199999999996</v>
      </c>
      <c r="M731">
        <v>0.53396999999999994</v>
      </c>
      <c r="N731">
        <v>1.295E-2</v>
      </c>
      <c r="O731">
        <v>0</v>
      </c>
      <c r="P731">
        <v>1.2999999999999999E-4</v>
      </c>
      <c r="Q731">
        <v>0</v>
      </c>
      <c r="R731">
        <v>3.6540000000000003E-2</v>
      </c>
      <c r="S731">
        <v>0</v>
      </c>
      <c r="T731">
        <v>0</v>
      </c>
      <c r="U731">
        <v>7.6340000000000005E-2</v>
      </c>
      <c r="V731">
        <v>6.0885499999999997</v>
      </c>
      <c r="W731" t="s">
        <v>9</v>
      </c>
      <c r="X731">
        <v>77.528999999999996</v>
      </c>
      <c r="Y731">
        <v>21.337</v>
      </c>
      <c r="Z731">
        <v>0.17499999999999999</v>
      </c>
      <c r="AA731">
        <v>0</v>
      </c>
      <c r="AB731">
        <v>8.9999999999999993E-3</v>
      </c>
      <c r="AC731">
        <v>0</v>
      </c>
      <c r="AD731">
        <v>0.59899999999999998</v>
      </c>
      <c r="AE731">
        <v>0</v>
      </c>
      <c r="AF731">
        <v>0</v>
      </c>
      <c r="AG731">
        <v>2.0350000000000001</v>
      </c>
      <c r="AH731">
        <v>101.684</v>
      </c>
      <c r="AI731" t="s">
        <v>21</v>
      </c>
      <c r="AJ731">
        <v>200</v>
      </c>
      <c r="AK731">
        <v>660</v>
      </c>
      <c r="AL731">
        <v>50</v>
      </c>
      <c r="AM731">
        <v>0</v>
      </c>
      <c r="AN731">
        <v>10</v>
      </c>
      <c r="AO731">
        <v>0</v>
      </c>
      <c r="AP731">
        <v>10</v>
      </c>
      <c r="AQ731">
        <v>0</v>
      </c>
      <c r="AR731">
        <v>0</v>
      </c>
      <c r="AS731">
        <v>130</v>
      </c>
      <c r="AT731">
        <v>1060</v>
      </c>
      <c r="AU731" t="s">
        <v>34</v>
      </c>
    </row>
    <row r="732" spans="1:47" x14ac:dyDescent="0.2">
      <c r="A732">
        <v>1612</v>
      </c>
      <c r="B732" t="s">
        <v>576</v>
      </c>
      <c r="C732">
        <v>1</v>
      </c>
      <c r="D732" t="s">
        <v>51</v>
      </c>
      <c r="G732" t="str">
        <f t="shared" si="11"/>
        <v>WWW09031BF001</v>
      </c>
      <c r="H732">
        <v>71.119</v>
      </c>
      <c r="I732">
        <v>-163.80000000000001</v>
      </c>
      <c r="J732" s="3">
        <v>20090913</v>
      </c>
      <c r="K732">
        <v>2009</v>
      </c>
      <c r="L732">
        <v>5.6721399999999997</v>
      </c>
      <c r="M732">
        <v>1.76864</v>
      </c>
      <c r="N732">
        <v>0.31461</v>
      </c>
      <c r="O732">
        <v>1.891E-2</v>
      </c>
      <c r="P732">
        <v>0.56223999999999996</v>
      </c>
      <c r="Q732">
        <v>0</v>
      </c>
      <c r="R732">
        <v>3.48E-3</v>
      </c>
      <c r="S732">
        <v>5.5999999999999995E-4</v>
      </c>
      <c r="T732">
        <v>1.023E-2</v>
      </c>
      <c r="U732">
        <v>5.5669999999999997E-2</v>
      </c>
      <c r="V732">
        <v>8.4064800000000002</v>
      </c>
      <c r="W732" t="s">
        <v>9</v>
      </c>
      <c r="X732">
        <v>81.638000000000005</v>
      </c>
      <c r="Y732">
        <v>93.828000000000003</v>
      </c>
      <c r="Z732">
        <v>4.3150000000000004</v>
      </c>
      <c r="AA732">
        <v>0.42</v>
      </c>
      <c r="AB732">
        <v>40.159999999999997</v>
      </c>
      <c r="AC732">
        <v>0</v>
      </c>
      <c r="AD732">
        <v>5.7000000000000002E-2</v>
      </c>
      <c r="AE732">
        <v>0.04</v>
      </c>
      <c r="AF732">
        <v>0.11</v>
      </c>
      <c r="AG732">
        <v>1.343</v>
      </c>
      <c r="AH732">
        <v>221.911</v>
      </c>
      <c r="AI732" t="s">
        <v>22</v>
      </c>
      <c r="AJ732">
        <v>1056.6679999999999</v>
      </c>
      <c r="AK732">
        <v>236.66399999999999</v>
      </c>
      <c r="AL732">
        <v>1456.665</v>
      </c>
      <c r="AM732">
        <v>26.666</v>
      </c>
      <c r="AN732">
        <v>119.999</v>
      </c>
      <c r="AO732">
        <v>0</v>
      </c>
      <c r="AP732">
        <v>10</v>
      </c>
      <c r="AQ732">
        <v>3.3330000000000002</v>
      </c>
      <c r="AR732">
        <v>6.6669999999999998</v>
      </c>
      <c r="AS732">
        <v>89.998999999999995</v>
      </c>
      <c r="AT732">
        <v>3006.6610000000001</v>
      </c>
      <c r="AU732" t="s">
        <v>35</v>
      </c>
    </row>
    <row r="733" spans="1:47" x14ac:dyDescent="0.2">
      <c r="A733">
        <v>1613</v>
      </c>
      <c r="B733" t="s">
        <v>576</v>
      </c>
      <c r="C733">
        <v>10</v>
      </c>
      <c r="D733" t="s">
        <v>60</v>
      </c>
      <c r="G733" t="str">
        <f t="shared" si="11"/>
        <v>WWW090310BF019</v>
      </c>
      <c r="H733">
        <v>71.481999999999999</v>
      </c>
      <c r="I733">
        <v>-162.60300000000001</v>
      </c>
      <c r="J733" s="3">
        <v>20090917</v>
      </c>
      <c r="K733">
        <v>2009</v>
      </c>
      <c r="L733">
        <v>6.6772200000000002</v>
      </c>
      <c r="M733">
        <v>7.0753399999999997</v>
      </c>
      <c r="N733">
        <v>0.35638999999999998</v>
      </c>
      <c r="O733">
        <v>6.8860000000000005E-2</v>
      </c>
      <c r="P733">
        <v>8.2360000000000003E-2</v>
      </c>
      <c r="Q733">
        <v>0</v>
      </c>
      <c r="R733">
        <v>0.14474999999999999</v>
      </c>
      <c r="S733">
        <v>0</v>
      </c>
      <c r="T733">
        <v>0.33572999999999997</v>
      </c>
      <c r="U733">
        <v>0.34867999999999999</v>
      </c>
      <c r="V733">
        <v>15.08933</v>
      </c>
      <c r="W733" t="s">
        <v>10</v>
      </c>
      <c r="X733">
        <v>93.271000000000001</v>
      </c>
      <c r="Y733">
        <v>200.78700000000001</v>
      </c>
      <c r="Z733">
        <v>5.1050000000000004</v>
      </c>
      <c r="AA733">
        <v>1.53</v>
      </c>
      <c r="AB733">
        <v>5.883</v>
      </c>
      <c r="AC733">
        <v>0</v>
      </c>
      <c r="AD733">
        <v>2.3730000000000002</v>
      </c>
      <c r="AE733">
        <v>0</v>
      </c>
      <c r="AF733">
        <v>3.61</v>
      </c>
      <c r="AG733">
        <v>14.364000000000001</v>
      </c>
      <c r="AH733">
        <v>326.923</v>
      </c>
      <c r="AI733" t="s">
        <v>22</v>
      </c>
      <c r="AJ733">
        <v>4396.6670000000004</v>
      </c>
      <c r="AK733">
        <v>446.66500000000002</v>
      </c>
      <c r="AL733">
        <v>456.66800000000001</v>
      </c>
      <c r="AM733">
        <v>36.667000000000002</v>
      </c>
      <c r="AN733">
        <v>9.9990000000000006</v>
      </c>
      <c r="AO733">
        <v>0</v>
      </c>
      <c r="AP733">
        <v>10</v>
      </c>
      <c r="AQ733">
        <v>0</v>
      </c>
      <c r="AR733">
        <v>20</v>
      </c>
      <c r="AS733">
        <v>63.332000000000001</v>
      </c>
      <c r="AT733">
        <v>5439.9979999999996</v>
      </c>
      <c r="AU733" t="s">
        <v>33</v>
      </c>
    </row>
    <row r="734" spans="1:47" x14ac:dyDescent="0.2">
      <c r="A734">
        <v>1614</v>
      </c>
      <c r="B734" t="s">
        <v>576</v>
      </c>
      <c r="C734">
        <v>11</v>
      </c>
      <c r="D734" s="4" t="s">
        <v>780</v>
      </c>
      <c r="E734" s="4" t="s">
        <v>780</v>
      </c>
      <c r="F734" s="4" t="s">
        <v>61</v>
      </c>
      <c r="G734" t="str">
        <f t="shared" si="11"/>
        <v>WWW090311DBO4.6</v>
      </c>
      <c r="H734">
        <v>71.617000000000004</v>
      </c>
      <c r="I734">
        <v>-163.773</v>
      </c>
      <c r="J734" s="3">
        <v>20090913</v>
      </c>
      <c r="K734">
        <v>2009</v>
      </c>
      <c r="L734">
        <v>4.9178699999999997</v>
      </c>
      <c r="M734">
        <v>1.77034</v>
      </c>
      <c r="N734">
        <v>0.31261</v>
      </c>
      <c r="O734">
        <v>2.0119999999999999E-2</v>
      </c>
      <c r="P734">
        <v>0.36249999999999999</v>
      </c>
      <c r="Q734">
        <v>0</v>
      </c>
      <c r="R734">
        <v>0</v>
      </c>
      <c r="S734">
        <v>0</v>
      </c>
      <c r="T734">
        <v>0.63919000000000004</v>
      </c>
      <c r="U734">
        <v>3.6040000000000003E-2</v>
      </c>
      <c r="V734">
        <v>8.0586699999999993</v>
      </c>
      <c r="W734" t="s">
        <v>9</v>
      </c>
      <c r="X734">
        <v>70.277000000000001</v>
      </c>
      <c r="Y734">
        <v>46.273000000000003</v>
      </c>
      <c r="Z734">
        <v>4.4960000000000004</v>
      </c>
      <c r="AA734">
        <v>0.44700000000000001</v>
      </c>
      <c r="AB734">
        <v>25.893000000000001</v>
      </c>
      <c r="AC734">
        <v>0</v>
      </c>
      <c r="AD734">
        <v>0</v>
      </c>
      <c r="AE734">
        <v>0</v>
      </c>
      <c r="AF734">
        <v>6.8730000000000002</v>
      </c>
      <c r="AG734">
        <v>0.80200000000000005</v>
      </c>
      <c r="AH734">
        <v>155.06100000000001</v>
      </c>
      <c r="AI734" t="s">
        <v>21</v>
      </c>
      <c r="AJ734">
        <v>1456.665</v>
      </c>
      <c r="AK734">
        <v>240</v>
      </c>
      <c r="AL734">
        <v>306.66699999999997</v>
      </c>
      <c r="AM734">
        <v>23.334</v>
      </c>
      <c r="AN734">
        <v>33.332999999999998</v>
      </c>
      <c r="AO734">
        <v>0</v>
      </c>
      <c r="AP734">
        <v>0</v>
      </c>
      <c r="AQ734">
        <v>0</v>
      </c>
      <c r="AR734">
        <v>6.6669999999999998</v>
      </c>
      <c r="AS734">
        <v>29.998999999999999</v>
      </c>
      <c r="AT734">
        <v>2096.665</v>
      </c>
      <c r="AU734" t="s">
        <v>33</v>
      </c>
    </row>
    <row r="735" spans="1:47" x14ac:dyDescent="0.2">
      <c r="A735">
        <v>1615</v>
      </c>
      <c r="B735" t="s">
        <v>576</v>
      </c>
      <c r="C735">
        <v>12</v>
      </c>
      <c r="D735" t="s">
        <v>62</v>
      </c>
      <c r="G735" t="str">
        <f t="shared" si="11"/>
        <v>WWW090312BF023</v>
      </c>
      <c r="H735">
        <v>71.611999999999995</v>
      </c>
      <c r="I735">
        <v>-162.97800000000001</v>
      </c>
      <c r="J735" s="3">
        <v>20090915</v>
      </c>
      <c r="K735">
        <v>2009</v>
      </c>
      <c r="L735">
        <v>2.75935</v>
      </c>
      <c r="M735">
        <v>6.8955500000000001</v>
      </c>
      <c r="N735">
        <v>6.7210000000000006E-2</v>
      </c>
      <c r="O735">
        <v>5.8139999999999997E-2</v>
      </c>
      <c r="P735">
        <v>0.1895</v>
      </c>
      <c r="Q735">
        <v>0</v>
      </c>
      <c r="R735">
        <v>3.2329999999999998E-2</v>
      </c>
      <c r="S735">
        <v>1.102E-2</v>
      </c>
      <c r="T735">
        <v>4.5289999999999997E-2</v>
      </c>
      <c r="U735">
        <v>2.3382999999999998</v>
      </c>
      <c r="V735">
        <v>12.39669</v>
      </c>
      <c r="W735" t="s">
        <v>10</v>
      </c>
      <c r="X735">
        <v>37.406999999999996</v>
      </c>
      <c r="Y735">
        <v>237.99600000000001</v>
      </c>
      <c r="Z735">
        <v>0.96299999999999997</v>
      </c>
      <c r="AA735">
        <v>1.292</v>
      </c>
      <c r="AB735">
        <v>13.536</v>
      </c>
      <c r="AC735">
        <v>0</v>
      </c>
      <c r="AD735">
        <v>0.53</v>
      </c>
      <c r="AE735">
        <v>0.78700000000000003</v>
      </c>
      <c r="AF735">
        <v>0.48699999999999999</v>
      </c>
      <c r="AG735">
        <v>52.268000000000001</v>
      </c>
      <c r="AH735">
        <v>345.26600000000002</v>
      </c>
      <c r="AI735" t="s">
        <v>22</v>
      </c>
      <c r="AJ735">
        <v>2696.665</v>
      </c>
      <c r="AK735">
        <v>553.33399999999995</v>
      </c>
      <c r="AL735">
        <v>166.66499999999999</v>
      </c>
      <c r="AM735">
        <v>6.6660000000000004</v>
      </c>
      <c r="AN735">
        <v>3.3330000000000002</v>
      </c>
      <c r="AO735">
        <v>0</v>
      </c>
      <c r="AP735">
        <v>6.6669999999999998</v>
      </c>
      <c r="AQ735">
        <v>3.3330000000000002</v>
      </c>
      <c r="AR735">
        <v>3.3330000000000002</v>
      </c>
      <c r="AS735">
        <v>76.665000000000006</v>
      </c>
      <c r="AT735">
        <v>3516.6610000000001</v>
      </c>
      <c r="AU735" t="s">
        <v>33</v>
      </c>
    </row>
    <row r="736" spans="1:47" x14ac:dyDescent="0.2">
      <c r="A736">
        <v>1616</v>
      </c>
      <c r="B736" t="s">
        <v>576</v>
      </c>
      <c r="C736">
        <v>13</v>
      </c>
      <c r="D736" t="s">
        <v>63</v>
      </c>
      <c r="G736" t="str">
        <f t="shared" si="11"/>
        <v>WWW090313BF025</v>
      </c>
      <c r="H736">
        <v>71.600999999999999</v>
      </c>
      <c r="I736">
        <v>-162.19</v>
      </c>
      <c r="J736" s="3">
        <v>20090916</v>
      </c>
      <c r="K736">
        <v>2009</v>
      </c>
      <c r="L736">
        <v>4.6062799999999999</v>
      </c>
      <c r="M736">
        <v>10.4398</v>
      </c>
      <c r="N736">
        <v>0.42830000000000001</v>
      </c>
      <c r="O736">
        <v>1.247E-2</v>
      </c>
      <c r="P736">
        <v>0</v>
      </c>
      <c r="Q736">
        <v>0</v>
      </c>
      <c r="R736">
        <v>0</v>
      </c>
      <c r="S736">
        <v>0.15148</v>
      </c>
      <c r="T736">
        <v>0.12182999999999999</v>
      </c>
      <c r="U736">
        <v>2.2630000000000001E-2</v>
      </c>
      <c r="V736">
        <v>15.78279</v>
      </c>
      <c r="W736" t="s">
        <v>10</v>
      </c>
      <c r="X736">
        <v>64.524000000000001</v>
      </c>
      <c r="Y736">
        <v>295.92500000000001</v>
      </c>
      <c r="Z736">
        <v>6.2759999999999998</v>
      </c>
      <c r="AA736">
        <v>0.27700000000000002</v>
      </c>
      <c r="AB736">
        <v>0</v>
      </c>
      <c r="AC736">
        <v>0</v>
      </c>
      <c r="AD736">
        <v>0</v>
      </c>
      <c r="AE736">
        <v>10.82</v>
      </c>
      <c r="AF736">
        <v>1.31</v>
      </c>
      <c r="AG736">
        <v>0.51300000000000001</v>
      </c>
      <c r="AH736">
        <v>379.64499999999998</v>
      </c>
      <c r="AI736" t="s">
        <v>22</v>
      </c>
      <c r="AJ736">
        <v>1183.3320000000001</v>
      </c>
      <c r="AK736">
        <v>456.66699999999997</v>
      </c>
      <c r="AL736">
        <v>136.666</v>
      </c>
      <c r="AM736">
        <v>10</v>
      </c>
      <c r="AN736">
        <v>0</v>
      </c>
      <c r="AO736">
        <v>0</v>
      </c>
      <c r="AP736">
        <v>0</v>
      </c>
      <c r="AQ736">
        <v>16.667000000000002</v>
      </c>
      <c r="AR736">
        <v>16.667000000000002</v>
      </c>
      <c r="AS736">
        <v>13.334</v>
      </c>
      <c r="AT736">
        <v>1833.3330000000001</v>
      </c>
      <c r="AU736" t="s">
        <v>33</v>
      </c>
    </row>
    <row r="737" spans="1:47" x14ac:dyDescent="0.2">
      <c r="A737">
        <v>1617</v>
      </c>
      <c r="B737" t="s">
        <v>576</v>
      </c>
      <c r="C737">
        <v>14</v>
      </c>
      <c r="D737" t="s">
        <v>65</v>
      </c>
      <c r="G737" t="str">
        <f t="shared" si="11"/>
        <v>WWW090314BR005</v>
      </c>
      <c r="H737">
        <v>71.587000000000003</v>
      </c>
      <c r="I737">
        <v>-163.06299999999999</v>
      </c>
      <c r="J737" s="3">
        <v>20090915</v>
      </c>
      <c r="K737">
        <v>2009</v>
      </c>
      <c r="L737">
        <v>2.8541400000000001</v>
      </c>
      <c r="M737">
        <v>10.60303</v>
      </c>
      <c r="N737">
        <v>1.5242800000000001</v>
      </c>
      <c r="O737">
        <v>1.5696000000000001</v>
      </c>
      <c r="P737">
        <v>0.315</v>
      </c>
      <c r="Q737">
        <v>0</v>
      </c>
      <c r="R737">
        <v>0</v>
      </c>
      <c r="S737">
        <v>0.13976</v>
      </c>
      <c r="T737">
        <v>4.836E-2</v>
      </c>
      <c r="U737">
        <v>7.0629999999999998E-2</v>
      </c>
      <c r="V737">
        <v>17.1248</v>
      </c>
      <c r="W737" t="s">
        <v>10</v>
      </c>
      <c r="X737">
        <v>40.161000000000001</v>
      </c>
      <c r="Y737">
        <v>508.738</v>
      </c>
      <c r="Z737">
        <v>21.867000000000001</v>
      </c>
      <c r="AA737">
        <v>34.880000000000003</v>
      </c>
      <c r="AB737">
        <v>22.5</v>
      </c>
      <c r="AC737">
        <v>0</v>
      </c>
      <c r="AD737">
        <v>0</v>
      </c>
      <c r="AE737">
        <v>9.9830000000000005</v>
      </c>
      <c r="AF737">
        <v>0.52</v>
      </c>
      <c r="AG737">
        <v>2.0670000000000002</v>
      </c>
      <c r="AH737">
        <v>640.71600000000001</v>
      </c>
      <c r="AI737" t="s">
        <v>22</v>
      </c>
      <c r="AJ737">
        <v>2146.665</v>
      </c>
      <c r="AK737">
        <v>430.00200000000001</v>
      </c>
      <c r="AL737">
        <v>753.33399999999995</v>
      </c>
      <c r="AM737">
        <v>93.334000000000003</v>
      </c>
      <c r="AN737">
        <v>13.333</v>
      </c>
      <c r="AO737">
        <v>0</v>
      </c>
      <c r="AP737">
        <v>0</v>
      </c>
      <c r="AQ737">
        <v>6.6660000000000004</v>
      </c>
      <c r="AR737">
        <v>13.333</v>
      </c>
      <c r="AS737">
        <v>90</v>
      </c>
      <c r="AT737">
        <v>3546.6669999999999</v>
      </c>
      <c r="AU737" t="s">
        <v>33</v>
      </c>
    </row>
    <row r="738" spans="1:47" x14ac:dyDescent="0.2">
      <c r="A738">
        <v>1618</v>
      </c>
      <c r="B738" t="s">
        <v>576</v>
      </c>
      <c r="C738">
        <v>15</v>
      </c>
      <c r="D738" t="s">
        <v>66</v>
      </c>
      <c r="G738" t="str">
        <f t="shared" si="11"/>
        <v>WWW090315BR016</v>
      </c>
      <c r="H738">
        <v>71.536000000000001</v>
      </c>
      <c r="I738">
        <v>-162.91399999999999</v>
      </c>
      <c r="J738" s="3">
        <v>20090915</v>
      </c>
      <c r="K738">
        <v>2009</v>
      </c>
      <c r="L738">
        <v>2.97261</v>
      </c>
      <c r="M738">
        <v>6.6533199999999999</v>
      </c>
      <c r="N738">
        <v>0.42788999999999999</v>
      </c>
      <c r="O738">
        <v>0.22320000000000001</v>
      </c>
      <c r="P738">
        <v>0</v>
      </c>
      <c r="Q738">
        <v>0</v>
      </c>
      <c r="R738">
        <v>0.10718</v>
      </c>
      <c r="S738">
        <v>0.18298</v>
      </c>
      <c r="T738">
        <v>9.5140000000000002E-2</v>
      </c>
      <c r="U738">
        <v>0.19674</v>
      </c>
      <c r="V738">
        <v>10.859059999999999</v>
      </c>
      <c r="W738" t="s">
        <v>10</v>
      </c>
      <c r="X738">
        <v>40.642000000000003</v>
      </c>
      <c r="Y738">
        <v>199.87700000000001</v>
      </c>
      <c r="Z738">
        <v>6.04</v>
      </c>
      <c r="AA738">
        <v>4.96</v>
      </c>
      <c r="AB738">
        <v>0</v>
      </c>
      <c r="AC738">
        <v>0</v>
      </c>
      <c r="AD738">
        <v>1.7569999999999999</v>
      </c>
      <c r="AE738">
        <v>13.07</v>
      </c>
      <c r="AF738">
        <v>1.0229999999999999</v>
      </c>
      <c r="AG738">
        <v>5.28</v>
      </c>
      <c r="AH738">
        <v>272.649</v>
      </c>
      <c r="AI738" t="s">
        <v>22</v>
      </c>
      <c r="AJ738">
        <v>1589.999</v>
      </c>
      <c r="AK738">
        <v>599.99900000000002</v>
      </c>
      <c r="AL738">
        <v>433.33300000000003</v>
      </c>
      <c r="AM738">
        <v>33.332999999999998</v>
      </c>
      <c r="AN738">
        <v>0</v>
      </c>
      <c r="AO738">
        <v>0</v>
      </c>
      <c r="AP738">
        <v>3.3330000000000002</v>
      </c>
      <c r="AQ738">
        <v>6.6669999999999998</v>
      </c>
      <c r="AR738">
        <v>16.667000000000002</v>
      </c>
      <c r="AS738">
        <v>43.334000000000003</v>
      </c>
      <c r="AT738">
        <v>2726.665</v>
      </c>
      <c r="AU738" t="s">
        <v>33</v>
      </c>
    </row>
    <row r="739" spans="1:47" x14ac:dyDescent="0.2">
      <c r="A739">
        <v>1619</v>
      </c>
      <c r="B739" t="s">
        <v>576</v>
      </c>
      <c r="C739">
        <v>16</v>
      </c>
      <c r="D739" t="s">
        <v>67</v>
      </c>
      <c r="G739" t="str">
        <f t="shared" si="11"/>
        <v>WWW090316BR020</v>
      </c>
      <c r="H739">
        <v>71.528000000000006</v>
      </c>
      <c r="I739">
        <v>-162.28100000000001</v>
      </c>
      <c r="J739" s="3">
        <v>20090916</v>
      </c>
      <c r="K739">
        <v>2009</v>
      </c>
      <c r="L739">
        <v>2.1160299999999999</v>
      </c>
      <c r="M739">
        <v>8.1979699999999998</v>
      </c>
      <c r="N739">
        <v>1.06915</v>
      </c>
      <c r="O739">
        <v>0.15859000000000001</v>
      </c>
      <c r="P739">
        <v>0.28686</v>
      </c>
      <c r="Q739">
        <v>0</v>
      </c>
      <c r="R739">
        <v>0</v>
      </c>
      <c r="S739">
        <v>0</v>
      </c>
      <c r="T739">
        <v>0.47737000000000002</v>
      </c>
      <c r="U739">
        <v>5.5820000000000002E-2</v>
      </c>
      <c r="V739">
        <v>12.361789999999999</v>
      </c>
      <c r="W739" t="s">
        <v>10</v>
      </c>
      <c r="X739">
        <v>29.085999999999999</v>
      </c>
      <c r="Y739">
        <v>227.995</v>
      </c>
      <c r="Z739">
        <v>15.385</v>
      </c>
      <c r="AA739">
        <v>3.524</v>
      </c>
      <c r="AB739">
        <v>20.49</v>
      </c>
      <c r="AC739">
        <v>0</v>
      </c>
      <c r="AD739">
        <v>0</v>
      </c>
      <c r="AE739">
        <v>0</v>
      </c>
      <c r="AF739">
        <v>5.133</v>
      </c>
      <c r="AG739">
        <v>1.298</v>
      </c>
      <c r="AH739">
        <v>302.911</v>
      </c>
      <c r="AI739" t="s">
        <v>22</v>
      </c>
      <c r="AJ739">
        <v>980.00300000000004</v>
      </c>
      <c r="AK739">
        <v>336.666</v>
      </c>
      <c r="AL739">
        <v>519.99900000000002</v>
      </c>
      <c r="AM739">
        <v>20</v>
      </c>
      <c r="AN739">
        <v>6.6669999999999998</v>
      </c>
      <c r="AO739">
        <v>0</v>
      </c>
      <c r="AP739">
        <v>0</v>
      </c>
      <c r="AQ739">
        <v>0</v>
      </c>
      <c r="AR739">
        <v>16.667000000000002</v>
      </c>
      <c r="AS739">
        <v>40</v>
      </c>
      <c r="AT739">
        <v>1920.002</v>
      </c>
      <c r="AU739" t="s">
        <v>33</v>
      </c>
    </row>
    <row r="740" spans="1:47" x14ac:dyDescent="0.2">
      <c r="A740">
        <v>1620</v>
      </c>
      <c r="B740" t="s">
        <v>576</v>
      </c>
      <c r="C740">
        <v>17</v>
      </c>
      <c r="D740" t="s">
        <v>68</v>
      </c>
      <c r="G740" t="str">
        <f t="shared" si="11"/>
        <v>WWW090317BR032</v>
      </c>
      <c r="H740">
        <v>71.441999999999993</v>
      </c>
      <c r="I740">
        <v>-163.54900000000001</v>
      </c>
      <c r="J740" s="3">
        <v>20090914</v>
      </c>
      <c r="K740">
        <v>2009</v>
      </c>
      <c r="L740">
        <v>6.4232100000000001</v>
      </c>
      <c r="M740">
        <v>5.3778899999999998</v>
      </c>
      <c r="N740">
        <v>0.23885000000000001</v>
      </c>
      <c r="O740">
        <v>2.6937000000000002</v>
      </c>
      <c r="P740">
        <v>0.23250000000000001</v>
      </c>
      <c r="Q740">
        <v>0</v>
      </c>
      <c r="R740">
        <v>1.0214799999999999</v>
      </c>
      <c r="S740">
        <v>0</v>
      </c>
      <c r="T740">
        <v>0.25174999999999997</v>
      </c>
      <c r="U740">
        <v>8.2400000000000001E-2</v>
      </c>
      <c r="V740">
        <v>16.32178</v>
      </c>
      <c r="W740" t="s">
        <v>9</v>
      </c>
      <c r="X740">
        <v>91.14</v>
      </c>
      <c r="Y740">
        <v>225.178</v>
      </c>
      <c r="Z740">
        <v>2.9209999999999998</v>
      </c>
      <c r="AA740">
        <v>59.86</v>
      </c>
      <c r="AB740">
        <v>16.606999999999999</v>
      </c>
      <c r="AC740">
        <v>0</v>
      </c>
      <c r="AD740">
        <v>25.536999999999999</v>
      </c>
      <c r="AE740">
        <v>0</v>
      </c>
      <c r="AF740">
        <v>2.7069999999999999</v>
      </c>
      <c r="AG740">
        <v>2.0030000000000001</v>
      </c>
      <c r="AH740">
        <v>425.95299999999997</v>
      </c>
      <c r="AI740" t="s">
        <v>22</v>
      </c>
      <c r="AJ740">
        <v>1843.3320000000001</v>
      </c>
      <c r="AK740">
        <v>353.334</v>
      </c>
      <c r="AL740">
        <v>749.99900000000002</v>
      </c>
      <c r="AM740">
        <v>23.332999999999998</v>
      </c>
      <c r="AN740">
        <v>63.334000000000003</v>
      </c>
      <c r="AO740">
        <v>0</v>
      </c>
      <c r="AP740">
        <v>6.6669999999999998</v>
      </c>
      <c r="AQ740">
        <v>0</v>
      </c>
      <c r="AR740">
        <v>30</v>
      </c>
      <c r="AS740">
        <v>93.334000000000003</v>
      </c>
      <c r="AT740">
        <v>3163.3330000000001</v>
      </c>
      <c r="AU740" t="s">
        <v>33</v>
      </c>
    </row>
    <row r="741" spans="1:47" x14ac:dyDescent="0.2">
      <c r="A741">
        <v>1621</v>
      </c>
      <c r="B741" t="s">
        <v>576</v>
      </c>
      <c r="C741">
        <v>18</v>
      </c>
      <c r="D741" t="s">
        <v>69</v>
      </c>
      <c r="G741" t="str">
        <f t="shared" si="11"/>
        <v>WWW090318BR038</v>
      </c>
      <c r="H741">
        <v>71.432000000000002</v>
      </c>
      <c r="I741">
        <v>-162.60900000000001</v>
      </c>
      <c r="J741" s="3">
        <v>20090917</v>
      </c>
      <c r="K741">
        <v>2009</v>
      </c>
      <c r="L741">
        <v>4.7763999999999998</v>
      </c>
      <c r="M741">
        <v>8.4858799999999999</v>
      </c>
      <c r="N741">
        <v>0.46778999999999998</v>
      </c>
      <c r="O741">
        <v>0.13532</v>
      </c>
      <c r="P741">
        <v>0.38188</v>
      </c>
      <c r="Q741">
        <v>0</v>
      </c>
      <c r="R741">
        <v>0.11342000000000001</v>
      </c>
      <c r="S741">
        <v>2.7999999999999998E-4</v>
      </c>
      <c r="T741">
        <v>0.54591000000000001</v>
      </c>
      <c r="U741">
        <v>4.061E-2</v>
      </c>
      <c r="V741">
        <v>14.94749</v>
      </c>
      <c r="W741" t="s">
        <v>10</v>
      </c>
      <c r="X741">
        <v>65.953999999999994</v>
      </c>
      <c r="Y741">
        <v>233.72300000000001</v>
      </c>
      <c r="Z741">
        <v>6.6669999999999998</v>
      </c>
      <c r="AA741">
        <v>3.0070000000000001</v>
      </c>
      <c r="AB741">
        <v>27.277000000000001</v>
      </c>
      <c r="AC741">
        <v>0</v>
      </c>
      <c r="AD741">
        <v>1.9430000000000001</v>
      </c>
      <c r="AE741">
        <v>0.02</v>
      </c>
      <c r="AF741">
        <v>5.87</v>
      </c>
      <c r="AG741">
        <v>1.0469999999999999</v>
      </c>
      <c r="AH741">
        <v>345.50799999999998</v>
      </c>
      <c r="AI741" t="s">
        <v>22</v>
      </c>
      <c r="AJ741">
        <v>2116.6669999999999</v>
      </c>
      <c r="AK741">
        <v>499.99900000000002</v>
      </c>
      <c r="AL741">
        <v>350.00099999999998</v>
      </c>
      <c r="AM741">
        <v>16.667000000000002</v>
      </c>
      <c r="AN741">
        <v>20</v>
      </c>
      <c r="AO741">
        <v>0</v>
      </c>
      <c r="AP741">
        <v>6.6660000000000004</v>
      </c>
      <c r="AQ741">
        <v>3.3330000000000002</v>
      </c>
      <c r="AR741">
        <v>40</v>
      </c>
      <c r="AS741">
        <v>43.332999999999998</v>
      </c>
      <c r="AT741">
        <v>3096.6660000000002</v>
      </c>
      <c r="AU741" t="s">
        <v>33</v>
      </c>
    </row>
    <row r="742" spans="1:47" x14ac:dyDescent="0.2">
      <c r="A742">
        <v>1622</v>
      </c>
      <c r="B742" t="s">
        <v>576</v>
      </c>
      <c r="C742">
        <v>19</v>
      </c>
      <c r="D742" t="s">
        <v>70</v>
      </c>
      <c r="G742" t="str">
        <f t="shared" si="11"/>
        <v>WWW090319BR043</v>
      </c>
      <c r="H742">
        <v>71.391000000000005</v>
      </c>
      <c r="I742">
        <v>-163.39500000000001</v>
      </c>
      <c r="J742" s="3">
        <v>20090914</v>
      </c>
      <c r="K742">
        <v>2009</v>
      </c>
      <c r="L742">
        <v>9.7300199999999997</v>
      </c>
      <c r="M742">
        <v>2.1239499999999998</v>
      </c>
      <c r="N742">
        <v>0.86990000000000001</v>
      </c>
      <c r="O742">
        <v>3.5089700000000001</v>
      </c>
      <c r="P742">
        <v>0.47777999999999998</v>
      </c>
      <c r="Q742">
        <v>0</v>
      </c>
      <c r="R742">
        <v>0</v>
      </c>
      <c r="S742">
        <v>0</v>
      </c>
      <c r="T742">
        <v>0.37972</v>
      </c>
      <c r="U742">
        <v>0.10706</v>
      </c>
      <c r="V742">
        <v>17.197399999999998</v>
      </c>
      <c r="W742" t="s">
        <v>9</v>
      </c>
      <c r="X742">
        <v>130.40899999999999</v>
      </c>
      <c r="Y742">
        <v>61.203000000000003</v>
      </c>
      <c r="Z742">
        <v>11.888999999999999</v>
      </c>
      <c r="AA742">
        <v>77.977000000000004</v>
      </c>
      <c r="AB742">
        <v>34.127000000000002</v>
      </c>
      <c r="AC742">
        <v>0</v>
      </c>
      <c r="AD742">
        <v>0</v>
      </c>
      <c r="AE742">
        <v>0</v>
      </c>
      <c r="AF742">
        <v>4.0830000000000002</v>
      </c>
      <c r="AG742">
        <v>3.867</v>
      </c>
      <c r="AH742">
        <v>323.55500000000001</v>
      </c>
      <c r="AI742" t="s">
        <v>21</v>
      </c>
      <c r="AJ742">
        <v>5660.0010000000002</v>
      </c>
      <c r="AK742">
        <v>306.66500000000002</v>
      </c>
      <c r="AL742">
        <v>1556.664</v>
      </c>
      <c r="AM742">
        <v>10</v>
      </c>
      <c r="AN742">
        <v>120</v>
      </c>
      <c r="AO742">
        <v>0</v>
      </c>
      <c r="AP742">
        <v>0</v>
      </c>
      <c r="AQ742">
        <v>0</v>
      </c>
      <c r="AR742">
        <v>46.667000000000002</v>
      </c>
      <c r="AS742">
        <v>46.667000000000002</v>
      </c>
      <c r="AT742">
        <v>7746.6639999999998</v>
      </c>
      <c r="AU742" t="s">
        <v>33</v>
      </c>
    </row>
    <row r="743" spans="1:47" x14ac:dyDescent="0.2">
      <c r="A743">
        <v>1623</v>
      </c>
      <c r="B743" t="s">
        <v>576</v>
      </c>
      <c r="C743">
        <v>2</v>
      </c>
      <c r="D743" t="s">
        <v>52</v>
      </c>
      <c r="G743" t="str">
        <f t="shared" si="11"/>
        <v>WWW09032BF003</v>
      </c>
      <c r="H743">
        <v>71.114000000000004</v>
      </c>
      <c r="I743">
        <v>-163.03200000000001</v>
      </c>
      <c r="J743" s="3">
        <v>20090915</v>
      </c>
      <c r="K743">
        <v>2009</v>
      </c>
      <c r="L743">
        <v>5.2509199999999998</v>
      </c>
      <c r="M743">
        <v>2.9832800000000002</v>
      </c>
      <c r="N743">
        <v>0.17977000000000001</v>
      </c>
      <c r="O743">
        <v>4.0801600000000002</v>
      </c>
      <c r="P743">
        <v>0.21429999999999999</v>
      </c>
      <c r="Q743">
        <v>0</v>
      </c>
      <c r="R743">
        <v>0</v>
      </c>
      <c r="S743">
        <v>0</v>
      </c>
      <c r="T743">
        <v>0.15809999999999999</v>
      </c>
      <c r="U743">
        <v>9.4570000000000001E-2</v>
      </c>
      <c r="V743">
        <v>12.9611</v>
      </c>
      <c r="W743" t="s">
        <v>9</v>
      </c>
      <c r="X743">
        <v>74.156999999999996</v>
      </c>
      <c r="Y743">
        <v>118.477</v>
      </c>
      <c r="Z743">
        <v>2.351</v>
      </c>
      <c r="AA743">
        <v>90.67</v>
      </c>
      <c r="AB743">
        <v>15.307</v>
      </c>
      <c r="AC743">
        <v>0</v>
      </c>
      <c r="AD743">
        <v>0</v>
      </c>
      <c r="AE743">
        <v>0</v>
      </c>
      <c r="AF743">
        <v>1.7</v>
      </c>
      <c r="AG743">
        <v>2.117</v>
      </c>
      <c r="AH743">
        <v>304.779</v>
      </c>
      <c r="AI743" t="s">
        <v>22</v>
      </c>
      <c r="AJ743">
        <v>819.99800000000005</v>
      </c>
      <c r="AK743">
        <v>359.99799999999999</v>
      </c>
      <c r="AL743">
        <v>660</v>
      </c>
      <c r="AM743">
        <v>30</v>
      </c>
      <c r="AN743">
        <v>80.001000000000005</v>
      </c>
      <c r="AO743">
        <v>0</v>
      </c>
      <c r="AP743">
        <v>0</v>
      </c>
      <c r="AQ743">
        <v>0</v>
      </c>
      <c r="AR743">
        <v>10</v>
      </c>
      <c r="AS743">
        <v>109.999</v>
      </c>
      <c r="AT743">
        <v>2069.9960000000001</v>
      </c>
      <c r="AU743" t="s">
        <v>33</v>
      </c>
    </row>
    <row r="744" spans="1:47" x14ac:dyDescent="0.2">
      <c r="A744">
        <v>1624</v>
      </c>
      <c r="B744" t="s">
        <v>576</v>
      </c>
      <c r="C744">
        <v>20</v>
      </c>
      <c r="D744" t="s">
        <v>71</v>
      </c>
      <c r="G744" t="str">
        <f t="shared" si="11"/>
        <v>WWW090320BR047</v>
      </c>
      <c r="H744">
        <v>71.384</v>
      </c>
      <c r="I744">
        <v>-162.77199999999999</v>
      </c>
      <c r="J744" s="3">
        <v>20090915</v>
      </c>
      <c r="K744">
        <v>2009</v>
      </c>
      <c r="L744">
        <v>7.37052</v>
      </c>
      <c r="M744">
        <v>5.8102900000000002</v>
      </c>
      <c r="N744">
        <v>0.73138000000000003</v>
      </c>
      <c r="O744">
        <v>0.25064999999999998</v>
      </c>
      <c r="P744">
        <v>0.1338</v>
      </c>
      <c r="Q744">
        <v>0</v>
      </c>
      <c r="R744">
        <v>2.0100000000000001E-3</v>
      </c>
      <c r="S744">
        <v>4.4139999999999999E-2</v>
      </c>
      <c r="T744">
        <v>0.17799999999999999</v>
      </c>
      <c r="U744">
        <v>8.5080000000000003E-2</v>
      </c>
      <c r="V744">
        <v>14.605869999999999</v>
      </c>
      <c r="W744" t="s">
        <v>9</v>
      </c>
      <c r="X744">
        <v>108.715</v>
      </c>
      <c r="Y744">
        <v>164.73400000000001</v>
      </c>
      <c r="Z744">
        <v>10.255000000000001</v>
      </c>
      <c r="AA744">
        <v>5.57</v>
      </c>
      <c r="AB744">
        <v>9.5570000000000004</v>
      </c>
      <c r="AC744">
        <v>0</v>
      </c>
      <c r="AD744">
        <v>3.3000000000000002E-2</v>
      </c>
      <c r="AE744">
        <v>3.153</v>
      </c>
      <c r="AF744">
        <v>1.9139999999999999</v>
      </c>
      <c r="AG744">
        <v>1.74</v>
      </c>
      <c r="AH744">
        <v>305.67099999999999</v>
      </c>
      <c r="AI744" t="s">
        <v>22</v>
      </c>
      <c r="AJ744">
        <v>5586.6660000000002</v>
      </c>
      <c r="AK744">
        <v>473.33300000000003</v>
      </c>
      <c r="AL744">
        <v>2116.6660000000002</v>
      </c>
      <c r="AM744">
        <v>83.332999999999998</v>
      </c>
      <c r="AN744">
        <v>23.332999999999998</v>
      </c>
      <c r="AO744">
        <v>0</v>
      </c>
      <c r="AP744">
        <v>3.3330000000000002</v>
      </c>
      <c r="AQ744">
        <v>3.3330000000000002</v>
      </c>
      <c r="AR744">
        <v>26.667000000000002</v>
      </c>
      <c r="AS744">
        <v>53.332999999999998</v>
      </c>
      <c r="AT744">
        <v>8369.9969999999994</v>
      </c>
      <c r="AU744" t="s">
        <v>33</v>
      </c>
    </row>
    <row r="745" spans="1:47" x14ac:dyDescent="0.2">
      <c r="A745">
        <v>1625</v>
      </c>
      <c r="B745" t="s">
        <v>576</v>
      </c>
      <c r="C745">
        <v>21</v>
      </c>
      <c r="D745" t="s">
        <v>72</v>
      </c>
      <c r="G745" t="str">
        <f t="shared" si="11"/>
        <v>WWW090321BR077</v>
      </c>
      <c r="H745">
        <v>71.234999999999999</v>
      </c>
      <c r="I745">
        <v>-162.791</v>
      </c>
      <c r="J745" s="3">
        <v>20090915</v>
      </c>
      <c r="K745">
        <v>2009</v>
      </c>
      <c r="L745">
        <v>4.7177699999999998</v>
      </c>
      <c r="M745">
        <v>1.78355</v>
      </c>
      <c r="N745">
        <v>0.63717000000000001</v>
      </c>
      <c r="O745">
        <v>0.20849000000000001</v>
      </c>
      <c r="P745">
        <v>0.35527999999999998</v>
      </c>
      <c r="Q745">
        <v>0</v>
      </c>
      <c r="R745">
        <v>4.1480000000000003E-2</v>
      </c>
      <c r="S745">
        <v>3.0000000000000001E-5</v>
      </c>
      <c r="T745">
        <v>0.26690999999999998</v>
      </c>
      <c r="U745">
        <v>7.7469999999999997E-2</v>
      </c>
      <c r="V745">
        <v>8.0881500000000006</v>
      </c>
      <c r="W745" t="s">
        <v>9</v>
      </c>
      <c r="X745">
        <v>66.509</v>
      </c>
      <c r="Y745">
        <v>83.572999999999993</v>
      </c>
      <c r="Z745">
        <v>8.7040000000000006</v>
      </c>
      <c r="AA745">
        <v>4.633</v>
      </c>
      <c r="AB745">
        <v>25.376999999999999</v>
      </c>
      <c r="AC745">
        <v>0</v>
      </c>
      <c r="AD745">
        <v>0.68</v>
      </c>
      <c r="AE745">
        <v>2E-3</v>
      </c>
      <c r="AF745">
        <v>2.87</v>
      </c>
      <c r="AG745">
        <v>4.726</v>
      </c>
      <c r="AH745">
        <v>197.07400000000001</v>
      </c>
      <c r="AI745" t="s">
        <v>22</v>
      </c>
      <c r="AJ745">
        <v>853.33399999999995</v>
      </c>
      <c r="AK745">
        <v>423.33199999999999</v>
      </c>
      <c r="AL745">
        <v>1663.3330000000001</v>
      </c>
      <c r="AM745">
        <v>53.334000000000003</v>
      </c>
      <c r="AN745">
        <v>90</v>
      </c>
      <c r="AO745">
        <v>0</v>
      </c>
      <c r="AP745">
        <v>3.3330000000000002</v>
      </c>
      <c r="AQ745">
        <v>3.3330000000000002</v>
      </c>
      <c r="AR745">
        <v>16.667000000000002</v>
      </c>
      <c r="AS745">
        <v>80</v>
      </c>
      <c r="AT745">
        <v>3186.6660000000002</v>
      </c>
      <c r="AU745" t="s">
        <v>35</v>
      </c>
    </row>
    <row r="746" spans="1:47" x14ac:dyDescent="0.2">
      <c r="A746">
        <v>1626</v>
      </c>
      <c r="B746" t="s">
        <v>576</v>
      </c>
      <c r="C746">
        <v>22</v>
      </c>
      <c r="D746" t="s">
        <v>73</v>
      </c>
      <c r="G746" t="str">
        <f t="shared" si="11"/>
        <v>WWW090322BR080</v>
      </c>
      <c r="H746">
        <v>71.228999999999999</v>
      </c>
      <c r="I746">
        <v>-162.327</v>
      </c>
      <c r="J746" s="3">
        <v>20090916</v>
      </c>
      <c r="K746">
        <v>2009</v>
      </c>
      <c r="L746">
        <v>2.5677699999999999</v>
      </c>
      <c r="M746">
        <v>1.48349</v>
      </c>
      <c r="N746">
        <v>1.1265099999999999</v>
      </c>
      <c r="O746">
        <v>5.7200000000000003E-3</v>
      </c>
      <c r="P746">
        <v>0.43903999999999999</v>
      </c>
      <c r="Q746">
        <v>0</v>
      </c>
      <c r="R746">
        <v>2.623E-2</v>
      </c>
      <c r="S746">
        <v>0</v>
      </c>
      <c r="T746">
        <v>0.24775</v>
      </c>
      <c r="U746">
        <v>3.0143900000000001</v>
      </c>
      <c r="V746">
        <v>8.9108999999999998</v>
      </c>
      <c r="W746" t="s">
        <v>18</v>
      </c>
      <c r="X746">
        <v>35.845999999999997</v>
      </c>
      <c r="Y746">
        <v>48.661999999999999</v>
      </c>
      <c r="Z746">
        <v>15.005000000000001</v>
      </c>
      <c r="AA746">
        <v>0.127</v>
      </c>
      <c r="AB746">
        <v>31.36</v>
      </c>
      <c r="AC746">
        <v>0</v>
      </c>
      <c r="AD746">
        <v>0.43</v>
      </c>
      <c r="AE746">
        <v>0</v>
      </c>
      <c r="AF746">
        <v>2.6640000000000001</v>
      </c>
      <c r="AG746">
        <v>124.256</v>
      </c>
      <c r="AH746">
        <v>258.35000000000002</v>
      </c>
      <c r="AI746" t="s">
        <v>30</v>
      </c>
      <c r="AJ746">
        <v>1700</v>
      </c>
      <c r="AK746">
        <v>433.33499999999998</v>
      </c>
      <c r="AL746">
        <v>3693.3310000000001</v>
      </c>
      <c r="AM746">
        <v>13.334</v>
      </c>
      <c r="AN746">
        <v>96.667000000000002</v>
      </c>
      <c r="AO746">
        <v>0</v>
      </c>
      <c r="AP746">
        <v>3.3330000000000002</v>
      </c>
      <c r="AQ746">
        <v>0</v>
      </c>
      <c r="AR746">
        <v>3.3330000000000002</v>
      </c>
      <c r="AS746">
        <v>46.665999999999997</v>
      </c>
      <c r="AT746">
        <v>5989.9989999999998</v>
      </c>
      <c r="AU746" t="s">
        <v>35</v>
      </c>
    </row>
    <row r="747" spans="1:47" x14ac:dyDescent="0.2">
      <c r="A747">
        <v>1627</v>
      </c>
      <c r="B747" t="s">
        <v>576</v>
      </c>
      <c r="C747">
        <v>23</v>
      </c>
      <c r="D747" t="s">
        <v>74</v>
      </c>
      <c r="G747" t="str">
        <f t="shared" si="11"/>
        <v>WWW090323BR086</v>
      </c>
      <c r="H747">
        <v>71.186999999999998</v>
      </c>
      <c r="I747">
        <v>-162.95099999999999</v>
      </c>
      <c r="J747" s="3">
        <v>20090915</v>
      </c>
      <c r="K747">
        <v>2009</v>
      </c>
      <c r="L747">
        <v>4.8427699999999998</v>
      </c>
      <c r="M747">
        <v>2.1593900000000001</v>
      </c>
      <c r="N747">
        <v>0.222</v>
      </c>
      <c r="O747">
        <v>3.9991500000000002</v>
      </c>
      <c r="P747">
        <v>0.34748000000000001</v>
      </c>
      <c r="Q747">
        <v>0</v>
      </c>
      <c r="R747">
        <v>0.12776999999999999</v>
      </c>
      <c r="S747">
        <v>0</v>
      </c>
      <c r="T747">
        <v>9.9229999999999999E-2</v>
      </c>
      <c r="U747">
        <v>9.4170000000000004E-2</v>
      </c>
      <c r="V747">
        <v>11.891959999999999</v>
      </c>
      <c r="W747" t="s">
        <v>9</v>
      </c>
      <c r="X747">
        <v>67.356999999999999</v>
      </c>
      <c r="Y747">
        <v>100.65</v>
      </c>
      <c r="Z747">
        <v>2.9729999999999999</v>
      </c>
      <c r="AA747">
        <v>88.87</v>
      </c>
      <c r="AB747">
        <v>24.82</v>
      </c>
      <c r="AC747">
        <v>0</v>
      </c>
      <c r="AD747">
        <v>2.097</v>
      </c>
      <c r="AE747">
        <v>0</v>
      </c>
      <c r="AF747">
        <v>1.0669999999999999</v>
      </c>
      <c r="AG747">
        <v>5.4130000000000003</v>
      </c>
      <c r="AH747">
        <v>293.24700000000001</v>
      </c>
      <c r="AI747" t="s">
        <v>22</v>
      </c>
      <c r="AJ747">
        <v>1263.335</v>
      </c>
      <c r="AK747">
        <v>276.66399999999999</v>
      </c>
      <c r="AL747">
        <v>896.66600000000005</v>
      </c>
      <c r="AM747">
        <v>73.332999999999998</v>
      </c>
      <c r="AN747">
        <v>100</v>
      </c>
      <c r="AO747">
        <v>0</v>
      </c>
      <c r="AP747">
        <v>6.6660000000000004</v>
      </c>
      <c r="AQ747">
        <v>0</v>
      </c>
      <c r="AR747">
        <v>20</v>
      </c>
      <c r="AS747">
        <v>106.667</v>
      </c>
      <c r="AT747">
        <v>2743.3310000000001</v>
      </c>
      <c r="AU747" t="s">
        <v>33</v>
      </c>
    </row>
    <row r="748" spans="1:47" x14ac:dyDescent="0.2">
      <c r="A748">
        <v>1628</v>
      </c>
      <c r="B748" t="s">
        <v>576</v>
      </c>
      <c r="C748">
        <v>24</v>
      </c>
      <c r="D748" t="s">
        <v>76</v>
      </c>
      <c r="G748" t="str">
        <f t="shared" si="11"/>
        <v>WWW090324BR093</v>
      </c>
      <c r="H748">
        <v>71.141000000000005</v>
      </c>
      <c r="I748">
        <v>-163.417</v>
      </c>
      <c r="J748" s="3">
        <v>20090914</v>
      </c>
      <c r="K748">
        <v>2009</v>
      </c>
      <c r="L748">
        <v>7.1036299999999999</v>
      </c>
      <c r="M748">
        <v>1.96516</v>
      </c>
      <c r="N748">
        <v>0.33925</v>
      </c>
      <c r="O748">
        <v>2.14907</v>
      </c>
      <c r="P748">
        <v>0.34693000000000002</v>
      </c>
      <c r="Q748">
        <v>0</v>
      </c>
      <c r="R748">
        <v>0</v>
      </c>
      <c r="S748">
        <v>0</v>
      </c>
      <c r="T748">
        <v>2.7619999999999999E-2</v>
      </c>
      <c r="U748">
        <v>5.1700000000000003E-2</v>
      </c>
      <c r="V748">
        <v>11.983359999999999</v>
      </c>
      <c r="W748" t="s">
        <v>9</v>
      </c>
      <c r="X748">
        <v>102.10899999999999</v>
      </c>
      <c r="Y748">
        <v>97.332999999999998</v>
      </c>
      <c r="Z748">
        <v>4.7350000000000003</v>
      </c>
      <c r="AA748">
        <v>47.756999999999998</v>
      </c>
      <c r="AB748">
        <v>24.780999999999999</v>
      </c>
      <c r="AC748">
        <v>0</v>
      </c>
      <c r="AD748">
        <v>0</v>
      </c>
      <c r="AE748">
        <v>0</v>
      </c>
      <c r="AF748">
        <v>0.29699999999999999</v>
      </c>
      <c r="AG748">
        <v>1.734</v>
      </c>
      <c r="AH748">
        <v>278.74599999999998</v>
      </c>
      <c r="AI748" t="s">
        <v>21</v>
      </c>
      <c r="AJ748">
        <v>759.99800000000005</v>
      </c>
      <c r="AK748">
        <v>470</v>
      </c>
      <c r="AL748">
        <v>840</v>
      </c>
      <c r="AM748">
        <v>36.667000000000002</v>
      </c>
      <c r="AN748">
        <v>63.334000000000003</v>
      </c>
      <c r="AO748">
        <v>0</v>
      </c>
      <c r="AP748">
        <v>0</v>
      </c>
      <c r="AQ748">
        <v>0</v>
      </c>
      <c r="AR748">
        <v>10</v>
      </c>
      <c r="AS748">
        <v>106.666</v>
      </c>
      <c r="AT748">
        <v>2286.665</v>
      </c>
      <c r="AU748" t="s">
        <v>35</v>
      </c>
    </row>
    <row r="749" spans="1:47" x14ac:dyDescent="0.2">
      <c r="A749">
        <v>1629</v>
      </c>
      <c r="B749" t="s">
        <v>576</v>
      </c>
      <c r="C749">
        <v>25</v>
      </c>
      <c r="D749" t="s">
        <v>77</v>
      </c>
      <c r="G749" t="str">
        <f t="shared" si="11"/>
        <v>WWW090325BR098</v>
      </c>
      <c r="H749">
        <v>71.134</v>
      </c>
      <c r="I749">
        <v>-162.643</v>
      </c>
      <c r="J749" s="3">
        <v>20090916</v>
      </c>
      <c r="K749">
        <v>2009</v>
      </c>
      <c r="L749">
        <v>6.2901300000000004</v>
      </c>
      <c r="M749">
        <v>1.8197700000000001</v>
      </c>
      <c r="N749">
        <v>0.15440999999999999</v>
      </c>
      <c r="O749">
        <v>0.13113</v>
      </c>
      <c r="P749">
        <v>0.40604000000000001</v>
      </c>
      <c r="Q749">
        <v>0</v>
      </c>
      <c r="R749">
        <v>5.2900000000000004E-3</v>
      </c>
      <c r="S749">
        <v>0</v>
      </c>
      <c r="T749">
        <v>2.725E-2</v>
      </c>
      <c r="U749">
        <v>0.16059000000000001</v>
      </c>
      <c r="V749">
        <v>8.9946099999999998</v>
      </c>
      <c r="W749" t="s">
        <v>9</v>
      </c>
      <c r="X749">
        <v>87.653000000000006</v>
      </c>
      <c r="Y749">
        <v>108.754</v>
      </c>
      <c r="Z749">
        <v>2.0609999999999999</v>
      </c>
      <c r="AA749">
        <v>2.9140000000000001</v>
      </c>
      <c r="AB749">
        <v>29.003</v>
      </c>
      <c r="AC749">
        <v>0</v>
      </c>
      <c r="AD749">
        <v>0.127</v>
      </c>
      <c r="AE749">
        <v>0</v>
      </c>
      <c r="AF749">
        <v>0.29299999999999998</v>
      </c>
      <c r="AG749">
        <v>4.3449999999999998</v>
      </c>
      <c r="AH749">
        <v>235.15</v>
      </c>
      <c r="AI749" t="s">
        <v>22</v>
      </c>
      <c r="AJ749">
        <v>1073.3320000000001</v>
      </c>
      <c r="AK749">
        <v>293.33199999999999</v>
      </c>
      <c r="AL749">
        <v>1020</v>
      </c>
      <c r="AM749">
        <v>36.667000000000002</v>
      </c>
      <c r="AN749">
        <v>93.332999999999998</v>
      </c>
      <c r="AO749">
        <v>0</v>
      </c>
      <c r="AP749">
        <v>6.6660000000000004</v>
      </c>
      <c r="AQ749">
        <v>0</v>
      </c>
      <c r="AR749">
        <v>20</v>
      </c>
      <c r="AS749">
        <v>146.666</v>
      </c>
      <c r="AT749">
        <v>2689.9960000000001</v>
      </c>
      <c r="AU749" t="s">
        <v>33</v>
      </c>
    </row>
    <row r="750" spans="1:47" x14ac:dyDescent="0.2">
      <c r="A750">
        <v>1630</v>
      </c>
      <c r="B750" t="s">
        <v>576</v>
      </c>
      <c r="C750">
        <v>26</v>
      </c>
      <c r="D750" t="s">
        <v>78</v>
      </c>
      <c r="G750" t="str">
        <f t="shared" si="11"/>
        <v>WWW090326BR099</v>
      </c>
      <c r="H750">
        <v>71.131</v>
      </c>
      <c r="I750">
        <v>-162.49</v>
      </c>
      <c r="J750" s="3">
        <v>20090916</v>
      </c>
      <c r="K750">
        <v>2009</v>
      </c>
      <c r="L750">
        <v>6.5315300000000001</v>
      </c>
      <c r="M750">
        <v>4.6328699999999996</v>
      </c>
      <c r="N750">
        <v>0.32923000000000002</v>
      </c>
      <c r="O750">
        <v>1.652E-2</v>
      </c>
      <c r="P750">
        <v>0.50134000000000001</v>
      </c>
      <c r="Q750">
        <v>0</v>
      </c>
      <c r="R750">
        <v>2.3435899999999998</v>
      </c>
      <c r="S750">
        <v>0</v>
      </c>
      <c r="T750">
        <v>1.9529999999999999E-2</v>
      </c>
      <c r="U750">
        <v>3.3989999999999999E-2</v>
      </c>
      <c r="V750">
        <v>14.4086</v>
      </c>
      <c r="W750" t="s">
        <v>9</v>
      </c>
      <c r="X750">
        <v>90.468000000000004</v>
      </c>
      <c r="Y750">
        <v>249.827</v>
      </c>
      <c r="Z750">
        <v>4.5229999999999997</v>
      </c>
      <c r="AA750">
        <v>0.36699999999999999</v>
      </c>
      <c r="AB750">
        <v>35.81</v>
      </c>
      <c r="AC750">
        <v>0</v>
      </c>
      <c r="AD750">
        <v>53.606000000000002</v>
      </c>
      <c r="AE750">
        <v>0</v>
      </c>
      <c r="AF750">
        <v>0.21</v>
      </c>
      <c r="AG750">
        <v>1.278</v>
      </c>
      <c r="AH750">
        <v>436.089</v>
      </c>
      <c r="AI750" t="s">
        <v>22</v>
      </c>
      <c r="AJ750">
        <v>1216.665</v>
      </c>
      <c r="AK750">
        <v>346.66699999999997</v>
      </c>
      <c r="AL750">
        <v>3236.665</v>
      </c>
      <c r="AM750">
        <v>46.665999999999997</v>
      </c>
      <c r="AN750">
        <v>133.333</v>
      </c>
      <c r="AO750">
        <v>0</v>
      </c>
      <c r="AP750">
        <v>23.334</v>
      </c>
      <c r="AQ750">
        <v>0</v>
      </c>
      <c r="AR750">
        <v>0</v>
      </c>
      <c r="AS750">
        <v>86.665000000000006</v>
      </c>
      <c r="AT750">
        <v>5089.9949999999999</v>
      </c>
      <c r="AU750" t="s">
        <v>35</v>
      </c>
    </row>
    <row r="751" spans="1:47" x14ac:dyDescent="0.2">
      <c r="A751">
        <v>1631</v>
      </c>
      <c r="B751" t="s">
        <v>576</v>
      </c>
      <c r="C751">
        <v>27</v>
      </c>
      <c r="D751" t="s">
        <v>85</v>
      </c>
      <c r="G751" t="str">
        <f t="shared" si="11"/>
        <v>WWW090327KF001</v>
      </c>
      <c r="H751">
        <v>70.644999999999996</v>
      </c>
      <c r="I751">
        <v>-165.999</v>
      </c>
      <c r="J751" s="3">
        <v>20090906</v>
      </c>
      <c r="K751">
        <v>2009</v>
      </c>
      <c r="L751">
        <v>1.89893</v>
      </c>
      <c r="M751">
        <v>0.37753999999999999</v>
      </c>
      <c r="N751">
        <v>1.891E-2</v>
      </c>
      <c r="O751">
        <v>5.7200000000000003E-3</v>
      </c>
      <c r="P751">
        <v>3.0839999999999999E-2</v>
      </c>
      <c r="Q751">
        <v>0</v>
      </c>
      <c r="R751">
        <v>0.14388000000000001</v>
      </c>
      <c r="S751">
        <v>0.25414999999999999</v>
      </c>
      <c r="T751">
        <v>5.2100000000000002E-3</v>
      </c>
      <c r="U751">
        <v>0.48631000000000002</v>
      </c>
      <c r="V751">
        <v>3.2214900000000002</v>
      </c>
      <c r="W751" t="s">
        <v>9</v>
      </c>
      <c r="X751">
        <v>28.02</v>
      </c>
      <c r="Y751">
        <v>10.513</v>
      </c>
      <c r="Z751">
        <v>0.25900000000000001</v>
      </c>
      <c r="AA751">
        <v>0.127</v>
      </c>
      <c r="AB751">
        <v>2.2029999999999998</v>
      </c>
      <c r="AC751">
        <v>0</v>
      </c>
      <c r="AD751">
        <v>3.597</v>
      </c>
      <c r="AE751">
        <v>6.21</v>
      </c>
      <c r="AF751">
        <v>5.6000000000000001E-2</v>
      </c>
      <c r="AG751">
        <v>27.266999999999999</v>
      </c>
      <c r="AH751">
        <v>78.251999999999995</v>
      </c>
      <c r="AI751" t="s">
        <v>21</v>
      </c>
      <c r="AJ751">
        <v>589.99800000000005</v>
      </c>
      <c r="AK751">
        <v>140.00200000000001</v>
      </c>
      <c r="AL751">
        <v>133.333</v>
      </c>
      <c r="AM751">
        <v>6.6669999999999998</v>
      </c>
      <c r="AN751">
        <v>6.6669999999999998</v>
      </c>
      <c r="AO751">
        <v>0</v>
      </c>
      <c r="AP751">
        <v>3.3330000000000002</v>
      </c>
      <c r="AQ751">
        <v>6.6660000000000004</v>
      </c>
      <c r="AR751">
        <v>6.6669999999999998</v>
      </c>
      <c r="AS751">
        <v>93.334000000000003</v>
      </c>
      <c r="AT751">
        <v>986.66700000000003</v>
      </c>
      <c r="AU751" t="s">
        <v>33</v>
      </c>
    </row>
    <row r="752" spans="1:47" x14ac:dyDescent="0.2">
      <c r="A752">
        <v>1632</v>
      </c>
      <c r="B752" t="s">
        <v>576</v>
      </c>
      <c r="C752">
        <v>28</v>
      </c>
      <c r="D752" t="s">
        <v>86</v>
      </c>
      <c r="G752" t="str">
        <f t="shared" si="11"/>
        <v>WWW090328KF003</v>
      </c>
      <c r="H752">
        <v>70.647999999999996</v>
      </c>
      <c r="I752">
        <v>-165.25399999999999</v>
      </c>
      <c r="J752" s="3">
        <v>20090908</v>
      </c>
      <c r="K752">
        <v>2009</v>
      </c>
      <c r="L752">
        <v>3.9903400000000002</v>
      </c>
      <c r="M752">
        <v>0.77298999999999995</v>
      </c>
      <c r="N752">
        <v>0.18532999999999999</v>
      </c>
      <c r="O752">
        <v>1.8450000000000001E-2</v>
      </c>
      <c r="P752">
        <v>6.9999999999999999E-4</v>
      </c>
      <c r="Q752">
        <v>0</v>
      </c>
      <c r="R752">
        <v>2.7999999999999998E-4</v>
      </c>
      <c r="S752">
        <v>1.3299999999999999E-2</v>
      </c>
      <c r="T752">
        <v>1.2370000000000001E-2</v>
      </c>
      <c r="U752">
        <v>3.9440000000000003E-2</v>
      </c>
      <c r="V752">
        <v>5.0331999999999999</v>
      </c>
      <c r="W752" t="s">
        <v>9</v>
      </c>
      <c r="X752">
        <v>56.957000000000001</v>
      </c>
      <c r="Y752">
        <v>22.045999999999999</v>
      </c>
      <c r="Z752">
        <v>2.6739999999999999</v>
      </c>
      <c r="AA752">
        <v>0.41</v>
      </c>
      <c r="AB752">
        <v>0.05</v>
      </c>
      <c r="AC752">
        <v>0</v>
      </c>
      <c r="AD752">
        <v>7.0000000000000001E-3</v>
      </c>
      <c r="AE752">
        <v>0.95</v>
      </c>
      <c r="AF752">
        <v>0.13300000000000001</v>
      </c>
      <c r="AG752">
        <v>1.7949999999999999</v>
      </c>
      <c r="AH752">
        <v>85.022000000000006</v>
      </c>
      <c r="AI752" t="s">
        <v>21</v>
      </c>
      <c r="AJ752">
        <v>423.334</v>
      </c>
      <c r="AK752">
        <v>179.99799999999999</v>
      </c>
      <c r="AL752">
        <v>183.333</v>
      </c>
      <c r="AM752">
        <v>16.667000000000002</v>
      </c>
      <c r="AN752">
        <v>30</v>
      </c>
      <c r="AO752">
        <v>0</v>
      </c>
      <c r="AP752">
        <v>3.3330000000000002</v>
      </c>
      <c r="AQ752">
        <v>16.667000000000002</v>
      </c>
      <c r="AR752">
        <v>3.3330000000000002</v>
      </c>
      <c r="AS752">
        <v>53.332999999999998</v>
      </c>
      <c r="AT752">
        <v>909.99800000000005</v>
      </c>
      <c r="AU752" t="s">
        <v>33</v>
      </c>
    </row>
    <row r="753" spans="1:47" x14ac:dyDescent="0.2">
      <c r="A753">
        <v>1633</v>
      </c>
      <c r="B753" t="s">
        <v>576</v>
      </c>
      <c r="C753">
        <v>29</v>
      </c>
      <c r="D753" t="s">
        <v>87</v>
      </c>
      <c r="G753" t="str">
        <f t="shared" si="11"/>
        <v>WWW090329KF005</v>
      </c>
      <c r="H753">
        <v>70.647999999999996</v>
      </c>
      <c r="I753">
        <v>-164.501</v>
      </c>
      <c r="J753" s="3">
        <v>20090911</v>
      </c>
      <c r="K753">
        <v>2009</v>
      </c>
      <c r="L753">
        <v>3.1770200000000002</v>
      </c>
      <c r="M753">
        <v>0.60838000000000003</v>
      </c>
      <c r="N753">
        <v>0.12121999999999999</v>
      </c>
      <c r="O753">
        <v>0.11205</v>
      </c>
      <c r="P753">
        <v>6.9999999999999999E-4</v>
      </c>
      <c r="Q753">
        <v>0</v>
      </c>
      <c r="R753">
        <v>1.21932</v>
      </c>
      <c r="S753">
        <v>0.54305999999999999</v>
      </c>
      <c r="T753">
        <v>1.2942800000000001</v>
      </c>
      <c r="U753">
        <v>3.4520000000000002E-2</v>
      </c>
      <c r="V753">
        <v>7.1105499999999999</v>
      </c>
      <c r="W753" t="s">
        <v>9</v>
      </c>
      <c r="X753">
        <v>45.667000000000002</v>
      </c>
      <c r="Y753">
        <v>24.577000000000002</v>
      </c>
      <c r="Z753">
        <v>1.7210000000000001</v>
      </c>
      <c r="AA753">
        <v>2.4900000000000002</v>
      </c>
      <c r="AB753">
        <v>0.05</v>
      </c>
      <c r="AC753">
        <v>0</v>
      </c>
      <c r="AD753">
        <v>30.483000000000001</v>
      </c>
      <c r="AE753">
        <v>14.914</v>
      </c>
      <c r="AF753">
        <v>13.917</v>
      </c>
      <c r="AG753">
        <v>2.9020000000000001</v>
      </c>
      <c r="AH753">
        <v>136.721</v>
      </c>
      <c r="AI753" t="s">
        <v>21</v>
      </c>
      <c r="AJ753">
        <v>463.33199999999999</v>
      </c>
      <c r="AK753">
        <v>233.333</v>
      </c>
      <c r="AL753">
        <v>283.33300000000003</v>
      </c>
      <c r="AM753">
        <v>36.667000000000002</v>
      </c>
      <c r="AN753">
        <v>20</v>
      </c>
      <c r="AO753">
        <v>0</v>
      </c>
      <c r="AP753">
        <v>26.667000000000002</v>
      </c>
      <c r="AQ753">
        <v>33.332999999999998</v>
      </c>
      <c r="AR753">
        <v>6.6669999999999998</v>
      </c>
      <c r="AS753">
        <v>33.332999999999998</v>
      </c>
      <c r="AT753">
        <v>1136.665</v>
      </c>
      <c r="AU753" t="s">
        <v>33</v>
      </c>
    </row>
    <row r="754" spans="1:47" x14ac:dyDescent="0.2">
      <c r="A754">
        <v>1634</v>
      </c>
      <c r="B754" t="s">
        <v>576</v>
      </c>
      <c r="C754">
        <v>3</v>
      </c>
      <c r="D754" s="4" t="s">
        <v>784</v>
      </c>
      <c r="E754" s="4" t="s">
        <v>784</v>
      </c>
      <c r="F754" s="4" t="s">
        <v>53</v>
      </c>
      <c r="G754" t="str">
        <f t="shared" si="11"/>
        <v>WWW09033DBO4.2</v>
      </c>
      <c r="H754">
        <v>71.102999999999994</v>
      </c>
      <c r="I754">
        <v>-162.26400000000001</v>
      </c>
      <c r="J754" s="3">
        <v>20090916</v>
      </c>
      <c r="K754">
        <v>2009</v>
      </c>
      <c r="L754">
        <v>4.36259</v>
      </c>
      <c r="M754">
        <v>6.6574499999999999</v>
      </c>
      <c r="N754">
        <v>0.16464999999999999</v>
      </c>
      <c r="O754">
        <v>3.29E-3</v>
      </c>
      <c r="P754">
        <v>0.31236000000000003</v>
      </c>
      <c r="Q754">
        <v>0</v>
      </c>
      <c r="R754">
        <v>0.19172</v>
      </c>
      <c r="S754">
        <v>0</v>
      </c>
      <c r="T754">
        <v>0.13485</v>
      </c>
      <c r="U754">
        <v>2.58E-2</v>
      </c>
      <c r="V754">
        <v>11.85271</v>
      </c>
      <c r="W754" t="s">
        <v>10</v>
      </c>
      <c r="X754">
        <v>60.710999999999999</v>
      </c>
      <c r="Y754">
        <v>264.69099999999997</v>
      </c>
      <c r="Z754">
        <v>2.242</v>
      </c>
      <c r="AA754">
        <v>7.2999999999999995E-2</v>
      </c>
      <c r="AB754">
        <v>22.312000000000001</v>
      </c>
      <c r="AC754">
        <v>0</v>
      </c>
      <c r="AD754">
        <v>3.1429999999999998</v>
      </c>
      <c r="AE754">
        <v>0</v>
      </c>
      <c r="AF754">
        <v>1.45</v>
      </c>
      <c r="AG754">
        <v>0.90300000000000002</v>
      </c>
      <c r="AH754">
        <v>355.52499999999998</v>
      </c>
      <c r="AI754" t="s">
        <v>22</v>
      </c>
      <c r="AJ754">
        <v>906.66700000000003</v>
      </c>
      <c r="AK754">
        <v>433.33300000000003</v>
      </c>
      <c r="AL754">
        <v>983.33299999999997</v>
      </c>
      <c r="AM754">
        <v>6.6669999999999998</v>
      </c>
      <c r="AN754">
        <v>46.665999999999997</v>
      </c>
      <c r="AO754">
        <v>0</v>
      </c>
      <c r="AP754">
        <v>3.3330000000000002</v>
      </c>
      <c r="AQ754">
        <v>0</v>
      </c>
      <c r="AR754">
        <v>16.667000000000002</v>
      </c>
      <c r="AS754">
        <v>73.334000000000003</v>
      </c>
      <c r="AT754">
        <v>2470</v>
      </c>
      <c r="AU754" t="s">
        <v>35</v>
      </c>
    </row>
    <row r="755" spans="1:47" x14ac:dyDescent="0.2">
      <c r="A755">
        <v>1635</v>
      </c>
      <c r="B755" t="s">
        <v>576</v>
      </c>
      <c r="C755">
        <v>30</v>
      </c>
      <c r="D755" t="s">
        <v>88</v>
      </c>
      <c r="G755" t="str">
        <f t="shared" si="11"/>
        <v>WWW090330KF007</v>
      </c>
      <c r="H755">
        <v>70.772000000000006</v>
      </c>
      <c r="I755">
        <v>-165.62799999999999</v>
      </c>
      <c r="J755" s="3">
        <v>20090907</v>
      </c>
      <c r="K755">
        <v>2009</v>
      </c>
      <c r="L755">
        <v>5.3448599999999997</v>
      </c>
      <c r="M755">
        <v>0.77937000000000001</v>
      </c>
      <c r="N755">
        <v>9.8210000000000006E-2</v>
      </c>
      <c r="O755">
        <v>0.10471</v>
      </c>
      <c r="P755">
        <v>3.2000000000000003E-4</v>
      </c>
      <c r="Q755">
        <v>0</v>
      </c>
      <c r="R755">
        <v>5.0899999999999999E-3</v>
      </c>
      <c r="S755">
        <v>0.22442000000000001</v>
      </c>
      <c r="T755">
        <v>5.3E-3</v>
      </c>
      <c r="U755">
        <v>0.37336000000000003</v>
      </c>
      <c r="V755">
        <v>6.9356400000000002</v>
      </c>
      <c r="W755" t="s">
        <v>9</v>
      </c>
      <c r="X755">
        <v>75.864000000000004</v>
      </c>
      <c r="Y755">
        <v>39.335999999999999</v>
      </c>
      <c r="Z755">
        <v>1.39</v>
      </c>
      <c r="AA755">
        <v>2.327</v>
      </c>
      <c r="AB755">
        <v>2.3E-2</v>
      </c>
      <c r="AC755">
        <v>0</v>
      </c>
      <c r="AD755">
        <v>9.1999999999999998E-2</v>
      </c>
      <c r="AE755">
        <v>16.03</v>
      </c>
      <c r="AF755">
        <v>5.7000000000000002E-2</v>
      </c>
      <c r="AG755">
        <v>20.087</v>
      </c>
      <c r="AH755">
        <v>155.20599999999999</v>
      </c>
      <c r="AI755" t="s">
        <v>21</v>
      </c>
      <c r="AJ755">
        <v>856.66399999999999</v>
      </c>
      <c r="AK755">
        <v>336.666</v>
      </c>
      <c r="AL755">
        <v>226.666</v>
      </c>
      <c r="AM755">
        <v>70</v>
      </c>
      <c r="AN755">
        <v>10</v>
      </c>
      <c r="AO755">
        <v>0</v>
      </c>
      <c r="AP755">
        <v>33.334000000000003</v>
      </c>
      <c r="AQ755">
        <v>10</v>
      </c>
      <c r="AR755">
        <v>3.3330000000000002</v>
      </c>
      <c r="AS755">
        <v>69.998999999999995</v>
      </c>
      <c r="AT755">
        <v>1616.662</v>
      </c>
      <c r="AU755" t="s">
        <v>33</v>
      </c>
    </row>
    <row r="756" spans="1:47" x14ac:dyDescent="0.2">
      <c r="A756">
        <v>1636</v>
      </c>
      <c r="B756" t="s">
        <v>576</v>
      </c>
      <c r="C756">
        <v>31</v>
      </c>
      <c r="D756" t="s">
        <v>89</v>
      </c>
      <c r="G756" t="str">
        <f t="shared" si="11"/>
        <v>WWW090331KF009</v>
      </c>
      <c r="H756">
        <v>70.774000000000001</v>
      </c>
      <c r="I756">
        <v>-164.87200000000001</v>
      </c>
      <c r="J756" s="3">
        <v>20090912</v>
      </c>
      <c r="K756">
        <v>2009</v>
      </c>
      <c r="L756">
        <v>4.2472000000000003</v>
      </c>
      <c r="M756">
        <v>0.20499999999999999</v>
      </c>
      <c r="N756">
        <v>0.11136</v>
      </c>
      <c r="O756">
        <v>4.74512</v>
      </c>
      <c r="P756">
        <v>1.7999999999999999E-2</v>
      </c>
      <c r="Q756">
        <v>0</v>
      </c>
      <c r="R756">
        <v>0</v>
      </c>
      <c r="S756">
        <v>0</v>
      </c>
      <c r="T756">
        <v>3.5340000000000003E-2</v>
      </c>
      <c r="U756">
        <v>9.2130000000000004E-2</v>
      </c>
      <c r="V756">
        <v>9.4541500000000003</v>
      </c>
      <c r="W756" t="s">
        <v>12</v>
      </c>
      <c r="X756">
        <v>58.802999999999997</v>
      </c>
      <c r="Y756">
        <v>6.1029999999999998</v>
      </c>
      <c r="Z756">
        <v>1.5609999999999999</v>
      </c>
      <c r="AA756">
        <v>105.447</v>
      </c>
      <c r="AB756">
        <v>1.286</v>
      </c>
      <c r="AC756">
        <v>0</v>
      </c>
      <c r="AD756">
        <v>0</v>
      </c>
      <c r="AE756">
        <v>0</v>
      </c>
      <c r="AF756">
        <v>0.38</v>
      </c>
      <c r="AG756">
        <v>8.6430000000000007</v>
      </c>
      <c r="AH756">
        <v>182.22300000000001</v>
      </c>
      <c r="AI756" t="s">
        <v>24</v>
      </c>
      <c r="AJ756">
        <v>383.33100000000002</v>
      </c>
      <c r="AK756">
        <v>136.666</v>
      </c>
      <c r="AL756">
        <v>289.99900000000002</v>
      </c>
      <c r="AM756">
        <v>10</v>
      </c>
      <c r="AN756">
        <v>6.6660000000000004</v>
      </c>
      <c r="AO756">
        <v>0</v>
      </c>
      <c r="AP756">
        <v>0</v>
      </c>
      <c r="AQ756">
        <v>0</v>
      </c>
      <c r="AR756">
        <v>3.3330000000000002</v>
      </c>
      <c r="AS756">
        <v>39.997999999999998</v>
      </c>
      <c r="AT756">
        <v>869.99300000000005</v>
      </c>
      <c r="AU756" t="s">
        <v>33</v>
      </c>
    </row>
    <row r="757" spans="1:47" x14ac:dyDescent="0.2">
      <c r="A757">
        <v>1637</v>
      </c>
      <c r="B757" t="s">
        <v>576</v>
      </c>
      <c r="C757">
        <v>32</v>
      </c>
      <c r="D757" t="s">
        <v>90</v>
      </c>
      <c r="G757" t="str">
        <f t="shared" si="11"/>
        <v>WWW090332KF011</v>
      </c>
      <c r="H757">
        <v>70.894999999999996</v>
      </c>
      <c r="I757">
        <v>-166.012</v>
      </c>
      <c r="J757" s="3">
        <v>20090906</v>
      </c>
      <c r="K757">
        <v>2009</v>
      </c>
      <c r="L757">
        <v>1.24752</v>
      </c>
      <c r="M757">
        <v>0.38002999999999998</v>
      </c>
      <c r="N757">
        <v>1.1979999999999999E-2</v>
      </c>
      <c r="O757">
        <v>0</v>
      </c>
      <c r="P757">
        <v>5.5999999999999995E-4</v>
      </c>
      <c r="Q757">
        <v>0</v>
      </c>
      <c r="R757">
        <v>0</v>
      </c>
      <c r="S757">
        <v>0</v>
      </c>
      <c r="T757">
        <v>4.743E-2</v>
      </c>
      <c r="U757">
        <v>1.1199999999999999E-3</v>
      </c>
      <c r="V757">
        <v>1.6886399999999999</v>
      </c>
      <c r="W757" t="s">
        <v>9</v>
      </c>
      <c r="X757">
        <v>17.536000000000001</v>
      </c>
      <c r="Y757">
        <v>15.632999999999999</v>
      </c>
      <c r="Z757">
        <v>0.17599999999999999</v>
      </c>
      <c r="AA757">
        <v>0</v>
      </c>
      <c r="AB757">
        <v>0.04</v>
      </c>
      <c r="AC757">
        <v>0</v>
      </c>
      <c r="AD757">
        <v>0</v>
      </c>
      <c r="AE757">
        <v>0</v>
      </c>
      <c r="AF757">
        <v>0.51</v>
      </c>
      <c r="AG757">
        <v>9.6000000000000002E-2</v>
      </c>
      <c r="AH757">
        <v>33.991</v>
      </c>
      <c r="AI757" t="s">
        <v>21</v>
      </c>
      <c r="AJ757">
        <v>110</v>
      </c>
      <c r="AK757">
        <v>86.665999999999997</v>
      </c>
      <c r="AL757">
        <v>10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6.6660000000000004</v>
      </c>
      <c r="AT757">
        <v>213.33199999999999</v>
      </c>
      <c r="AU757" t="s">
        <v>33</v>
      </c>
    </row>
    <row r="758" spans="1:47" x14ac:dyDescent="0.2">
      <c r="A758">
        <v>1638</v>
      </c>
      <c r="B758" t="s">
        <v>576</v>
      </c>
      <c r="C758">
        <v>33</v>
      </c>
      <c r="D758" t="s">
        <v>91</v>
      </c>
      <c r="G758" t="str">
        <f t="shared" si="11"/>
        <v>WWW090333KF013</v>
      </c>
      <c r="H758">
        <v>70.897999999999996</v>
      </c>
      <c r="I758">
        <v>-165.25399999999999</v>
      </c>
      <c r="J758" s="3">
        <v>20090908</v>
      </c>
      <c r="K758">
        <v>2009</v>
      </c>
      <c r="L758">
        <v>5.1095699999999997</v>
      </c>
      <c r="M758">
        <v>0.57701000000000002</v>
      </c>
      <c r="N758">
        <v>0.33006999999999997</v>
      </c>
      <c r="O758">
        <v>1.8473900000000001</v>
      </c>
      <c r="P758">
        <v>3.2000000000000003E-4</v>
      </c>
      <c r="Q758">
        <v>0</v>
      </c>
      <c r="R758">
        <v>1.2796000000000001</v>
      </c>
      <c r="S758">
        <v>2.8995000000000002</v>
      </c>
      <c r="T758">
        <v>2.7999999999999998E-4</v>
      </c>
      <c r="U758">
        <v>5.5690000000000003E-2</v>
      </c>
      <c r="V758">
        <v>12.09943</v>
      </c>
      <c r="W758" t="s">
        <v>9</v>
      </c>
      <c r="X758">
        <v>73.542000000000002</v>
      </c>
      <c r="Y758">
        <v>20.956</v>
      </c>
      <c r="Z758">
        <v>4.7119999999999997</v>
      </c>
      <c r="AA758">
        <v>41.052999999999997</v>
      </c>
      <c r="AB758">
        <v>2.3E-2</v>
      </c>
      <c r="AC758">
        <v>0</v>
      </c>
      <c r="AD758">
        <v>31.99</v>
      </c>
      <c r="AE758">
        <v>207.107</v>
      </c>
      <c r="AF758">
        <v>3.0000000000000001E-3</v>
      </c>
      <c r="AG758">
        <v>5.0209999999999999</v>
      </c>
      <c r="AH758">
        <v>384.40699999999998</v>
      </c>
      <c r="AI758" t="s">
        <v>28</v>
      </c>
      <c r="AJ758">
        <v>433.33199999999999</v>
      </c>
      <c r="AK758">
        <v>160</v>
      </c>
      <c r="AL758">
        <v>360</v>
      </c>
      <c r="AM758">
        <v>3.3330000000000002</v>
      </c>
      <c r="AN758">
        <v>16.667000000000002</v>
      </c>
      <c r="AO758">
        <v>0</v>
      </c>
      <c r="AP758">
        <v>3.3330000000000002</v>
      </c>
      <c r="AQ758">
        <v>3.3330000000000002</v>
      </c>
      <c r="AR758">
        <v>3.3330000000000002</v>
      </c>
      <c r="AS758">
        <v>36.667000000000002</v>
      </c>
      <c r="AT758">
        <v>1019.998</v>
      </c>
      <c r="AU758" t="s">
        <v>33</v>
      </c>
    </row>
    <row r="759" spans="1:47" x14ac:dyDescent="0.2">
      <c r="A759">
        <v>1639</v>
      </c>
      <c r="B759" t="s">
        <v>576</v>
      </c>
      <c r="C759">
        <v>34</v>
      </c>
      <c r="D759" t="s">
        <v>92</v>
      </c>
      <c r="G759" t="str">
        <f t="shared" si="11"/>
        <v>WWW090334KF015</v>
      </c>
      <c r="H759">
        <v>70.894999999999996</v>
      </c>
      <c r="I759">
        <v>-164.49600000000001</v>
      </c>
      <c r="J759" s="3">
        <v>20090911</v>
      </c>
      <c r="K759">
        <v>2009</v>
      </c>
      <c r="L759">
        <v>0.46281</v>
      </c>
      <c r="M759">
        <v>0.62192999999999998</v>
      </c>
      <c r="N759">
        <v>0.55896000000000001</v>
      </c>
      <c r="O759">
        <v>0</v>
      </c>
      <c r="P759">
        <v>3.2579999999999998E-2</v>
      </c>
      <c r="Q759">
        <v>3.2000000000000003E-4</v>
      </c>
      <c r="R759">
        <v>0</v>
      </c>
      <c r="S759">
        <v>5.7400000000000003E-3</v>
      </c>
      <c r="T759">
        <v>2.7899999999999999E-3</v>
      </c>
      <c r="U759">
        <v>8.5000000000000006E-2</v>
      </c>
      <c r="V759">
        <v>1.77013</v>
      </c>
      <c r="W759" t="s">
        <v>10</v>
      </c>
      <c r="X759">
        <v>6.6559999999999997</v>
      </c>
      <c r="Y759">
        <v>18.974</v>
      </c>
      <c r="Z759">
        <v>7.0819999999999999</v>
      </c>
      <c r="AA759">
        <v>0</v>
      </c>
      <c r="AB759">
        <v>2.327</v>
      </c>
      <c r="AC759">
        <v>0.04</v>
      </c>
      <c r="AD759">
        <v>0</v>
      </c>
      <c r="AE759">
        <v>0.41</v>
      </c>
      <c r="AF759">
        <v>0.03</v>
      </c>
      <c r="AG759">
        <v>2.8570000000000002</v>
      </c>
      <c r="AH759">
        <v>38.375999999999998</v>
      </c>
      <c r="AI759" t="s">
        <v>22</v>
      </c>
      <c r="AJ759">
        <v>329.99700000000001</v>
      </c>
      <c r="AK759">
        <v>183.333</v>
      </c>
      <c r="AL759">
        <v>276.666</v>
      </c>
      <c r="AM759">
        <v>0</v>
      </c>
      <c r="AN759">
        <v>10</v>
      </c>
      <c r="AO759">
        <v>3.3330000000000002</v>
      </c>
      <c r="AP759">
        <v>0</v>
      </c>
      <c r="AQ759">
        <v>0</v>
      </c>
      <c r="AR759">
        <v>3.3330000000000002</v>
      </c>
      <c r="AS759">
        <v>26.667000000000002</v>
      </c>
      <c r="AT759">
        <v>833.32899999999995</v>
      </c>
      <c r="AU759" t="s">
        <v>33</v>
      </c>
    </row>
    <row r="760" spans="1:47" x14ac:dyDescent="0.2">
      <c r="A760">
        <v>1640</v>
      </c>
      <c r="B760" t="s">
        <v>576</v>
      </c>
      <c r="C760">
        <v>35</v>
      </c>
      <c r="D760" t="s">
        <v>93</v>
      </c>
      <c r="G760" t="str">
        <f t="shared" si="11"/>
        <v>WWW090335KF017</v>
      </c>
      <c r="H760">
        <v>71.021000000000001</v>
      </c>
      <c r="I760">
        <v>-165.637</v>
      </c>
      <c r="J760" s="3">
        <v>20090907</v>
      </c>
      <c r="K760">
        <v>2009</v>
      </c>
      <c r="L760">
        <v>1.5910299999999999</v>
      </c>
      <c r="M760">
        <v>0.44755</v>
      </c>
      <c r="N760">
        <v>9.4130000000000005E-2</v>
      </c>
      <c r="O760">
        <v>0</v>
      </c>
      <c r="P760">
        <v>0.52132000000000001</v>
      </c>
      <c r="Q760">
        <v>0</v>
      </c>
      <c r="R760">
        <v>0</v>
      </c>
      <c r="S760">
        <v>9.9399999999999992E-3</v>
      </c>
      <c r="T760">
        <v>3.7200000000000002E-3</v>
      </c>
      <c r="U760">
        <v>0.19314000000000001</v>
      </c>
      <c r="V760">
        <v>2.86083</v>
      </c>
      <c r="W760" t="s">
        <v>9</v>
      </c>
      <c r="X760">
        <v>22.995999999999999</v>
      </c>
      <c r="Y760">
        <v>14.817</v>
      </c>
      <c r="Z760">
        <v>1.2589999999999999</v>
      </c>
      <c r="AA760">
        <v>0</v>
      </c>
      <c r="AB760">
        <v>37.237000000000002</v>
      </c>
      <c r="AC760">
        <v>0</v>
      </c>
      <c r="AD760">
        <v>0</v>
      </c>
      <c r="AE760">
        <v>0.71</v>
      </c>
      <c r="AF760">
        <v>0.04</v>
      </c>
      <c r="AG760">
        <v>8.3989999999999991</v>
      </c>
      <c r="AH760">
        <v>85.457999999999998</v>
      </c>
      <c r="AI760" t="s">
        <v>25</v>
      </c>
      <c r="AJ760">
        <v>269.99900000000002</v>
      </c>
      <c r="AK760">
        <v>146.666</v>
      </c>
      <c r="AL760">
        <v>160</v>
      </c>
      <c r="AM760">
        <v>0</v>
      </c>
      <c r="AN760">
        <v>10</v>
      </c>
      <c r="AO760">
        <v>0</v>
      </c>
      <c r="AP760">
        <v>0</v>
      </c>
      <c r="AQ760">
        <v>3.3330000000000002</v>
      </c>
      <c r="AR760">
        <v>3.3330000000000002</v>
      </c>
      <c r="AS760">
        <v>69.998999999999995</v>
      </c>
      <c r="AT760">
        <v>663.33</v>
      </c>
      <c r="AU760" t="s">
        <v>33</v>
      </c>
    </row>
    <row r="761" spans="1:47" x14ac:dyDescent="0.2">
      <c r="A761">
        <v>1641</v>
      </c>
      <c r="B761" t="s">
        <v>576</v>
      </c>
      <c r="C761">
        <v>36</v>
      </c>
      <c r="D761" t="s">
        <v>94</v>
      </c>
      <c r="G761" t="str">
        <f t="shared" si="11"/>
        <v>WWW090336KF019</v>
      </c>
      <c r="H761">
        <v>71.022999999999996</v>
      </c>
      <c r="I761">
        <v>-164.87700000000001</v>
      </c>
      <c r="J761" s="3">
        <v>20090910</v>
      </c>
      <c r="K761">
        <v>2009</v>
      </c>
      <c r="L761">
        <v>2.7451599999999998</v>
      </c>
      <c r="M761">
        <v>1.5604899999999999</v>
      </c>
      <c r="N761">
        <v>0.60157000000000005</v>
      </c>
      <c r="O761">
        <v>2.47E-3</v>
      </c>
      <c r="P761">
        <v>2.1000000000000001E-4</v>
      </c>
      <c r="Q761">
        <v>0</v>
      </c>
      <c r="R761">
        <v>0.43164000000000002</v>
      </c>
      <c r="S761">
        <v>3.2000000000000003E-4</v>
      </c>
      <c r="T761">
        <v>3.3480000000000003E-2</v>
      </c>
      <c r="U761">
        <v>2.962E-2</v>
      </c>
      <c r="V761">
        <v>5.40496</v>
      </c>
      <c r="W761" t="s">
        <v>9</v>
      </c>
      <c r="X761">
        <v>39.558</v>
      </c>
      <c r="Y761">
        <v>103.122</v>
      </c>
      <c r="Z761">
        <v>7.5460000000000003</v>
      </c>
      <c r="AA761">
        <v>5.5E-2</v>
      </c>
      <c r="AB761">
        <v>1.4999999999999999E-2</v>
      </c>
      <c r="AC761">
        <v>0</v>
      </c>
      <c r="AD761">
        <v>10.77</v>
      </c>
      <c r="AE761">
        <v>2.3E-2</v>
      </c>
      <c r="AF761">
        <v>0.36</v>
      </c>
      <c r="AG761">
        <v>1.984</v>
      </c>
      <c r="AH761">
        <v>163.43299999999999</v>
      </c>
      <c r="AI761" t="s">
        <v>22</v>
      </c>
      <c r="AJ761">
        <v>2639.9969999999998</v>
      </c>
      <c r="AK761">
        <v>383.33300000000003</v>
      </c>
      <c r="AL761">
        <v>480</v>
      </c>
      <c r="AM761">
        <v>43.332999999999998</v>
      </c>
      <c r="AN761">
        <v>13.333</v>
      </c>
      <c r="AO761">
        <v>0</v>
      </c>
      <c r="AP761">
        <v>13.333</v>
      </c>
      <c r="AQ761">
        <v>20</v>
      </c>
      <c r="AR761">
        <v>36.667000000000002</v>
      </c>
      <c r="AS761">
        <v>39.999000000000002</v>
      </c>
      <c r="AT761">
        <v>3669.9949999999999</v>
      </c>
      <c r="AU761" t="s">
        <v>33</v>
      </c>
    </row>
    <row r="762" spans="1:47" x14ac:dyDescent="0.2">
      <c r="A762">
        <v>1642</v>
      </c>
      <c r="B762" t="s">
        <v>576</v>
      </c>
      <c r="C762">
        <v>37</v>
      </c>
      <c r="D762" t="s">
        <v>95</v>
      </c>
      <c r="G762" t="str">
        <f t="shared" si="11"/>
        <v>WWW090337KF021</v>
      </c>
      <c r="H762">
        <v>71.144000000000005</v>
      </c>
      <c r="I762">
        <v>-166.02699999999999</v>
      </c>
      <c r="J762" s="3">
        <v>20090906</v>
      </c>
      <c r="K762">
        <v>2009</v>
      </c>
      <c r="L762">
        <v>0.99014999999999997</v>
      </c>
      <c r="M762">
        <v>1.7319599999999999</v>
      </c>
      <c r="N762">
        <v>1.7749999999999998E-2</v>
      </c>
      <c r="O762">
        <v>0</v>
      </c>
      <c r="P762">
        <v>1.16E-3</v>
      </c>
      <c r="Q762">
        <v>0</v>
      </c>
      <c r="R762">
        <v>0</v>
      </c>
      <c r="S762">
        <v>0</v>
      </c>
      <c r="T762">
        <v>4.9300000000000004E-3</v>
      </c>
      <c r="U762">
        <v>5.534E-2</v>
      </c>
      <c r="V762">
        <v>2.8012899999999998</v>
      </c>
      <c r="W762" t="s">
        <v>10</v>
      </c>
      <c r="X762">
        <v>15.586</v>
      </c>
      <c r="Y762">
        <v>86.3</v>
      </c>
      <c r="Z762">
        <v>0.251</v>
      </c>
      <c r="AA762">
        <v>0</v>
      </c>
      <c r="AB762">
        <v>8.3000000000000004E-2</v>
      </c>
      <c r="AC762">
        <v>0</v>
      </c>
      <c r="AD762">
        <v>0</v>
      </c>
      <c r="AE762">
        <v>0</v>
      </c>
      <c r="AF762">
        <v>5.2999999999999999E-2</v>
      </c>
      <c r="AG762">
        <v>1.2729999999999999</v>
      </c>
      <c r="AH762">
        <v>103.54600000000001</v>
      </c>
      <c r="AI762" t="s">
        <v>22</v>
      </c>
      <c r="AJ762">
        <v>186.66499999999999</v>
      </c>
      <c r="AK762">
        <v>230</v>
      </c>
      <c r="AL762">
        <v>83.332999999999998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3.3330000000000002</v>
      </c>
      <c r="AS762">
        <v>20</v>
      </c>
      <c r="AT762">
        <v>523.33100000000002</v>
      </c>
      <c r="AU762" t="s">
        <v>34</v>
      </c>
    </row>
    <row r="763" spans="1:47" x14ac:dyDescent="0.2">
      <c r="A763">
        <v>1643</v>
      </c>
      <c r="B763" t="s">
        <v>576</v>
      </c>
      <c r="C763">
        <v>38</v>
      </c>
      <c r="D763" t="s">
        <v>96</v>
      </c>
      <c r="G763" t="str">
        <f t="shared" si="11"/>
        <v>WWW090338KF023</v>
      </c>
      <c r="H763">
        <v>71.147000000000006</v>
      </c>
      <c r="I763">
        <v>-165.261</v>
      </c>
      <c r="J763" s="3">
        <v>20090910</v>
      </c>
      <c r="K763">
        <v>2009</v>
      </c>
      <c r="L763">
        <v>3.8247399999999998</v>
      </c>
      <c r="M763">
        <v>1.2538</v>
      </c>
      <c r="N763">
        <v>8.4779999999999994E-2</v>
      </c>
      <c r="O763">
        <v>2.82178</v>
      </c>
      <c r="P763">
        <v>0.24858</v>
      </c>
      <c r="Q763">
        <v>0</v>
      </c>
      <c r="R763">
        <v>0.81200000000000006</v>
      </c>
      <c r="S763">
        <v>0</v>
      </c>
      <c r="T763">
        <v>2.7999999999999998E-4</v>
      </c>
      <c r="U763">
        <v>2.0820000000000002E-2</v>
      </c>
      <c r="V763">
        <v>9.0667799999999996</v>
      </c>
      <c r="W763" t="s">
        <v>9</v>
      </c>
      <c r="X763">
        <v>55.569000000000003</v>
      </c>
      <c r="Y763">
        <v>28.977</v>
      </c>
      <c r="Z763">
        <v>1.159</v>
      </c>
      <c r="AA763">
        <v>62.706000000000003</v>
      </c>
      <c r="AB763">
        <v>17.756</v>
      </c>
      <c r="AC763">
        <v>0</v>
      </c>
      <c r="AD763">
        <v>20.3</v>
      </c>
      <c r="AE763">
        <v>0</v>
      </c>
      <c r="AF763">
        <v>3.0000000000000001E-3</v>
      </c>
      <c r="AG763">
        <v>0.54900000000000004</v>
      </c>
      <c r="AH763">
        <v>187.01900000000001</v>
      </c>
      <c r="AI763" t="s">
        <v>24</v>
      </c>
      <c r="AJ763">
        <v>373.33199999999999</v>
      </c>
      <c r="AK763">
        <v>273.33300000000003</v>
      </c>
      <c r="AL763">
        <v>143.333</v>
      </c>
      <c r="AM763">
        <v>10</v>
      </c>
      <c r="AN763">
        <v>26.667000000000002</v>
      </c>
      <c r="AO763">
        <v>0</v>
      </c>
      <c r="AP763">
        <v>3.3330000000000002</v>
      </c>
      <c r="AQ763">
        <v>0</v>
      </c>
      <c r="AR763">
        <v>6.6669999999999998</v>
      </c>
      <c r="AS763">
        <v>59.999000000000002</v>
      </c>
      <c r="AT763">
        <v>896.66399999999999</v>
      </c>
      <c r="AU763" t="s">
        <v>33</v>
      </c>
    </row>
    <row r="764" spans="1:47" x14ac:dyDescent="0.2">
      <c r="A764">
        <v>1644</v>
      </c>
      <c r="B764" t="s">
        <v>576</v>
      </c>
      <c r="C764">
        <v>39</v>
      </c>
      <c r="D764" t="s">
        <v>97</v>
      </c>
      <c r="G764" t="str">
        <f t="shared" si="11"/>
        <v>WWW090339KF025</v>
      </c>
      <c r="H764">
        <v>71.147000000000006</v>
      </c>
      <c r="I764">
        <v>-164.489</v>
      </c>
      <c r="J764" s="3">
        <v>20090912</v>
      </c>
      <c r="K764">
        <v>2009</v>
      </c>
      <c r="L764">
        <v>7.3736699999999997</v>
      </c>
      <c r="M764">
        <v>1.3828400000000001</v>
      </c>
      <c r="N764">
        <v>7.2859999999999994E-2</v>
      </c>
      <c r="O764">
        <v>1.5939999999999999E-2</v>
      </c>
      <c r="P764">
        <v>0.29565999999999998</v>
      </c>
      <c r="Q764">
        <v>0</v>
      </c>
      <c r="R764">
        <v>0</v>
      </c>
      <c r="S764">
        <v>0</v>
      </c>
      <c r="T764">
        <v>3.6269999999999997E-2</v>
      </c>
      <c r="U764">
        <v>9.2090000000000005E-2</v>
      </c>
      <c r="V764">
        <v>9.2693300000000001</v>
      </c>
      <c r="W764" t="s">
        <v>9</v>
      </c>
      <c r="X764">
        <v>106.062</v>
      </c>
      <c r="Y764">
        <v>71.298000000000002</v>
      </c>
      <c r="Z764">
        <v>0.92300000000000004</v>
      </c>
      <c r="AA764">
        <v>0.35399999999999998</v>
      </c>
      <c r="AB764">
        <v>21.117999999999999</v>
      </c>
      <c r="AC764">
        <v>0</v>
      </c>
      <c r="AD764">
        <v>0</v>
      </c>
      <c r="AE764">
        <v>0</v>
      </c>
      <c r="AF764">
        <v>0.39</v>
      </c>
      <c r="AG764">
        <v>2.069</v>
      </c>
      <c r="AH764">
        <v>202.214</v>
      </c>
      <c r="AI764" t="s">
        <v>21</v>
      </c>
      <c r="AJ764">
        <v>613.33299999999997</v>
      </c>
      <c r="AK764">
        <v>296.66500000000002</v>
      </c>
      <c r="AL764">
        <v>346.66800000000001</v>
      </c>
      <c r="AM764">
        <v>13.333</v>
      </c>
      <c r="AN764">
        <v>70.001000000000005</v>
      </c>
      <c r="AO764">
        <v>0</v>
      </c>
      <c r="AP764">
        <v>0</v>
      </c>
      <c r="AQ764">
        <v>0</v>
      </c>
      <c r="AR764">
        <v>10</v>
      </c>
      <c r="AS764">
        <v>96.665000000000006</v>
      </c>
      <c r="AT764">
        <v>1446.665</v>
      </c>
      <c r="AU764" t="s">
        <v>33</v>
      </c>
    </row>
    <row r="765" spans="1:47" x14ac:dyDescent="0.2">
      <c r="A765">
        <v>1645</v>
      </c>
      <c r="B765" t="s">
        <v>576</v>
      </c>
      <c r="C765">
        <v>4</v>
      </c>
      <c r="D765" t="s">
        <v>54</v>
      </c>
      <c r="G765" t="str">
        <f t="shared" si="11"/>
        <v>WWW09034BF007</v>
      </c>
      <c r="H765">
        <v>71.242000000000004</v>
      </c>
      <c r="I765">
        <v>-163.40799999999999</v>
      </c>
      <c r="J765" s="3">
        <v>20090914</v>
      </c>
      <c r="K765">
        <v>2009</v>
      </c>
      <c r="L765">
        <v>4.6778399999999998</v>
      </c>
      <c r="M765">
        <v>1.82836</v>
      </c>
      <c r="N765">
        <v>0.67513999999999996</v>
      </c>
      <c r="O765">
        <v>0</v>
      </c>
      <c r="P765">
        <v>0.43274000000000001</v>
      </c>
      <c r="Q765">
        <v>0</v>
      </c>
      <c r="R765">
        <v>0.13847000000000001</v>
      </c>
      <c r="S765">
        <v>6.9999999999999999E-4</v>
      </c>
      <c r="T765">
        <v>0.66308999999999996</v>
      </c>
      <c r="U765">
        <v>3.1519999999999999E-2</v>
      </c>
      <c r="V765">
        <v>8.4478600000000004</v>
      </c>
      <c r="W765" t="s">
        <v>9</v>
      </c>
      <c r="X765">
        <v>63.304000000000002</v>
      </c>
      <c r="Y765">
        <v>72.475999999999999</v>
      </c>
      <c r="Z765">
        <v>8.7629999999999999</v>
      </c>
      <c r="AA765">
        <v>0</v>
      </c>
      <c r="AB765">
        <v>30.91</v>
      </c>
      <c r="AC765">
        <v>0</v>
      </c>
      <c r="AD765">
        <v>2.27</v>
      </c>
      <c r="AE765">
        <v>0.05</v>
      </c>
      <c r="AF765">
        <v>7.13</v>
      </c>
      <c r="AG765">
        <v>0.82599999999999996</v>
      </c>
      <c r="AH765">
        <v>185.72900000000001</v>
      </c>
      <c r="AI765" t="s">
        <v>22</v>
      </c>
      <c r="AJ765">
        <v>653.33199999999999</v>
      </c>
      <c r="AK765">
        <v>380.00099999999998</v>
      </c>
      <c r="AL765">
        <v>1636.6669999999999</v>
      </c>
      <c r="AM765">
        <v>0</v>
      </c>
      <c r="AN765">
        <v>86.667000000000002</v>
      </c>
      <c r="AO765">
        <v>0</v>
      </c>
      <c r="AP765">
        <v>3.3330000000000002</v>
      </c>
      <c r="AQ765">
        <v>3.3330000000000002</v>
      </c>
      <c r="AR765">
        <v>16.667000000000002</v>
      </c>
      <c r="AS765">
        <v>63.334000000000003</v>
      </c>
      <c r="AT765">
        <v>2843.3339999999998</v>
      </c>
      <c r="AU765" t="s">
        <v>35</v>
      </c>
    </row>
    <row r="766" spans="1:47" x14ac:dyDescent="0.2">
      <c r="A766">
        <v>1646</v>
      </c>
      <c r="B766" t="s">
        <v>576</v>
      </c>
      <c r="C766">
        <v>40</v>
      </c>
      <c r="D766" t="s">
        <v>98</v>
      </c>
      <c r="G766" t="str">
        <f t="shared" si="11"/>
        <v>WWW090340KR001</v>
      </c>
      <c r="H766">
        <v>71.12</v>
      </c>
      <c r="I766">
        <v>-165.94800000000001</v>
      </c>
      <c r="J766" s="3">
        <v>20090906</v>
      </c>
      <c r="K766">
        <v>2009</v>
      </c>
      <c r="L766">
        <v>1.3595200000000001</v>
      </c>
      <c r="M766">
        <v>1.68604</v>
      </c>
      <c r="N766">
        <v>0.19145999999999999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4.5310000000000003E-2</v>
      </c>
      <c r="V766">
        <v>3.28233</v>
      </c>
      <c r="W766" t="s">
        <v>10</v>
      </c>
      <c r="X766">
        <v>20.385999999999999</v>
      </c>
      <c r="Y766">
        <v>86.555999999999997</v>
      </c>
      <c r="Z766">
        <v>2.8050000000000002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1.429</v>
      </c>
      <c r="AH766">
        <v>111.176</v>
      </c>
      <c r="AI766" t="s">
        <v>22</v>
      </c>
      <c r="AJ766">
        <v>183.33199999999999</v>
      </c>
      <c r="AK766">
        <v>220</v>
      </c>
      <c r="AL766">
        <v>66.665999999999997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30</v>
      </c>
      <c r="AT766">
        <v>499.99799999999999</v>
      </c>
      <c r="AU766" t="s">
        <v>34</v>
      </c>
    </row>
    <row r="767" spans="1:47" x14ac:dyDescent="0.2">
      <c r="A767">
        <v>1647</v>
      </c>
      <c r="B767" t="s">
        <v>576</v>
      </c>
      <c r="C767">
        <v>41</v>
      </c>
      <c r="D767" t="s">
        <v>99</v>
      </c>
      <c r="G767" t="str">
        <f t="shared" si="11"/>
        <v>WWW090341KR007</v>
      </c>
      <c r="H767">
        <v>71.122</v>
      </c>
      <c r="I767">
        <v>-165.02600000000001</v>
      </c>
      <c r="J767" s="3">
        <v>20090909</v>
      </c>
      <c r="K767">
        <v>2009</v>
      </c>
      <c r="L767">
        <v>5.3268300000000002</v>
      </c>
      <c r="M767">
        <v>1.8994200000000001</v>
      </c>
      <c r="N767">
        <v>0.1167</v>
      </c>
      <c r="O767">
        <v>4.4999999999999999E-4</v>
      </c>
      <c r="P767">
        <v>7.6480000000000006E-2</v>
      </c>
      <c r="Q767">
        <v>0</v>
      </c>
      <c r="R767">
        <v>0</v>
      </c>
      <c r="S767">
        <v>0</v>
      </c>
      <c r="T767">
        <v>2.8549999999999999E-2</v>
      </c>
      <c r="U767">
        <v>4.0189999999999997E-2</v>
      </c>
      <c r="V767">
        <v>7.4886200000000001</v>
      </c>
      <c r="W767" t="s">
        <v>9</v>
      </c>
      <c r="X767">
        <v>74.352999999999994</v>
      </c>
      <c r="Y767">
        <v>74.424000000000007</v>
      </c>
      <c r="Z767">
        <v>1.5780000000000001</v>
      </c>
      <c r="AA767">
        <v>0.01</v>
      </c>
      <c r="AB767">
        <v>5.4630000000000001</v>
      </c>
      <c r="AC767">
        <v>0</v>
      </c>
      <c r="AD767">
        <v>0</v>
      </c>
      <c r="AE767">
        <v>0</v>
      </c>
      <c r="AF767">
        <v>0.307</v>
      </c>
      <c r="AG767">
        <v>0.77300000000000002</v>
      </c>
      <c r="AH767">
        <v>156.90799999999999</v>
      </c>
      <c r="AI767" t="s">
        <v>22</v>
      </c>
      <c r="AJ767">
        <v>343.33199999999999</v>
      </c>
      <c r="AK767">
        <v>183.33199999999999</v>
      </c>
      <c r="AL767">
        <v>133.333</v>
      </c>
      <c r="AM767">
        <v>3.3330000000000002</v>
      </c>
      <c r="AN767">
        <v>16.666</v>
      </c>
      <c r="AO767">
        <v>0</v>
      </c>
      <c r="AP767">
        <v>0</v>
      </c>
      <c r="AQ767">
        <v>0</v>
      </c>
      <c r="AR767">
        <v>3.3330000000000002</v>
      </c>
      <c r="AS767">
        <v>43.332999999999998</v>
      </c>
      <c r="AT767">
        <v>726.66200000000003</v>
      </c>
      <c r="AU767" t="s">
        <v>33</v>
      </c>
    </row>
    <row r="768" spans="1:47" x14ac:dyDescent="0.2">
      <c r="A768">
        <v>1648</v>
      </c>
      <c r="B768" t="s">
        <v>576</v>
      </c>
      <c r="C768">
        <v>42</v>
      </c>
      <c r="D768" t="s">
        <v>100</v>
      </c>
      <c r="G768" t="str">
        <f t="shared" si="11"/>
        <v>WWW090342KR008</v>
      </c>
      <c r="H768">
        <v>71.120999999999995</v>
      </c>
      <c r="I768">
        <v>-164.87200000000001</v>
      </c>
      <c r="J768" s="3">
        <v>20090909</v>
      </c>
      <c r="K768">
        <v>2009</v>
      </c>
      <c r="L768">
        <v>6.75976</v>
      </c>
      <c r="M768">
        <v>0.94006999999999996</v>
      </c>
      <c r="N768">
        <v>0.34733000000000003</v>
      </c>
      <c r="O768">
        <v>9.1400000000000006E-3</v>
      </c>
      <c r="P768">
        <v>1.5939999999999999E-2</v>
      </c>
      <c r="Q768">
        <v>0</v>
      </c>
      <c r="R768">
        <v>2.6573099999999998</v>
      </c>
      <c r="S768">
        <v>0</v>
      </c>
      <c r="T768">
        <v>1.302E-2</v>
      </c>
      <c r="U768">
        <v>1.6021300000000001</v>
      </c>
      <c r="V768">
        <v>12.3447</v>
      </c>
      <c r="W768" t="s">
        <v>9</v>
      </c>
      <c r="X768">
        <v>99.397000000000006</v>
      </c>
      <c r="Y768">
        <v>54.156999999999996</v>
      </c>
      <c r="Z768">
        <v>4.8739999999999997</v>
      </c>
      <c r="AA768">
        <v>0.20300000000000001</v>
      </c>
      <c r="AB768">
        <v>1.139</v>
      </c>
      <c r="AC768">
        <v>0</v>
      </c>
      <c r="AD768">
        <v>66.426000000000002</v>
      </c>
      <c r="AE768">
        <v>0</v>
      </c>
      <c r="AF768">
        <v>0.14000000000000001</v>
      </c>
      <c r="AG768">
        <v>38.890999999999998</v>
      </c>
      <c r="AH768">
        <v>265.22699999999998</v>
      </c>
      <c r="AI768" t="s">
        <v>21</v>
      </c>
      <c r="AJ768">
        <v>1259.998</v>
      </c>
      <c r="AK768">
        <v>319.99900000000002</v>
      </c>
      <c r="AL768">
        <v>576.66499999999996</v>
      </c>
      <c r="AM768">
        <v>3.3330000000000002</v>
      </c>
      <c r="AN768">
        <v>40.000999999999998</v>
      </c>
      <c r="AO768">
        <v>0</v>
      </c>
      <c r="AP768">
        <v>13.333</v>
      </c>
      <c r="AQ768">
        <v>0</v>
      </c>
      <c r="AR768">
        <v>16.667000000000002</v>
      </c>
      <c r="AS768">
        <v>96.665999999999997</v>
      </c>
      <c r="AT768">
        <v>2326.6619999999998</v>
      </c>
      <c r="AU768" t="s">
        <v>33</v>
      </c>
    </row>
    <row r="769" spans="1:47" x14ac:dyDescent="0.2">
      <c r="A769">
        <v>1649</v>
      </c>
      <c r="B769" t="s">
        <v>576</v>
      </c>
      <c r="C769">
        <v>43</v>
      </c>
      <c r="D769" t="s">
        <v>101</v>
      </c>
      <c r="G769" t="str">
        <f t="shared" si="11"/>
        <v>WWW090343KR009</v>
      </c>
      <c r="H769">
        <v>71.122</v>
      </c>
      <c r="I769">
        <v>-164.72200000000001</v>
      </c>
      <c r="J769" s="3">
        <v>20090911</v>
      </c>
      <c r="K769">
        <v>2009</v>
      </c>
      <c r="L769">
        <v>5.5013199999999998</v>
      </c>
      <c r="M769">
        <v>1.4875400000000001</v>
      </c>
      <c r="N769">
        <v>0.12032</v>
      </c>
      <c r="O769">
        <v>2.61334</v>
      </c>
      <c r="P769">
        <v>0.17150000000000001</v>
      </c>
      <c r="Q769">
        <v>0</v>
      </c>
      <c r="R769">
        <v>0</v>
      </c>
      <c r="S769">
        <v>2.3800000000000002E-3</v>
      </c>
      <c r="T769">
        <v>2.232E-2</v>
      </c>
      <c r="U769">
        <v>0.21448999999999999</v>
      </c>
      <c r="V769">
        <v>10.13321</v>
      </c>
      <c r="W769" t="s">
        <v>9</v>
      </c>
      <c r="X769">
        <v>79.58</v>
      </c>
      <c r="Y769">
        <v>86.194000000000003</v>
      </c>
      <c r="Z769">
        <v>1.615</v>
      </c>
      <c r="AA769">
        <v>58.073999999999998</v>
      </c>
      <c r="AB769">
        <v>12.25</v>
      </c>
      <c r="AC769">
        <v>0</v>
      </c>
      <c r="AD769">
        <v>0</v>
      </c>
      <c r="AE769">
        <v>0.17</v>
      </c>
      <c r="AF769">
        <v>0.24</v>
      </c>
      <c r="AG769">
        <v>19.838999999999999</v>
      </c>
      <c r="AH769">
        <v>257.96199999999999</v>
      </c>
      <c r="AI769" t="s">
        <v>22</v>
      </c>
      <c r="AJ769">
        <v>1066.665</v>
      </c>
      <c r="AK769">
        <v>326.66699999999997</v>
      </c>
      <c r="AL769">
        <v>346.66399999999999</v>
      </c>
      <c r="AM769">
        <v>76.667000000000002</v>
      </c>
      <c r="AN769">
        <v>29.998999999999999</v>
      </c>
      <c r="AO769">
        <v>0</v>
      </c>
      <c r="AP769">
        <v>0</v>
      </c>
      <c r="AQ769">
        <v>43.332999999999998</v>
      </c>
      <c r="AR769">
        <v>13.333</v>
      </c>
      <c r="AS769">
        <v>83.331999999999994</v>
      </c>
      <c r="AT769">
        <v>1986.66</v>
      </c>
      <c r="AU769" t="s">
        <v>33</v>
      </c>
    </row>
    <row r="770" spans="1:47" x14ac:dyDescent="0.2">
      <c r="A770">
        <v>1650</v>
      </c>
      <c r="B770" t="s">
        <v>576</v>
      </c>
      <c r="C770">
        <v>44</v>
      </c>
      <c r="D770" t="s">
        <v>102</v>
      </c>
      <c r="G770" t="str">
        <f t="shared" si="11"/>
        <v>WWW090344KR016</v>
      </c>
      <c r="H770">
        <v>71.072000000000003</v>
      </c>
      <c r="I770">
        <v>-165.18199999999999</v>
      </c>
      <c r="J770" s="3">
        <v>20090908</v>
      </c>
      <c r="K770">
        <v>2009</v>
      </c>
      <c r="L770">
        <v>3.4928400000000002</v>
      </c>
      <c r="M770">
        <v>1.1777599999999999</v>
      </c>
      <c r="N770">
        <v>0.21035999999999999</v>
      </c>
      <c r="O770">
        <v>7.6999999999999996E-4</v>
      </c>
      <c r="P770">
        <v>4.7600000000000003E-3</v>
      </c>
      <c r="Q770">
        <v>0</v>
      </c>
      <c r="R770">
        <v>0</v>
      </c>
      <c r="S770">
        <v>0</v>
      </c>
      <c r="T770">
        <v>2.5100000000000001E-3</v>
      </c>
      <c r="U770">
        <v>1.932E-2</v>
      </c>
      <c r="V770">
        <v>4.9083199999999998</v>
      </c>
      <c r="W770" t="s">
        <v>9</v>
      </c>
      <c r="X770">
        <v>50.433</v>
      </c>
      <c r="Y770">
        <v>32.152999999999999</v>
      </c>
      <c r="Z770">
        <v>2.9969999999999999</v>
      </c>
      <c r="AA770">
        <v>1.7000000000000001E-2</v>
      </c>
      <c r="AB770">
        <v>0.34</v>
      </c>
      <c r="AC770">
        <v>0</v>
      </c>
      <c r="AD770">
        <v>0</v>
      </c>
      <c r="AE770">
        <v>0</v>
      </c>
      <c r="AF770">
        <v>2.7E-2</v>
      </c>
      <c r="AG770">
        <v>0.61599999999999999</v>
      </c>
      <c r="AH770">
        <v>86.582999999999998</v>
      </c>
      <c r="AI770" t="s">
        <v>21</v>
      </c>
      <c r="AJ770">
        <v>400</v>
      </c>
      <c r="AK770">
        <v>276.66500000000002</v>
      </c>
      <c r="AL770">
        <v>176.66800000000001</v>
      </c>
      <c r="AM770">
        <v>3.3330000000000002</v>
      </c>
      <c r="AN770">
        <v>10</v>
      </c>
      <c r="AO770">
        <v>0</v>
      </c>
      <c r="AP770">
        <v>0</v>
      </c>
      <c r="AQ770">
        <v>0</v>
      </c>
      <c r="AR770">
        <v>0</v>
      </c>
      <c r="AS770">
        <v>76.665999999999997</v>
      </c>
      <c r="AT770">
        <v>943.33199999999999</v>
      </c>
      <c r="AU770" t="s">
        <v>33</v>
      </c>
    </row>
    <row r="771" spans="1:47" x14ac:dyDescent="0.2">
      <c r="A771">
        <v>1651</v>
      </c>
      <c r="B771" t="s">
        <v>576</v>
      </c>
      <c r="C771">
        <v>45</v>
      </c>
      <c r="D771" t="s">
        <v>103</v>
      </c>
      <c r="G771" t="str">
        <f t="shared" ref="G771:G834" si="12">CONCATENATE(B771,C771,D771)</f>
        <v>WWW090345KR019</v>
      </c>
      <c r="H771">
        <v>71.072000000000003</v>
      </c>
      <c r="I771">
        <v>-164.721</v>
      </c>
      <c r="J771" s="3">
        <v>20090910</v>
      </c>
      <c r="K771">
        <v>2009</v>
      </c>
      <c r="L771">
        <v>5.0749899999999997</v>
      </c>
      <c r="M771">
        <v>1.5158100000000001</v>
      </c>
      <c r="N771">
        <v>2.93E-2</v>
      </c>
      <c r="O771">
        <v>3.2000000000000003E-4</v>
      </c>
      <c r="P771">
        <v>0.26544000000000001</v>
      </c>
      <c r="Q771">
        <v>0</v>
      </c>
      <c r="R771">
        <v>0</v>
      </c>
      <c r="S771">
        <v>0</v>
      </c>
      <c r="T771">
        <v>1.3299999999999999E-2</v>
      </c>
      <c r="U771">
        <v>2.3199999999999998E-2</v>
      </c>
      <c r="V771">
        <v>6.9223600000000003</v>
      </c>
      <c r="W771" t="s">
        <v>9</v>
      </c>
      <c r="X771">
        <v>73.488</v>
      </c>
      <c r="Y771">
        <v>51.826000000000001</v>
      </c>
      <c r="Z771">
        <v>0.38800000000000001</v>
      </c>
      <c r="AA771">
        <v>7.0000000000000001E-3</v>
      </c>
      <c r="AB771">
        <v>18.96</v>
      </c>
      <c r="AC771">
        <v>0</v>
      </c>
      <c r="AD771">
        <v>0</v>
      </c>
      <c r="AE771">
        <v>0</v>
      </c>
      <c r="AF771">
        <v>0.14299999999999999</v>
      </c>
      <c r="AG771">
        <v>0.42299999999999999</v>
      </c>
      <c r="AH771">
        <v>145.23500000000001</v>
      </c>
      <c r="AI771" t="s">
        <v>21</v>
      </c>
      <c r="AJ771">
        <v>390</v>
      </c>
      <c r="AK771">
        <v>133.333</v>
      </c>
      <c r="AL771">
        <v>113.33199999999999</v>
      </c>
      <c r="AM771">
        <v>3.3330000000000002</v>
      </c>
      <c r="AN771">
        <v>56.667000000000002</v>
      </c>
      <c r="AO771">
        <v>0</v>
      </c>
      <c r="AP771">
        <v>0</v>
      </c>
      <c r="AQ771">
        <v>0</v>
      </c>
      <c r="AR771">
        <v>10</v>
      </c>
      <c r="AS771">
        <v>76.665999999999997</v>
      </c>
      <c r="AT771">
        <v>783.33100000000002</v>
      </c>
      <c r="AU771" t="s">
        <v>33</v>
      </c>
    </row>
    <row r="772" spans="1:47" x14ac:dyDescent="0.2">
      <c r="A772">
        <v>1652</v>
      </c>
      <c r="B772" t="s">
        <v>576</v>
      </c>
      <c r="C772">
        <v>46</v>
      </c>
      <c r="D772" t="s">
        <v>104</v>
      </c>
      <c r="G772" t="str">
        <f t="shared" si="12"/>
        <v>WWW090346KR034</v>
      </c>
      <c r="H772">
        <v>70.971999999999994</v>
      </c>
      <c r="I772">
        <v>-165.48500000000001</v>
      </c>
      <c r="J772" s="3">
        <v>20090908</v>
      </c>
      <c r="K772">
        <v>2009</v>
      </c>
      <c r="L772">
        <v>2.2389999999999999</v>
      </c>
      <c r="M772">
        <v>0.38090000000000002</v>
      </c>
      <c r="N772">
        <v>0.21006</v>
      </c>
      <c r="O772">
        <v>0</v>
      </c>
      <c r="P772">
        <v>5.1999999999999995E-4</v>
      </c>
      <c r="Q772">
        <v>0</v>
      </c>
      <c r="R772">
        <v>0</v>
      </c>
      <c r="S772">
        <v>5.484E-2</v>
      </c>
      <c r="T772">
        <v>2.0459999999999999E-2</v>
      </c>
      <c r="U772">
        <v>0.12698999999999999</v>
      </c>
      <c r="V772">
        <v>3.0327700000000002</v>
      </c>
      <c r="W772" t="s">
        <v>9</v>
      </c>
      <c r="X772">
        <v>32.747999999999998</v>
      </c>
      <c r="Y772">
        <v>10.904</v>
      </c>
      <c r="Z772">
        <v>3.044</v>
      </c>
      <c r="AA772">
        <v>0</v>
      </c>
      <c r="AB772">
        <v>3.6999999999999998E-2</v>
      </c>
      <c r="AC772">
        <v>0</v>
      </c>
      <c r="AD772">
        <v>0</v>
      </c>
      <c r="AE772">
        <v>3.9169999999999998</v>
      </c>
      <c r="AF772">
        <v>0.22</v>
      </c>
      <c r="AG772">
        <v>7.7889999999999997</v>
      </c>
      <c r="AH772">
        <v>58.658999999999999</v>
      </c>
      <c r="AI772" t="s">
        <v>21</v>
      </c>
      <c r="AJ772">
        <v>363.33300000000003</v>
      </c>
      <c r="AK772">
        <v>279.99799999999999</v>
      </c>
      <c r="AL772">
        <v>153.33199999999999</v>
      </c>
      <c r="AM772">
        <v>0</v>
      </c>
      <c r="AN772">
        <v>6.6669999999999998</v>
      </c>
      <c r="AO772">
        <v>0</v>
      </c>
      <c r="AP772">
        <v>0</v>
      </c>
      <c r="AQ772">
        <v>16.667000000000002</v>
      </c>
      <c r="AR772">
        <v>3.3330000000000002</v>
      </c>
      <c r="AS772">
        <v>86.665999999999997</v>
      </c>
      <c r="AT772">
        <v>909.99599999999998</v>
      </c>
      <c r="AU772" t="s">
        <v>33</v>
      </c>
    </row>
    <row r="773" spans="1:47" x14ac:dyDescent="0.2">
      <c r="A773">
        <v>1653</v>
      </c>
      <c r="B773" t="s">
        <v>576</v>
      </c>
      <c r="C773">
        <v>47</v>
      </c>
      <c r="D773" t="s">
        <v>105</v>
      </c>
      <c r="G773" t="str">
        <f t="shared" si="12"/>
        <v>WWW090347KR043</v>
      </c>
      <c r="H773">
        <v>70.921999999999997</v>
      </c>
      <c r="I773">
        <v>-165.63399999999999</v>
      </c>
      <c r="J773" s="3">
        <v>20090907</v>
      </c>
      <c r="K773">
        <v>2009</v>
      </c>
      <c r="L773">
        <v>1.02319</v>
      </c>
      <c r="M773">
        <v>0.24318000000000001</v>
      </c>
      <c r="N773">
        <v>9.3920000000000003E-2</v>
      </c>
      <c r="O773">
        <v>0</v>
      </c>
      <c r="P773">
        <v>1.7000000000000001E-4</v>
      </c>
      <c r="Q773">
        <v>0</v>
      </c>
      <c r="R773">
        <v>0</v>
      </c>
      <c r="S773">
        <v>2.4000000000000001E-4</v>
      </c>
      <c r="T773">
        <v>2.14E-3</v>
      </c>
      <c r="U773">
        <v>0.14124999999999999</v>
      </c>
      <c r="V773">
        <v>1.5040899999999999</v>
      </c>
      <c r="W773" t="s">
        <v>9</v>
      </c>
      <c r="X773">
        <v>15.72</v>
      </c>
      <c r="Y773">
        <v>8.3480000000000008</v>
      </c>
      <c r="Z773">
        <v>1.242</v>
      </c>
      <c r="AA773">
        <v>0</v>
      </c>
      <c r="AB773">
        <v>1.2E-2</v>
      </c>
      <c r="AC773">
        <v>0</v>
      </c>
      <c r="AD773">
        <v>0</v>
      </c>
      <c r="AE773">
        <v>1.7000000000000001E-2</v>
      </c>
      <c r="AF773">
        <v>2.3E-2</v>
      </c>
      <c r="AG773">
        <v>6.6139999999999999</v>
      </c>
      <c r="AH773">
        <v>31.975999999999999</v>
      </c>
      <c r="AI773" t="s">
        <v>21</v>
      </c>
      <c r="AJ773">
        <v>203.33199999999999</v>
      </c>
      <c r="AK773">
        <v>263.33199999999999</v>
      </c>
      <c r="AL773">
        <v>326.66699999999997</v>
      </c>
      <c r="AM773">
        <v>0</v>
      </c>
      <c r="AN773">
        <v>10</v>
      </c>
      <c r="AO773">
        <v>0</v>
      </c>
      <c r="AP773">
        <v>0</v>
      </c>
      <c r="AQ773">
        <v>3.3330000000000002</v>
      </c>
      <c r="AR773">
        <v>3.3330000000000002</v>
      </c>
      <c r="AS773">
        <v>26.666</v>
      </c>
      <c r="AT773">
        <v>836.66300000000001</v>
      </c>
      <c r="AU773" t="s">
        <v>35</v>
      </c>
    </row>
    <row r="774" spans="1:47" x14ac:dyDescent="0.2">
      <c r="A774">
        <v>1654</v>
      </c>
      <c r="B774" t="s">
        <v>576</v>
      </c>
      <c r="C774">
        <v>48</v>
      </c>
      <c r="D774" t="s">
        <v>106</v>
      </c>
      <c r="G774" t="str">
        <f t="shared" si="12"/>
        <v>WWW090348KR045</v>
      </c>
      <c r="H774">
        <v>70.923000000000002</v>
      </c>
      <c r="I774">
        <v>-165.33199999999999</v>
      </c>
      <c r="J774" s="3">
        <v>20090908</v>
      </c>
      <c r="K774">
        <v>2009</v>
      </c>
      <c r="L774">
        <v>3.0546099999999998</v>
      </c>
      <c r="M774">
        <v>0.66032999999999997</v>
      </c>
      <c r="N774">
        <v>3.354E-2</v>
      </c>
      <c r="O774">
        <v>0</v>
      </c>
      <c r="P774">
        <v>9.7999999999999997E-4</v>
      </c>
      <c r="Q774">
        <v>0</v>
      </c>
      <c r="R774">
        <v>0</v>
      </c>
      <c r="S774">
        <v>0</v>
      </c>
      <c r="T774">
        <v>0.39589999999999997</v>
      </c>
      <c r="U774">
        <v>5.1249999999999997E-2</v>
      </c>
      <c r="V774">
        <v>4.1966099999999997</v>
      </c>
      <c r="W774" t="s">
        <v>9</v>
      </c>
      <c r="X774">
        <v>44.875999999999998</v>
      </c>
      <c r="Y774">
        <v>19.975999999999999</v>
      </c>
      <c r="Z774">
        <v>0.47899999999999998</v>
      </c>
      <c r="AA774">
        <v>0</v>
      </c>
      <c r="AB774">
        <v>7.0000000000000007E-2</v>
      </c>
      <c r="AC774">
        <v>0</v>
      </c>
      <c r="AD774">
        <v>0</v>
      </c>
      <c r="AE774">
        <v>0</v>
      </c>
      <c r="AF774">
        <v>4.2569999999999997</v>
      </c>
      <c r="AG774">
        <v>1.224</v>
      </c>
      <c r="AH774">
        <v>70.882000000000005</v>
      </c>
      <c r="AI774" t="s">
        <v>21</v>
      </c>
      <c r="AJ774">
        <v>303.33199999999999</v>
      </c>
      <c r="AK774">
        <v>209.999</v>
      </c>
      <c r="AL774">
        <v>90</v>
      </c>
      <c r="AM774">
        <v>0</v>
      </c>
      <c r="AN774">
        <v>6.6660000000000004</v>
      </c>
      <c r="AO774">
        <v>0</v>
      </c>
      <c r="AP774">
        <v>0</v>
      </c>
      <c r="AQ774">
        <v>0</v>
      </c>
      <c r="AR774">
        <v>3.3330000000000002</v>
      </c>
      <c r="AS774">
        <v>50</v>
      </c>
      <c r="AT774">
        <v>663.33</v>
      </c>
      <c r="AU774" t="s">
        <v>33</v>
      </c>
    </row>
    <row r="775" spans="1:47" x14ac:dyDescent="0.2">
      <c r="A775">
        <v>1655</v>
      </c>
      <c r="B775" t="s">
        <v>576</v>
      </c>
      <c r="C775">
        <v>49</v>
      </c>
      <c r="D775" t="s">
        <v>107</v>
      </c>
      <c r="G775" t="str">
        <f t="shared" si="12"/>
        <v>WWW090349KR056</v>
      </c>
      <c r="H775">
        <v>70.873000000000005</v>
      </c>
      <c r="I775">
        <v>-165.17699999999999</v>
      </c>
      <c r="J775" s="3">
        <v>20090908</v>
      </c>
      <c r="K775">
        <v>2009</v>
      </c>
      <c r="L775">
        <v>1.6397299999999999</v>
      </c>
      <c r="M775">
        <v>0.49214000000000002</v>
      </c>
      <c r="N775">
        <v>4.7980000000000002E-2</v>
      </c>
      <c r="O775">
        <v>4.4999999999999999E-4</v>
      </c>
      <c r="P775">
        <v>0</v>
      </c>
      <c r="Q775">
        <v>0</v>
      </c>
      <c r="R775">
        <v>0</v>
      </c>
      <c r="S775">
        <v>5.9800000000000001E-3</v>
      </c>
      <c r="T775">
        <v>1.49E-3</v>
      </c>
      <c r="U775">
        <v>1.67E-2</v>
      </c>
      <c r="V775">
        <v>2.2044700000000002</v>
      </c>
      <c r="W775" t="s">
        <v>9</v>
      </c>
      <c r="X775">
        <v>23.765000000000001</v>
      </c>
      <c r="Y775">
        <v>14.712999999999999</v>
      </c>
      <c r="Z775">
        <v>0.67600000000000005</v>
      </c>
      <c r="AA775">
        <v>0.01</v>
      </c>
      <c r="AB775">
        <v>0</v>
      </c>
      <c r="AC775">
        <v>0</v>
      </c>
      <c r="AD775">
        <v>0</v>
      </c>
      <c r="AE775">
        <v>0.42699999999999999</v>
      </c>
      <c r="AF775">
        <v>1.6E-2</v>
      </c>
      <c r="AG775">
        <v>0.30399999999999999</v>
      </c>
      <c r="AH775">
        <v>39.911000000000001</v>
      </c>
      <c r="AI775" t="s">
        <v>21</v>
      </c>
      <c r="AJ775">
        <v>320</v>
      </c>
      <c r="AK775">
        <v>246.667</v>
      </c>
      <c r="AL775">
        <v>186.666</v>
      </c>
      <c r="AM775">
        <v>3.3330000000000002</v>
      </c>
      <c r="AN775">
        <v>0</v>
      </c>
      <c r="AO775">
        <v>0</v>
      </c>
      <c r="AP775">
        <v>0</v>
      </c>
      <c r="AQ775">
        <v>6.6669999999999998</v>
      </c>
      <c r="AR775">
        <v>3.3330000000000002</v>
      </c>
      <c r="AS775">
        <v>43.334000000000003</v>
      </c>
      <c r="AT775">
        <v>810</v>
      </c>
      <c r="AU775" t="s">
        <v>33</v>
      </c>
    </row>
    <row r="776" spans="1:47" x14ac:dyDescent="0.2">
      <c r="A776">
        <v>1656</v>
      </c>
      <c r="B776" t="s">
        <v>576</v>
      </c>
      <c r="C776">
        <v>5</v>
      </c>
      <c r="D776" s="4" t="s">
        <v>783</v>
      </c>
      <c r="E776" s="4" t="s">
        <v>783</v>
      </c>
      <c r="F776" s="4" t="s">
        <v>55</v>
      </c>
      <c r="G776" t="str">
        <f t="shared" si="12"/>
        <v>WWW09035DBO4.3</v>
      </c>
      <c r="H776">
        <v>71.233000000000004</v>
      </c>
      <c r="I776">
        <v>-162.636</v>
      </c>
      <c r="J776" s="3">
        <v>20090917</v>
      </c>
      <c r="K776">
        <v>2009</v>
      </c>
      <c r="L776">
        <v>4.4066799999999997</v>
      </c>
      <c r="M776">
        <v>3.5267200000000001</v>
      </c>
      <c r="N776">
        <v>0.67551000000000005</v>
      </c>
      <c r="O776">
        <v>5.6120000000000003E-2</v>
      </c>
      <c r="P776">
        <v>0.36902000000000001</v>
      </c>
      <c r="Q776">
        <v>0</v>
      </c>
      <c r="R776">
        <v>1.6650000000000002E-2</v>
      </c>
      <c r="S776">
        <v>0</v>
      </c>
      <c r="T776">
        <v>0.18293000000000001</v>
      </c>
      <c r="U776">
        <v>8.4353599999999993</v>
      </c>
      <c r="V776">
        <v>17.668990000000001</v>
      </c>
      <c r="W776" t="s">
        <v>18</v>
      </c>
      <c r="X776">
        <v>58.948999999999998</v>
      </c>
      <c r="Y776">
        <v>126.54</v>
      </c>
      <c r="Z776">
        <v>9.2629999999999999</v>
      </c>
      <c r="AA776">
        <v>1.2470000000000001</v>
      </c>
      <c r="AB776">
        <v>26.359000000000002</v>
      </c>
      <c r="AC776">
        <v>0</v>
      </c>
      <c r="AD776">
        <v>0.27300000000000002</v>
      </c>
      <c r="AE776">
        <v>0</v>
      </c>
      <c r="AF776">
        <v>1.9670000000000001</v>
      </c>
      <c r="AG776">
        <v>351.36900000000003</v>
      </c>
      <c r="AH776">
        <v>575.96699999999998</v>
      </c>
      <c r="AI776" t="s">
        <v>30</v>
      </c>
      <c r="AJ776">
        <v>1416.665</v>
      </c>
      <c r="AK776">
        <v>496.66699999999997</v>
      </c>
      <c r="AL776">
        <v>1799.999</v>
      </c>
      <c r="AM776">
        <v>6.6660000000000004</v>
      </c>
      <c r="AN776">
        <v>76.665999999999997</v>
      </c>
      <c r="AO776">
        <v>0</v>
      </c>
      <c r="AP776">
        <v>6.6669999999999998</v>
      </c>
      <c r="AQ776">
        <v>0</v>
      </c>
      <c r="AR776">
        <v>13.333</v>
      </c>
      <c r="AS776">
        <v>36.665999999999997</v>
      </c>
      <c r="AT776">
        <v>3853.3290000000002</v>
      </c>
      <c r="AU776" t="s">
        <v>35</v>
      </c>
    </row>
    <row r="777" spans="1:47" x14ac:dyDescent="0.2">
      <c r="A777">
        <v>1657</v>
      </c>
      <c r="B777" t="s">
        <v>576</v>
      </c>
      <c r="C777">
        <v>50</v>
      </c>
      <c r="D777" t="s">
        <v>108</v>
      </c>
      <c r="G777" t="str">
        <f t="shared" si="12"/>
        <v>WWW090350KR066</v>
      </c>
      <c r="H777">
        <v>70.822999999999993</v>
      </c>
      <c r="I777">
        <v>-165.178</v>
      </c>
      <c r="J777" s="3">
        <v>20090908</v>
      </c>
      <c r="K777">
        <v>2009</v>
      </c>
      <c r="L777">
        <v>3.5005500000000001</v>
      </c>
      <c r="M777">
        <v>0.51597000000000004</v>
      </c>
      <c r="N777">
        <v>0.16383</v>
      </c>
      <c r="O777">
        <v>0</v>
      </c>
      <c r="P777">
        <v>2.4000000000000001E-4</v>
      </c>
      <c r="Q777">
        <v>0</v>
      </c>
      <c r="R777">
        <v>0</v>
      </c>
      <c r="S777">
        <v>0</v>
      </c>
      <c r="T777">
        <v>1.04532</v>
      </c>
      <c r="U777">
        <v>4.5100000000000001E-3</v>
      </c>
      <c r="V777">
        <v>5.2304199999999996</v>
      </c>
      <c r="W777" t="s">
        <v>9</v>
      </c>
      <c r="X777">
        <v>49.671999999999997</v>
      </c>
      <c r="Y777">
        <v>17.044</v>
      </c>
      <c r="Z777">
        <v>2.294</v>
      </c>
      <c r="AA777">
        <v>0</v>
      </c>
      <c r="AB777">
        <v>1.7000000000000001E-2</v>
      </c>
      <c r="AC777">
        <v>0</v>
      </c>
      <c r="AD777">
        <v>0</v>
      </c>
      <c r="AE777">
        <v>0</v>
      </c>
      <c r="AF777">
        <v>11.24</v>
      </c>
      <c r="AG777">
        <v>0.19700000000000001</v>
      </c>
      <c r="AH777">
        <v>80.463999999999999</v>
      </c>
      <c r="AI777" t="s">
        <v>21</v>
      </c>
      <c r="AJ777">
        <v>356.66399999999999</v>
      </c>
      <c r="AK777">
        <v>236.666</v>
      </c>
      <c r="AL777">
        <v>210.001</v>
      </c>
      <c r="AM777">
        <v>0</v>
      </c>
      <c r="AN777">
        <v>6.6669999999999998</v>
      </c>
      <c r="AO777">
        <v>0</v>
      </c>
      <c r="AP777">
        <v>0</v>
      </c>
      <c r="AQ777">
        <v>0</v>
      </c>
      <c r="AR777">
        <v>3.3330000000000002</v>
      </c>
      <c r="AS777">
        <v>46.665999999999997</v>
      </c>
      <c r="AT777">
        <v>859.99699999999996</v>
      </c>
      <c r="AU777" t="s">
        <v>33</v>
      </c>
    </row>
    <row r="778" spans="1:47" x14ac:dyDescent="0.2">
      <c r="A778">
        <v>1658</v>
      </c>
      <c r="B778" t="s">
        <v>576</v>
      </c>
      <c r="C778">
        <v>51</v>
      </c>
      <c r="D778" t="s">
        <v>109</v>
      </c>
      <c r="G778" t="str">
        <f t="shared" si="12"/>
        <v>WWW090351KR083</v>
      </c>
      <c r="H778">
        <v>70.721999999999994</v>
      </c>
      <c r="I778">
        <v>-165.62799999999999</v>
      </c>
      <c r="J778" s="3">
        <v>20090906</v>
      </c>
      <c r="K778">
        <v>2009</v>
      </c>
      <c r="L778">
        <v>2.3088600000000001</v>
      </c>
      <c r="M778">
        <v>6.1627400000000003</v>
      </c>
      <c r="N778">
        <v>0.10952000000000001</v>
      </c>
      <c r="O778">
        <v>7.9070000000000001E-2</v>
      </c>
      <c r="P778">
        <v>8.8000000000000003E-4</v>
      </c>
      <c r="Q778">
        <v>0</v>
      </c>
      <c r="R778">
        <v>0.80800000000000005</v>
      </c>
      <c r="S778">
        <v>3.5733199999999998</v>
      </c>
      <c r="T778">
        <v>1.8600000000000001E-3</v>
      </c>
      <c r="U778">
        <v>1.07436</v>
      </c>
      <c r="V778">
        <v>14.11861</v>
      </c>
      <c r="W778" t="s">
        <v>10</v>
      </c>
      <c r="X778">
        <v>33.558999999999997</v>
      </c>
      <c r="Y778">
        <v>213.02699999999999</v>
      </c>
      <c r="Z778">
        <v>1.4790000000000001</v>
      </c>
      <c r="AA778">
        <v>1.7569999999999999</v>
      </c>
      <c r="AB778">
        <v>6.3E-2</v>
      </c>
      <c r="AC778">
        <v>0</v>
      </c>
      <c r="AD778">
        <v>20.2</v>
      </c>
      <c r="AE778">
        <v>97.537999999999997</v>
      </c>
      <c r="AF778">
        <v>0.02</v>
      </c>
      <c r="AG778">
        <v>58.968000000000004</v>
      </c>
      <c r="AH778">
        <v>426.61099999999999</v>
      </c>
      <c r="AI778" t="s">
        <v>22</v>
      </c>
      <c r="AJ778">
        <v>546.66600000000005</v>
      </c>
      <c r="AK778">
        <v>256.66699999999997</v>
      </c>
      <c r="AL778">
        <v>210.001</v>
      </c>
      <c r="AM778">
        <v>73.334000000000003</v>
      </c>
      <c r="AN778">
        <v>23.332999999999998</v>
      </c>
      <c r="AO778">
        <v>0</v>
      </c>
      <c r="AP778">
        <v>10</v>
      </c>
      <c r="AQ778">
        <v>140</v>
      </c>
      <c r="AR778">
        <v>3.3330000000000002</v>
      </c>
      <c r="AS778">
        <v>149.99799999999999</v>
      </c>
      <c r="AT778">
        <v>1413.3320000000001</v>
      </c>
      <c r="AU778" t="s">
        <v>33</v>
      </c>
    </row>
    <row r="779" spans="1:47" x14ac:dyDescent="0.2">
      <c r="A779">
        <v>1659</v>
      </c>
      <c r="B779" t="s">
        <v>576</v>
      </c>
      <c r="C779">
        <v>52</v>
      </c>
      <c r="D779" t="s">
        <v>110</v>
      </c>
      <c r="G779" t="str">
        <f t="shared" si="12"/>
        <v>WWW090352KR095</v>
      </c>
      <c r="H779">
        <v>70.673000000000002</v>
      </c>
      <c r="I779">
        <v>-165.328</v>
      </c>
      <c r="J779" s="3">
        <v>20090908</v>
      </c>
      <c r="K779">
        <v>2009</v>
      </c>
      <c r="L779">
        <v>2.4371900000000002</v>
      </c>
      <c r="M779">
        <v>1.0657300000000001</v>
      </c>
      <c r="N779">
        <v>0.19053</v>
      </c>
      <c r="O779">
        <v>0</v>
      </c>
      <c r="P779">
        <v>4.0000000000000003E-5</v>
      </c>
      <c r="Q779">
        <v>0</v>
      </c>
      <c r="R779">
        <v>0</v>
      </c>
      <c r="S779">
        <v>0</v>
      </c>
      <c r="T779">
        <v>0.75953000000000004</v>
      </c>
      <c r="U779">
        <v>3.2320000000000002E-2</v>
      </c>
      <c r="V779">
        <v>4.4853399999999999</v>
      </c>
      <c r="W779" t="s">
        <v>9</v>
      </c>
      <c r="X779">
        <v>33.473999999999997</v>
      </c>
      <c r="Y779">
        <v>47.162999999999997</v>
      </c>
      <c r="Z779">
        <v>2.7330000000000001</v>
      </c>
      <c r="AA779">
        <v>0</v>
      </c>
      <c r="AB779">
        <v>3.0000000000000001E-3</v>
      </c>
      <c r="AC779">
        <v>0</v>
      </c>
      <c r="AD779">
        <v>0</v>
      </c>
      <c r="AE779">
        <v>0</v>
      </c>
      <c r="AF779">
        <v>8.1669999999999998</v>
      </c>
      <c r="AG779">
        <v>0.91900000000000004</v>
      </c>
      <c r="AH779">
        <v>92.459000000000003</v>
      </c>
      <c r="AI779" t="s">
        <v>22</v>
      </c>
      <c r="AJ779">
        <v>253.333</v>
      </c>
      <c r="AK779">
        <v>136.66800000000001</v>
      </c>
      <c r="AL779">
        <v>133.334</v>
      </c>
      <c r="AM779">
        <v>0</v>
      </c>
      <c r="AN779">
        <v>3.3330000000000002</v>
      </c>
      <c r="AO779">
        <v>0</v>
      </c>
      <c r="AP779">
        <v>0</v>
      </c>
      <c r="AQ779">
        <v>0</v>
      </c>
      <c r="AR779">
        <v>3.3330000000000002</v>
      </c>
      <c r="AS779">
        <v>50</v>
      </c>
      <c r="AT779">
        <v>580.00099999999998</v>
      </c>
      <c r="AU779" t="s">
        <v>33</v>
      </c>
    </row>
    <row r="780" spans="1:47" x14ac:dyDescent="0.2">
      <c r="A780">
        <v>1660</v>
      </c>
      <c r="B780" t="s">
        <v>576</v>
      </c>
      <c r="C780">
        <v>53</v>
      </c>
      <c r="D780" t="s">
        <v>577</v>
      </c>
      <c r="G780" t="str">
        <f t="shared" si="12"/>
        <v>WWW090353TM001</v>
      </c>
      <c r="H780">
        <v>70.885000000000005</v>
      </c>
      <c r="I780">
        <v>-160.74299999999999</v>
      </c>
      <c r="J780" s="3">
        <v>20090920</v>
      </c>
      <c r="K780">
        <v>2009</v>
      </c>
      <c r="L780">
        <v>3.3545600000000002</v>
      </c>
      <c r="M780">
        <v>1.2604</v>
      </c>
      <c r="N780">
        <v>0.54242999999999997</v>
      </c>
      <c r="O780">
        <v>0.33526</v>
      </c>
      <c r="P780">
        <v>1.0868199999999999</v>
      </c>
      <c r="Q780">
        <v>0</v>
      </c>
      <c r="R780">
        <v>0</v>
      </c>
      <c r="S780">
        <v>8.0079999999999998E-2</v>
      </c>
      <c r="T780">
        <v>6.4999999999999997E-4</v>
      </c>
      <c r="U780">
        <v>0.86856999999999995</v>
      </c>
      <c r="V780">
        <v>7.5287699999999997</v>
      </c>
      <c r="W780" t="s">
        <v>9</v>
      </c>
      <c r="X780">
        <v>51.718000000000004</v>
      </c>
      <c r="Y780">
        <v>76.513000000000005</v>
      </c>
      <c r="Z780">
        <v>7.39</v>
      </c>
      <c r="AA780">
        <v>7.45</v>
      </c>
      <c r="AB780">
        <v>77.63</v>
      </c>
      <c r="AC780">
        <v>0</v>
      </c>
      <c r="AD780">
        <v>0</v>
      </c>
      <c r="AE780">
        <v>5.72</v>
      </c>
      <c r="AF780">
        <v>7.0000000000000001E-3</v>
      </c>
      <c r="AG780">
        <v>20.225999999999999</v>
      </c>
      <c r="AH780">
        <v>246.654</v>
      </c>
      <c r="AI780" t="s">
        <v>25</v>
      </c>
      <c r="AJ780">
        <v>1503.3340000000001</v>
      </c>
      <c r="AK780">
        <v>370</v>
      </c>
      <c r="AL780">
        <v>839.99800000000005</v>
      </c>
      <c r="AM780">
        <v>206.667</v>
      </c>
      <c r="AN780">
        <v>273.334</v>
      </c>
      <c r="AO780">
        <v>0</v>
      </c>
      <c r="AP780">
        <v>0</v>
      </c>
      <c r="AQ780">
        <v>6.6669999999999998</v>
      </c>
      <c r="AR780">
        <v>3.3330000000000002</v>
      </c>
      <c r="AS780">
        <v>83.334999999999994</v>
      </c>
      <c r="AT780">
        <v>3286.6680000000001</v>
      </c>
      <c r="AU780" t="s">
        <v>33</v>
      </c>
    </row>
    <row r="781" spans="1:47" x14ac:dyDescent="0.2">
      <c r="A781">
        <v>1661</v>
      </c>
      <c r="B781" t="s">
        <v>576</v>
      </c>
      <c r="C781">
        <v>54</v>
      </c>
      <c r="D781" t="s">
        <v>578</v>
      </c>
      <c r="G781" t="str">
        <f t="shared" si="12"/>
        <v>WWW090354TM002</v>
      </c>
      <c r="H781">
        <v>70.866</v>
      </c>
      <c r="I781">
        <v>-160.73400000000001</v>
      </c>
      <c r="J781" s="3">
        <v>20090920</v>
      </c>
      <c r="K781">
        <v>2009</v>
      </c>
      <c r="L781">
        <v>2.4766699999999999</v>
      </c>
      <c r="M781">
        <v>0.22722000000000001</v>
      </c>
      <c r="N781">
        <v>9.0793700000000008</v>
      </c>
      <c r="O781">
        <v>1.3415900000000001</v>
      </c>
      <c r="P781">
        <v>5.4599999999999996E-3</v>
      </c>
      <c r="Q781">
        <v>0</v>
      </c>
      <c r="R781">
        <v>0.122</v>
      </c>
      <c r="S781">
        <v>0</v>
      </c>
      <c r="T781">
        <v>0.11532000000000001</v>
      </c>
      <c r="U781">
        <v>1.073E-2</v>
      </c>
      <c r="V781">
        <v>13.378360000000001</v>
      </c>
      <c r="W781" t="s">
        <v>11</v>
      </c>
      <c r="X781">
        <v>35.645000000000003</v>
      </c>
      <c r="Y781">
        <v>8.0280000000000005</v>
      </c>
      <c r="Z781">
        <v>131.69499999999999</v>
      </c>
      <c r="AA781">
        <v>29.812999999999999</v>
      </c>
      <c r="AB781">
        <v>0.39</v>
      </c>
      <c r="AC781">
        <v>0</v>
      </c>
      <c r="AD781">
        <v>2</v>
      </c>
      <c r="AE781">
        <v>0</v>
      </c>
      <c r="AF781">
        <v>1.24</v>
      </c>
      <c r="AG781">
        <v>0.38700000000000001</v>
      </c>
      <c r="AH781">
        <v>209.19800000000001</v>
      </c>
      <c r="AI781" t="s">
        <v>23</v>
      </c>
      <c r="AJ781">
        <v>1269.999</v>
      </c>
      <c r="AK781">
        <v>293.334</v>
      </c>
      <c r="AL781">
        <v>9286.6659999999993</v>
      </c>
      <c r="AM781">
        <v>183.333</v>
      </c>
      <c r="AN781">
        <v>10</v>
      </c>
      <c r="AO781">
        <v>0</v>
      </c>
      <c r="AP781">
        <v>13.333</v>
      </c>
      <c r="AQ781">
        <v>0</v>
      </c>
      <c r="AR781">
        <v>16.667000000000002</v>
      </c>
      <c r="AS781">
        <v>36.667000000000002</v>
      </c>
      <c r="AT781">
        <v>11109.999</v>
      </c>
      <c r="AU781" t="s">
        <v>35</v>
      </c>
    </row>
    <row r="782" spans="1:47" x14ac:dyDescent="0.2">
      <c r="A782">
        <v>1662</v>
      </c>
      <c r="B782" t="s">
        <v>576</v>
      </c>
      <c r="C782">
        <v>55</v>
      </c>
      <c r="D782" t="s">
        <v>579</v>
      </c>
      <c r="G782" t="str">
        <f t="shared" si="12"/>
        <v>WWW090355TM003</v>
      </c>
      <c r="H782">
        <v>70.849999999999994</v>
      </c>
      <c r="I782">
        <v>-160.73500000000001</v>
      </c>
      <c r="J782" s="3">
        <v>20090920</v>
      </c>
      <c r="K782">
        <v>2009</v>
      </c>
      <c r="L782">
        <v>3.6221399999999999</v>
      </c>
      <c r="M782">
        <v>0.68464000000000003</v>
      </c>
      <c r="N782">
        <v>11.00648</v>
      </c>
      <c r="O782">
        <v>7.349E-2</v>
      </c>
      <c r="P782">
        <v>3.8000000000000002E-4</v>
      </c>
      <c r="Q782">
        <v>0</v>
      </c>
      <c r="R782">
        <v>6.3619999999999996E-2</v>
      </c>
      <c r="S782">
        <v>3.5139999999999998E-2</v>
      </c>
      <c r="T782">
        <v>1.5810000000000001E-2</v>
      </c>
      <c r="U782">
        <v>0.81318000000000001</v>
      </c>
      <c r="V782">
        <v>16.314879999999999</v>
      </c>
      <c r="W782" t="s">
        <v>11</v>
      </c>
      <c r="X782">
        <v>50.566000000000003</v>
      </c>
      <c r="Y782">
        <v>38.718000000000004</v>
      </c>
      <c r="Z782">
        <v>157.83199999999999</v>
      </c>
      <c r="AA782">
        <v>1.633</v>
      </c>
      <c r="AB782">
        <v>2.7E-2</v>
      </c>
      <c r="AC782">
        <v>0</v>
      </c>
      <c r="AD782">
        <v>1.0429999999999999</v>
      </c>
      <c r="AE782">
        <v>2.5099999999999998</v>
      </c>
      <c r="AF782">
        <v>0.17</v>
      </c>
      <c r="AG782">
        <v>34.345999999999997</v>
      </c>
      <c r="AH782">
        <v>286.84500000000003</v>
      </c>
      <c r="AI782" t="s">
        <v>23</v>
      </c>
      <c r="AJ782">
        <v>1433.3330000000001</v>
      </c>
      <c r="AK782">
        <v>166.666</v>
      </c>
      <c r="AL782">
        <v>12883.332</v>
      </c>
      <c r="AM782">
        <v>260</v>
      </c>
      <c r="AN782">
        <v>16.667000000000002</v>
      </c>
      <c r="AO782">
        <v>0</v>
      </c>
      <c r="AP782">
        <v>13.333</v>
      </c>
      <c r="AQ782">
        <v>6.6660000000000004</v>
      </c>
      <c r="AR782">
        <v>10</v>
      </c>
      <c r="AS782">
        <v>43.332999999999998</v>
      </c>
      <c r="AT782">
        <v>14833.33</v>
      </c>
      <c r="AU782" t="s">
        <v>35</v>
      </c>
    </row>
    <row r="783" spans="1:47" x14ac:dyDescent="0.2">
      <c r="A783">
        <v>1663</v>
      </c>
      <c r="B783" t="s">
        <v>576</v>
      </c>
      <c r="C783">
        <v>56</v>
      </c>
      <c r="D783" t="s">
        <v>580</v>
      </c>
      <c r="G783" t="str">
        <f t="shared" si="12"/>
        <v>WWW090356TM004</v>
      </c>
      <c r="H783">
        <v>70.876999999999995</v>
      </c>
      <c r="I783">
        <v>-160.39699999999999</v>
      </c>
      <c r="J783" s="3">
        <v>20090920</v>
      </c>
      <c r="K783">
        <v>2009</v>
      </c>
      <c r="L783">
        <v>6.4951999999999996</v>
      </c>
      <c r="M783">
        <v>0.52566000000000002</v>
      </c>
      <c r="N783">
        <v>3.8223199999999999</v>
      </c>
      <c r="O783">
        <v>7.5600000000000001E-2</v>
      </c>
      <c r="P783">
        <v>7.7400000000000004E-3</v>
      </c>
      <c r="Q783">
        <v>0</v>
      </c>
      <c r="R783">
        <v>0.51568000000000003</v>
      </c>
      <c r="S783">
        <v>1.3646799999999999</v>
      </c>
      <c r="T783">
        <v>6.4449999999999993E-2</v>
      </c>
      <c r="U783">
        <v>3.3691599999999999</v>
      </c>
      <c r="V783">
        <v>16.240490000000001</v>
      </c>
      <c r="W783" t="s">
        <v>9</v>
      </c>
      <c r="X783">
        <v>92.44</v>
      </c>
      <c r="Y783">
        <v>19.678000000000001</v>
      </c>
      <c r="Z783">
        <v>54.831000000000003</v>
      </c>
      <c r="AA783">
        <v>1.68</v>
      </c>
      <c r="AB783">
        <v>0.55300000000000005</v>
      </c>
      <c r="AC783">
        <v>0</v>
      </c>
      <c r="AD783">
        <v>12.85</v>
      </c>
      <c r="AE783">
        <v>97.477000000000004</v>
      </c>
      <c r="AF783">
        <v>0.69299999999999995</v>
      </c>
      <c r="AG783">
        <v>143.83600000000001</v>
      </c>
      <c r="AH783">
        <v>424.03800000000001</v>
      </c>
      <c r="AI783" t="s">
        <v>30</v>
      </c>
      <c r="AJ783">
        <v>3596.67</v>
      </c>
      <c r="AK783">
        <v>386.66699999999997</v>
      </c>
      <c r="AL783">
        <v>4796.665</v>
      </c>
      <c r="AM783">
        <v>146.667</v>
      </c>
      <c r="AN783">
        <v>30</v>
      </c>
      <c r="AO783">
        <v>0</v>
      </c>
      <c r="AP783">
        <v>16.667000000000002</v>
      </c>
      <c r="AQ783">
        <v>106.667</v>
      </c>
      <c r="AR783">
        <v>0</v>
      </c>
      <c r="AS783">
        <v>83.334000000000003</v>
      </c>
      <c r="AT783">
        <v>9163.3369999999995</v>
      </c>
      <c r="AU783" t="s">
        <v>35</v>
      </c>
    </row>
    <row r="784" spans="1:47" x14ac:dyDescent="0.2">
      <c r="A784">
        <v>1664</v>
      </c>
      <c r="B784" t="s">
        <v>576</v>
      </c>
      <c r="C784">
        <v>57</v>
      </c>
      <c r="D784" t="s">
        <v>581</v>
      </c>
      <c r="G784" t="str">
        <f t="shared" si="12"/>
        <v>WWW090357TM005</v>
      </c>
      <c r="H784">
        <v>70.861000000000004</v>
      </c>
      <c r="I784">
        <v>-160.393</v>
      </c>
      <c r="J784" s="3">
        <v>20090920</v>
      </c>
      <c r="K784">
        <v>2009</v>
      </c>
      <c r="L784">
        <v>1.24546</v>
      </c>
      <c r="M784">
        <v>0.62092999999999998</v>
      </c>
      <c r="N784">
        <v>2.0338400000000001</v>
      </c>
      <c r="O784">
        <v>4.199E-2</v>
      </c>
      <c r="P784">
        <v>4.2000000000000002E-4</v>
      </c>
      <c r="Q784">
        <v>0</v>
      </c>
      <c r="R784">
        <v>0</v>
      </c>
      <c r="S784">
        <v>0</v>
      </c>
      <c r="T784">
        <v>2.7529999999999999E-2</v>
      </c>
      <c r="U784">
        <v>1.5561199999999999</v>
      </c>
      <c r="V784">
        <v>5.5262900000000004</v>
      </c>
      <c r="W784" t="s">
        <v>11</v>
      </c>
      <c r="X784">
        <v>16.943000000000001</v>
      </c>
      <c r="Y784">
        <v>37.011000000000003</v>
      </c>
      <c r="Z784">
        <v>29.204999999999998</v>
      </c>
      <c r="AA784">
        <v>0.93300000000000005</v>
      </c>
      <c r="AB784">
        <v>0.03</v>
      </c>
      <c r="AC784">
        <v>0</v>
      </c>
      <c r="AD784">
        <v>0</v>
      </c>
      <c r="AE784">
        <v>0</v>
      </c>
      <c r="AF784">
        <v>0.29599999999999999</v>
      </c>
      <c r="AG784">
        <v>64.77</v>
      </c>
      <c r="AH784">
        <v>149.18799999999999</v>
      </c>
      <c r="AI784" t="s">
        <v>30</v>
      </c>
      <c r="AJ784">
        <v>1003.333</v>
      </c>
      <c r="AK784">
        <v>213.33199999999999</v>
      </c>
      <c r="AL784">
        <v>3299.9989999999998</v>
      </c>
      <c r="AM784">
        <v>80</v>
      </c>
      <c r="AN784">
        <v>6.6669999999999998</v>
      </c>
      <c r="AO784">
        <v>0</v>
      </c>
      <c r="AP784">
        <v>0</v>
      </c>
      <c r="AQ784">
        <v>0</v>
      </c>
      <c r="AR784">
        <v>3.3330000000000002</v>
      </c>
      <c r="AS784">
        <v>10</v>
      </c>
      <c r="AT784">
        <v>4616.6639999999998</v>
      </c>
      <c r="AU784" t="s">
        <v>35</v>
      </c>
    </row>
    <row r="785" spans="1:47" x14ac:dyDescent="0.2">
      <c r="A785">
        <v>1665</v>
      </c>
      <c r="B785" t="s">
        <v>576</v>
      </c>
      <c r="C785">
        <v>58</v>
      </c>
      <c r="D785" t="s">
        <v>582</v>
      </c>
      <c r="G785" t="str">
        <f t="shared" si="12"/>
        <v>WWW090358TM006</v>
      </c>
      <c r="H785">
        <v>70.843000000000004</v>
      </c>
      <c r="I785">
        <v>-160.4</v>
      </c>
      <c r="J785" s="3">
        <v>20090920</v>
      </c>
      <c r="K785">
        <v>2009</v>
      </c>
      <c r="L785">
        <v>1.80274</v>
      </c>
      <c r="M785">
        <v>0.39626</v>
      </c>
      <c r="N785">
        <v>1.0778700000000001</v>
      </c>
      <c r="O785">
        <v>4.96E-3</v>
      </c>
      <c r="P785">
        <v>1.9819</v>
      </c>
      <c r="Q785">
        <v>2.1109800000000001</v>
      </c>
      <c r="R785">
        <v>4.2999999999999999E-4</v>
      </c>
      <c r="S785">
        <v>8.2126999999999999</v>
      </c>
      <c r="T785">
        <v>2.14E-3</v>
      </c>
      <c r="U785">
        <v>0.38857999999999998</v>
      </c>
      <c r="V785">
        <v>15.97856</v>
      </c>
      <c r="W785" t="s">
        <v>16</v>
      </c>
      <c r="X785">
        <v>26.135000000000002</v>
      </c>
      <c r="Y785">
        <v>23.245999999999999</v>
      </c>
      <c r="Z785">
        <v>14.494999999999999</v>
      </c>
      <c r="AA785">
        <v>0.11</v>
      </c>
      <c r="AB785">
        <v>141.56399999999999</v>
      </c>
      <c r="AC785">
        <v>191.90700000000001</v>
      </c>
      <c r="AD785">
        <v>7.0000000000000001E-3</v>
      </c>
      <c r="AE785">
        <v>310.22399999999999</v>
      </c>
      <c r="AF785">
        <v>2.3E-2</v>
      </c>
      <c r="AG785">
        <v>26.635000000000002</v>
      </c>
      <c r="AH785">
        <v>734.346</v>
      </c>
      <c r="AI785" t="s">
        <v>28</v>
      </c>
      <c r="AJ785">
        <v>1823.3320000000001</v>
      </c>
      <c r="AK785">
        <v>356.666</v>
      </c>
      <c r="AL785">
        <v>926.66800000000001</v>
      </c>
      <c r="AM785">
        <v>13.334</v>
      </c>
      <c r="AN785">
        <v>739.99900000000002</v>
      </c>
      <c r="AO785">
        <v>3.3330000000000002</v>
      </c>
      <c r="AP785">
        <v>3.3330000000000002</v>
      </c>
      <c r="AQ785">
        <v>80</v>
      </c>
      <c r="AR785">
        <v>10</v>
      </c>
      <c r="AS785">
        <v>80</v>
      </c>
      <c r="AT785">
        <v>4036.665</v>
      </c>
      <c r="AU785" t="s">
        <v>33</v>
      </c>
    </row>
    <row r="786" spans="1:47" x14ac:dyDescent="0.2">
      <c r="A786">
        <v>1666</v>
      </c>
      <c r="B786" t="s">
        <v>576</v>
      </c>
      <c r="C786">
        <v>6</v>
      </c>
      <c r="D786" t="s">
        <v>56</v>
      </c>
      <c r="G786" t="str">
        <f t="shared" si="12"/>
        <v>WWW09036BF011</v>
      </c>
      <c r="H786">
        <v>71.367999999999995</v>
      </c>
      <c r="I786">
        <v>-163.786</v>
      </c>
      <c r="J786" s="3">
        <v>20090913</v>
      </c>
      <c r="K786">
        <v>2009</v>
      </c>
      <c r="L786">
        <v>2.0091999999999999</v>
      </c>
      <c r="M786">
        <v>1.10059</v>
      </c>
      <c r="N786">
        <v>2.5639699999999999</v>
      </c>
      <c r="O786">
        <v>5.4000000000000003E-3</v>
      </c>
      <c r="P786">
        <v>0.36427999999999999</v>
      </c>
      <c r="Q786">
        <v>0</v>
      </c>
      <c r="R786">
        <v>0.29680000000000001</v>
      </c>
      <c r="S786">
        <v>0</v>
      </c>
      <c r="T786">
        <v>0.10695</v>
      </c>
      <c r="U786">
        <v>6.5269999999999995E-2</v>
      </c>
      <c r="V786">
        <v>6.5124599999999999</v>
      </c>
      <c r="W786" t="s">
        <v>11</v>
      </c>
      <c r="X786">
        <v>25.677</v>
      </c>
      <c r="Y786">
        <v>29.524999999999999</v>
      </c>
      <c r="Z786">
        <v>37.253</v>
      </c>
      <c r="AA786">
        <v>0.12</v>
      </c>
      <c r="AB786">
        <v>26.02</v>
      </c>
      <c r="AC786">
        <v>0</v>
      </c>
      <c r="AD786">
        <v>7.42</v>
      </c>
      <c r="AE786">
        <v>0</v>
      </c>
      <c r="AF786">
        <v>1.1499999999999999</v>
      </c>
      <c r="AG786">
        <v>1.3320000000000001</v>
      </c>
      <c r="AH786">
        <v>128.49700000000001</v>
      </c>
      <c r="AI786" t="s">
        <v>23</v>
      </c>
      <c r="AJ786">
        <v>646.66700000000003</v>
      </c>
      <c r="AK786">
        <v>259.99799999999999</v>
      </c>
      <c r="AL786">
        <v>1076.664</v>
      </c>
      <c r="AM786">
        <v>20</v>
      </c>
      <c r="AN786">
        <v>50</v>
      </c>
      <c r="AO786">
        <v>0</v>
      </c>
      <c r="AP786">
        <v>3.3330000000000002</v>
      </c>
      <c r="AQ786">
        <v>0</v>
      </c>
      <c r="AR786">
        <v>10</v>
      </c>
      <c r="AS786">
        <v>23.334</v>
      </c>
      <c r="AT786">
        <v>2089.9960000000001</v>
      </c>
      <c r="AU786" t="s">
        <v>35</v>
      </c>
    </row>
    <row r="787" spans="1:47" x14ac:dyDescent="0.2">
      <c r="A787">
        <v>1667</v>
      </c>
      <c r="B787" t="s">
        <v>576</v>
      </c>
      <c r="C787">
        <v>7</v>
      </c>
      <c r="D787" s="4" t="s">
        <v>782</v>
      </c>
      <c r="E787" s="4" t="s">
        <v>782</v>
      </c>
      <c r="F787" s="4" t="s">
        <v>57</v>
      </c>
      <c r="G787" t="str">
        <f t="shared" si="12"/>
        <v>WWW09037DBO4.4</v>
      </c>
      <c r="H787">
        <v>71.363</v>
      </c>
      <c r="I787">
        <v>-163.01</v>
      </c>
      <c r="J787" s="3">
        <v>20090915</v>
      </c>
      <c r="K787">
        <v>2009</v>
      </c>
      <c r="L787">
        <v>10.4641</v>
      </c>
      <c r="M787">
        <v>2.6378300000000001</v>
      </c>
      <c r="N787">
        <v>1.6542300000000001</v>
      </c>
      <c r="O787">
        <v>1.2290000000000001E-2</v>
      </c>
      <c r="P787">
        <v>0.29599999999999999</v>
      </c>
      <c r="Q787">
        <v>0</v>
      </c>
      <c r="R787">
        <v>0</v>
      </c>
      <c r="S787">
        <v>0</v>
      </c>
      <c r="T787">
        <v>0.38780999999999999</v>
      </c>
      <c r="U787">
        <v>8.5980000000000001E-2</v>
      </c>
      <c r="V787">
        <v>15.53824</v>
      </c>
      <c r="W787" t="s">
        <v>9</v>
      </c>
      <c r="X787">
        <v>145.059</v>
      </c>
      <c r="Y787">
        <v>91.150999999999996</v>
      </c>
      <c r="Z787">
        <v>21.265999999999998</v>
      </c>
      <c r="AA787">
        <v>0.27300000000000002</v>
      </c>
      <c r="AB787">
        <v>21.143000000000001</v>
      </c>
      <c r="AC787">
        <v>0</v>
      </c>
      <c r="AD787">
        <v>0</v>
      </c>
      <c r="AE787">
        <v>0</v>
      </c>
      <c r="AF787">
        <v>4.17</v>
      </c>
      <c r="AG787">
        <v>1.4830000000000001</v>
      </c>
      <c r="AH787">
        <v>284.54500000000002</v>
      </c>
      <c r="AI787" t="s">
        <v>21</v>
      </c>
      <c r="AJ787">
        <v>9033.3340000000007</v>
      </c>
      <c r="AK787">
        <v>453.33300000000003</v>
      </c>
      <c r="AL787">
        <v>4613.3320000000003</v>
      </c>
      <c r="AM787">
        <v>90</v>
      </c>
      <c r="AN787">
        <v>96.665999999999997</v>
      </c>
      <c r="AO787">
        <v>0</v>
      </c>
      <c r="AP787">
        <v>0</v>
      </c>
      <c r="AQ787">
        <v>0</v>
      </c>
      <c r="AR787">
        <v>33.332999999999998</v>
      </c>
      <c r="AS787">
        <v>53.334000000000003</v>
      </c>
      <c r="AT787">
        <v>14373.332</v>
      </c>
      <c r="AU787" t="s">
        <v>33</v>
      </c>
    </row>
    <row r="788" spans="1:47" x14ac:dyDescent="0.2">
      <c r="A788">
        <v>1668</v>
      </c>
      <c r="B788" t="s">
        <v>576</v>
      </c>
      <c r="C788">
        <v>8</v>
      </c>
      <c r="D788" t="s">
        <v>58</v>
      </c>
      <c r="G788" t="str">
        <f t="shared" si="12"/>
        <v>WWW09038BF015</v>
      </c>
      <c r="H788">
        <v>71.352000000000004</v>
      </c>
      <c r="I788">
        <v>-162.22900000000001</v>
      </c>
      <c r="J788" s="3">
        <v>20090916</v>
      </c>
      <c r="K788">
        <v>2009</v>
      </c>
      <c r="L788">
        <v>3.2514799999999999</v>
      </c>
      <c r="M788">
        <v>9.1100499999999993</v>
      </c>
      <c r="N788">
        <v>0.71453</v>
      </c>
      <c r="O788">
        <v>7.0790000000000006E-2</v>
      </c>
      <c r="P788">
        <v>0.28132000000000001</v>
      </c>
      <c r="Q788">
        <v>0</v>
      </c>
      <c r="R788">
        <v>0</v>
      </c>
      <c r="S788">
        <v>0.219</v>
      </c>
      <c r="T788">
        <v>8.8069999999999996E-2</v>
      </c>
      <c r="U788">
        <v>0.28441</v>
      </c>
      <c r="V788">
        <v>14.01965</v>
      </c>
      <c r="W788" t="s">
        <v>10</v>
      </c>
      <c r="X788">
        <v>45.558</v>
      </c>
      <c r="Y788">
        <v>285.90800000000002</v>
      </c>
      <c r="Z788">
        <v>9.2880000000000003</v>
      </c>
      <c r="AA788">
        <v>1.573</v>
      </c>
      <c r="AB788">
        <v>20.094000000000001</v>
      </c>
      <c r="AC788">
        <v>0</v>
      </c>
      <c r="AD788">
        <v>0</v>
      </c>
      <c r="AE788">
        <v>15.643000000000001</v>
      </c>
      <c r="AF788">
        <v>0.94699999999999995</v>
      </c>
      <c r="AG788">
        <v>6.53</v>
      </c>
      <c r="AH788">
        <v>385.541</v>
      </c>
      <c r="AI788" t="s">
        <v>22</v>
      </c>
      <c r="AJ788">
        <v>1623.3320000000001</v>
      </c>
      <c r="AK788">
        <v>966.66499999999996</v>
      </c>
      <c r="AL788">
        <v>1510</v>
      </c>
      <c r="AM788">
        <v>23.332999999999998</v>
      </c>
      <c r="AN788">
        <v>36.665999999999997</v>
      </c>
      <c r="AO788">
        <v>0</v>
      </c>
      <c r="AP788">
        <v>0</v>
      </c>
      <c r="AQ788">
        <v>13.333</v>
      </c>
      <c r="AR788">
        <v>20</v>
      </c>
      <c r="AS788">
        <v>49.999000000000002</v>
      </c>
      <c r="AT788">
        <v>4243.3280000000004</v>
      </c>
      <c r="AU788" t="s">
        <v>33</v>
      </c>
    </row>
    <row r="789" spans="1:47" x14ac:dyDescent="0.2">
      <c r="A789">
        <v>1669</v>
      </c>
      <c r="B789" t="s">
        <v>576</v>
      </c>
      <c r="C789">
        <v>9</v>
      </c>
      <c r="D789" s="4" t="s">
        <v>781</v>
      </c>
      <c r="E789" s="4" t="s">
        <v>781</v>
      </c>
      <c r="F789" s="4" t="s">
        <v>59</v>
      </c>
      <c r="G789" t="str">
        <f t="shared" si="12"/>
        <v>WWW09039DBO4.5</v>
      </c>
      <c r="H789">
        <v>71.489999999999995</v>
      </c>
      <c r="I789">
        <v>-163.386</v>
      </c>
      <c r="J789" s="3">
        <v>20090914</v>
      </c>
      <c r="K789">
        <v>2009</v>
      </c>
      <c r="L789">
        <v>5.3437799999999998</v>
      </c>
      <c r="M789">
        <v>6.4989999999999997</v>
      </c>
      <c r="N789">
        <v>0.24593999999999999</v>
      </c>
      <c r="O789">
        <v>0.36662</v>
      </c>
      <c r="P789">
        <v>0.50507999999999997</v>
      </c>
      <c r="Q789">
        <v>0</v>
      </c>
      <c r="R789">
        <v>1.02437</v>
      </c>
      <c r="S789">
        <v>1.3999999999999999E-4</v>
      </c>
      <c r="T789">
        <v>0.12118</v>
      </c>
      <c r="U789">
        <v>0.13988999999999999</v>
      </c>
      <c r="V789">
        <v>14.246</v>
      </c>
      <c r="W789" t="s">
        <v>10</v>
      </c>
      <c r="X789">
        <v>77.513999999999996</v>
      </c>
      <c r="Y789">
        <v>309.084</v>
      </c>
      <c r="Z789">
        <v>3.2349999999999999</v>
      </c>
      <c r="AA789">
        <v>8.1470000000000002</v>
      </c>
      <c r="AB789">
        <v>36.076999999999998</v>
      </c>
      <c r="AC789">
        <v>0</v>
      </c>
      <c r="AD789">
        <v>16.792999999999999</v>
      </c>
      <c r="AE789">
        <v>0.01</v>
      </c>
      <c r="AF789">
        <v>1.3029999999999999</v>
      </c>
      <c r="AG789">
        <v>3.75</v>
      </c>
      <c r="AH789">
        <v>455.91300000000001</v>
      </c>
      <c r="AI789" t="s">
        <v>22</v>
      </c>
      <c r="AJ789">
        <v>1760</v>
      </c>
      <c r="AK789">
        <v>286.66699999999997</v>
      </c>
      <c r="AL789">
        <v>833.33399999999995</v>
      </c>
      <c r="AM789">
        <v>116.666</v>
      </c>
      <c r="AN789">
        <v>90</v>
      </c>
      <c r="AO789">
        <v>0</v>
      </c>
      <c r="AP789">
        <v>20</v>
      </c>
      <c r="AQ789">
        <v>3.3330000000000002</v>
      </c>
      <c r="AR789">
        <v>20</v>
      </c>
      <c r="AS789">
        <v>83.332999999999998</v>
      </c>
      <c r="AT789">
        <v>3213.3330000000001</v>
      </c>
      <c r="AU789" t="s">
        <v>33</v>
      </c>
    </row>
    <row r="790" spans="1:47" x14ac:dyDescent="0.2">
      <c r="A790">
        <v>157</v>
      </c>
      <c r="B790" t="s">
        <v>156</v>
      </c>
      <c r="C790">
        <v>10</v>
      </c>
      <c r="D790" t="s">
        <v>157</v>
      </c>
      <c r="G790" t="str">
        <f t="shared" si="12"/>
        <v>COMIDA1010UTX27</v>
      </c>
      <c r="H790">
        <v>70.671300000000002</v>
      </c>
      <c r="I790">
        <v>-167.08320000000001</v>
      </c>
      <c r="J790" s="3">
        <v>20100731</v>
      </c>
      <c r="K790">
        <v>2010</v>
      </c>
      <c r="L790">
        <v>1.30803</v>
      </c>
      <c r="M790">
        <v>0.99507000000000001</v>
      </c>
      <c r="N790">
        <v>0.27372000000000002</v>
      </c>
      <c r="O790">
        <v>0.79244999999999999</v>
      </c>
      <c r="P790">
        <v>3.3E-3</v>
      </c>
      <c r="Q790">
        <v>0</v>
      </c>
      <c r="R790">
        <v>0</v>
      </c>
      <c r="S790">
        <v>0</v>
      </c>
      <c r="T790">
        <v>0</v>
      </c>
      <c r="U790">
        <v>0.54417000000000004</v>
      </c>
      <c r="V790">
        <v>3.9167399999999999</v>
      </c>
      <c r="W790" t="s">
        <v>9</v>
      </c>
      <c r="X790">
        <v>19.597000000000001</v>
      </c>
      <c r="Y790">
        <v>34.411000000000001</v>
      </c>
      <c r="Z790">
        <v>3.7349999999999999</v>
      </c>
      <c r="AA790">
        <v>17.61</v>
      </c>
      <c r="AB790">
        <v>0.23599999999999999</v>
      </c>
      <c r="AC790">
        <v>0</v>
      </c>
      <c r="AD790">
        <v>0</v>
      </c>
      <c r="AE790">
        <v>0</v>
      </c>
      <c r="AF790">
        <v>0</v>
      </c>
      <c r="AG790">
        <v>6.8710000000000004</v>
      </c>
      <c r="AH790">
        <v>82.46</v>
      </c>
      <c r="AI790" t="s">
        <v>22</v>
      </c>
      <c r="AJ790">
        <v>232.5</v>
      </c>
      <c r="AK790">
        <v>742.5</v>
      </c>
      <c r="AL790">
        <v>130</v>
      </c>
      <c r="AM790">
        <v>2.5</v>
      </c>
      <c r="AN790">
        <v>2.5</v>
      </c>
      <c r="AO790">
        <v>0</v>
      </c>
      <c r="AP790">
        <v>0</v>
      </c>
      <c r="AQ790">
        <v>0</v>
      </c>
      <c r="AR790">
        <v>0</v>
      </c>
      <c r="AS790">
        <v>27.5</v>
      </c>
      <c r="AT790">
        <v>1137.5</v>
      </c>
      <c r="AU790" t="s">
        <v>34</v>
      </c>
    </row>
    <row r="791" spans="1:47" x14ac:dyDescent="0.2">
      <c r="A791">
        <v>158</v>
      </c>
      <c r="B791" t="s">
        <v>156</v>
      </c>
      <c r="C791">
        <v>1010</v>
      </c>
      <c r="D791" t="s">
        <v>158</v>
      </c>
      <c r="G791" t="str">
        <f t="shared" si="12"/>
        <v>COMIDA101010WR1</v>
      </c>
      <c r="H791">
        <v>71.269490000000005</v>
      </c>
      <c r="I791">
        <v>-160.71569</v>
      </c>
      <c r="J791" s="3">
        <v>20100810</v>
      </c>
      <c r="K791">
        <v>2010</v>
      </c>
      <c r="L791">
        <v>7.2727899999999996</v>
      </c>
      <c r="M791">
        <v>2.1871399999999999</v>
      </c>
      <c r="N791">
        <v>2.1347100000000001</v>
      </c>
      <c r="O791">
        <v>7.7242499999999996</v>
      </c>
      <c r="P791">
        <v>0.42902000000000001</v>
      </c>
      <c r="Q791">
        <v>0</v>
      </c>
      <c r="R791">
        <v>0.37215999999999999</v>
      </c>
      <c r="S791">
        <v>0</v>
      </c>
      <c r="T791">
        <v>0</v>
      </c>
      <c r="U791">
        <v>1.2084699999999999</v>
      </c>
      <c r="V791">
        <v>21.32854</v>
      </c>
      <c r="W791" t="s">
        <v>12</v>
      </c>
      <c r="X791">
        <v>103.10899999999999</v>
      </c>
      <c r="Y791">
        <v>68.343000000000004</v>
      </c>
      <c r="Z791">
        <v>29.983000000000001</v>
      </c>
      <c r="AA791">
        <v>171.65</v>
      </c>
      <c r="AB791">
        <v>30.643999999999998</v>
      </c>
      <c r="AC791">
        <v>0</v>
      </c>
      <c r="AD791">
        <v>6.101</v>
      </c>
      <c r="AE791">
        <v>0</v>
      </c>
      <c r="AF791">
        <v>0</v>
      </c>
      <c r="AG791">
        <v>48.445</v>
      </c>
      <c r="AH791">
        <v>458.27499999999998</v>
      </c>
      <c r="AI791" t="s">
        <v>24</v>
      </c>
      <c r="AJ791">
        <v>4805</v>
      </c>
      <c r="AK791">
        <v>245</v>
      </c>
      <c r="AL791">
        <v>1970</v>
      </c>
      <c r="AM791">
        <v>20</v>
      </c>
      <c r="AN791">
        <v>100</v>
      </c>
      <c r="AO791">
        <v>0</v>
      </c>
      <c r="AP791">
        <v>5</v>
      </c>
      <c r="AQ791">
        <v>0</v>
      </c>
      <c r="AR791">
        <v>0</v>
      </c>
      <c r="AS791">
        <v>135</v>
      </c>
      <c r="AT791">
        <v>7280</v>
      </c>
      <c r="AU791" t="s">
        <v>33</v>
      </c>
    </row>
    <row r="792" spans="1:47" x14ac:dyDescent="0.2">
      <c r="A792">
        <v>159</v>
      </c>
      <c r="B792" t="s">
        <v>156</v>
      </c>
      <c r="C792">
        <v>1013</v>
      </c>
      <c r="D792" t="s">
        <v>159</v>
      </c>
      <c r="G792" t="str">
        <f t="shared" si="12"/>
        <v>COMIDA101013HSH2</v>
      </c>
      <c r="H792">
        <v>71.933300000000003</v>
      </c>
      <c r="I792">
        <v>-162.66799</v>
      </c>
      <c r="J792" s="3">
        <v>20100805</v>
      </c>
      <c r="K792">
        <v>2010</v>
      </c>
      <c r="L792">
        <v>2.3666900000000002</v>
      </c>
      <c r="M792">
        <v>25.12302</v>
      </c>
      <c r="N792">
        <v>0.19292000000000001</v>
      </c>
      <c r="O792">
        <v>2.3454000000000002</v>
      </c>
      <c r="P792">
        <v>0.48658000000000001</v>
      </c>
      <c r="Q792">
        <v>0</v>
      </c>
      <c r="R792">
        <v>0</v>
      </c>
      <c r="S792">
        <v>7.4130000000000001E-2</v>
      </c>
      <c r="T792">
        <v>0</v>
      </c>
      <c r="U792">
        <v>0.55696000000000001</v>
      </c>
      <c r="V792">
        <v>31.145700000000001</v>
      </c>
      <c r="W792" t="s">
        <v>10</v>
      </c>
      <c r="X792">
        <v>32.293999999999997</v>
      </c>
      <c r="Y792">
        <v>700.56399999999996</v>
      </c>
      <c r="Z792">
        <v>2.7749999999999999</v>
      </c>
      <c r="AA792">
        <v>52.12</v>
      </c>
      <c r="AB792">
        <v>34.756</v>
      </c>
      <c r="AC792">
        <v>0</v>
      </c>
      <c r="AD792">
        <v>0</v>
      </c>
      <c r="AE792">
        <v>5.2949999999999999</v>
      </c>
      <c r="AF792">
        <v>0</v>
      </c>
      <c r="AG792">
        <v>6.8680000000000003</v>
      </c>
      <c r="AH792">
        <v>834.67200000000003</v>
      </c>
      <c r="AI792" t="s">
        <v>22</v>
      </c>
      <c r="AJ792">
        <v>1315</v>
      </c>
      <c r="AK792">
        <v>1255</v>
      </c>
      <c r="AL792">
        <v>320</v>
      </c>
      <c r="AM792">
        <v>25</v>
      </c>
      <c r="AN792">
        <v>15</v>
      </c>
      <c r="AO792">
        <v>0</v>
      </c>
      <c r="AP792">
        <v>0</v>
      </c>
      <c r="AQ792">
        <v>10</v>
      </c>
      <c r="AR792">
        <v>0</v>
      </c>
      <c r="AS792">
        <v>150</v>
      </c>
      <c r="AT792">
        <v>3090</v>
      </c>
      <c r="AU792" t="s">
        <v>33</v>
      </c>
    </row>
    <row r="793" spans="1:47" x14ac:dyDescent="0.2">
      <c r="A793">
        <v>160</v>
      </c>
      <c r="B793" t="s">
        <v>156</v>
      </c>
      <c r="C793">
        <v>1014</v>
      </c>
      <c r="D793" t="s">
        <v>160</v>
      </c>
      <c r="G793" t="str">
        <f t="shared" si="12"/>
        <v>COMIDA1010141CP1</v>
      </c>
      <c r="H793">
        <v>70.83999</v>
      </c>
      <c r="I793">
        <v>-163.29098999999999</v>
      </c>
      <c r="J793" s="3">
        <v>20100801</v>
      </c>
      <c r="K793">
        <v>2010</v>
      </c>
      <c r="L793">
        <v>10.64706</v>
      </c>
      <c r="M793">
        <v>3.0797500000000002</v>
      </c>
      <c r="N793">
        <v>0.10038999999999999</v>
      </c>
      <c r="O793">
        <v>0.37813000000000002</v>
      </c>
      <c r="P793">
        <v>0.68584999999999996</v>
      </c>
      <c r="Q793">
        <v>0</v>
      </c>
      <c r="R793">
        <v>7.0200000000000002E-3</v>
      </c>
      <c r="S793">
        <v>0</v>
      </c>
      <c r="T793">
        <v>0</v>
      </c>
      <c r="U793">
        <v>1.87998</v>
      </c>
      <c r="V793">
        <v>16.778179999999999</v>
      </c>
      <c r="W793" t="s">
        <v>9</v>
      </c>
      <c r="X793">
        <v>153.387</v>
      </c>
      <c r="Y793">
        <v>183.511</v>
      </c>
      <c r="Z793">
        <v>1.397</v>
      </c>
      <c r="AA793">
        <v>8.4030000000000005</v>
      </c>
      <c r="AB793">
        <v>48.988999999999997</v>
      </c>
      <c r="AC793">
        <v>0</v>
      </c>
      <c r="AD793">
        <v>0.115</v>
      </c>
      <c r="AE793">
        <v>0</v>
      </c>
      <c r="AF793">
        <v>0</v>
      </c>
      <c r="AG793">
        <v>38.966000000000001</v>
      </c>
      <c r="AH793">
        <v>434.76799999999997</v>
      </c>
      <c r="AI793" t="s">
        <v>22</v>
      </c>
      <c r="AJ793">
        <v>525</v>
      </c>
      <c r="AK793">
        <v>485</v>
      </c>
      <c r="AL793">
        <v>445</v>
      </c>
      <c r="AM793">
        <v>60</v>
      </c>
      <c r="AN793">
        <v>70</v>
      </c>
      <c r="AO793">
        <v>0</v>
      </c>
      <c r="AP793">
        <v>5</v>
      </c>
      <c r="AQ793">
        <v>0</v>
      </c>
      <c r="AR793">
        <v>0</v>
      </c>
      <c r="AS793">
        <v>75</v>
      </c>
      <c r="AT793">
        <v>1665</v>
      </c>
      <c r="AU793" t="s">
        <v>33</v>
      </c>
    </row>
    <row r="794" spans="1:47" x14ac:dyDescent="0.2">
      <c r="A794">
        <v>161</v>
      </c>
      <c r="B794" t="s">
        <v>156</v>
      </c>
      <c r="C794">
        <v>1015</v>
      </c>
      <c r="D794" t="s">
        <v>161</v>
      </c>
      <c r="G794" t="str">
        <f t="shared" si="12"/>
        <v>COMIDA101015B12</v>
      </c>
      <c r="H794">
        <v>71.250789999999995</v>
      </c>
      <c r="I794">
        <v>-163.1968</v>
      </c>
      <c r="J794" s="3">
        <v>20100811</v>
      </c>
      <c r="K794">
        <v>2010</v>
      </c>
      <c r="L794">
        <v>2.77895</v>
      </c>
      <c r="M794">
        <v>0.87919000000000003</v>
      </c>
      <c r="N794">
        <v>0.25241000000000002</v>
      </c>
      <c r="O794">
        <v>1.8708800000000001</v>
      </c>
      <c r="P794">
        <v>0.13639999999999999</v>
      </c>
      <c r="Q794">
        <v>0</v>
      </c>
      <c r="R794">
        <v>4.6640000000000001E-2</v>
      </c>
      <c r="S794">
        <v>0</v>
      </c>
      <c r="T794">
        <v>0</v>
      </c>
      <c r="U794">
        <v>1.1834199999999999</v>
      </c>
      <c r="V794">
        <v>7.1478900000000003</v>
      </c>
      <c r="W794" t="s">
        <v>9</v>
      </c>
      <c r="X794">
        <v>40.57</v>
      </c>
      <c r="Y794">
        <v>22.934999999999999</v>
      </c>
      <c r="Z794">
        <v>3.4390000000000001</v>
      </c>
      <c r="AA794">
        <v>41.575000000000003</v>
      </c>
      <c r="AB794">
        <v>9.7430000000000003</v>
      </c>
      <c r="AC794">
        <v>0</v>
      </c>
      <c r="AD794">
        <v>1.1659999999999999</v>
      </c>
      <c r="AE794">
        <v>0</v>
      </c>
      <c r="AF794">
        <v>0</v>
      </c>
      <c r="AG794">
        <v>16.52</v>
      </c>
      <c r="AH794">
        <v>135.94800000000001</v>
      </c>
      <c r="AI794" t="s">
        <v>24</v>
      </c>
      <c r="AJ794">
        <v>495</v>
      </c>
      <c r="AK794">
        <v>310</v>
      </c>
      <c r="AL794">
        <v>1140</v>
      </c>
      <c r="AM794">
        <v>25</v>
      </c>
      <c r="AN794">
        <v>25</v>
      </c>
      <c r="AO794">
        <v>0</v>
      </c>
      <c r="AP794">
        <v>5</v>
      </c>
      <c r="AQ794">
        <v>0</v>
      </c>
      <c r="AR794">
        <v>0</v>
      </c>
      <c r="AS794">
        <v>75</v>
      </c>
      <c r="AT794">
        <v>2075</v>
      </c>
      <c r="AU794" t="s">
        <v>35</v>
      </c>
    </row>
    <row r="795" spans="1:47" x14ac:dyDescent="0.2">
      <c r="A795">
        <v>162</v>
      </c>
      <c r="B795" t="s">
        <v>156</v>
      </c>
      <c r="C795">
        <v>1030</v>
      </c>
      <c r="D795" t="s">
        <v>162</v>
      </c>
      <c r="G795" t="str">
        <f t="shared" si="12"/>
        <v>COMIDA101030N/A</v>
      </c>
      <c r="H795">
        <v>72.103300000000004</v>
      </c>
      <c r="I795">
        <v>-165.45559</v>
      </c>
      <c r="J795" s="3">
        <v>20100806</v>
      </c>
      <c r="K795">
        <v>2010</v>
      </c>
      <c r="L795">
        <v>6.4698000000000002</v>
      </c>
      <c r="M795">
        <v>6.3961100000000002</v>
      </c>
      <c r="N795">
        <v>0.13239000000000001</v>
      </c>
      <c r="O795">
        <v>3.06725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1.737E-2</v>
      </c>
      <c r="V795">
        <v>16.082920000000001</v>
      </c>
      <c r="W795" t="s">
        <v>9</v>
      </c>
      <c r="X795">
        <v>91.28</v>
      </c>
      <c r="Y795">
        <v>257.57299999999998</v>
      </c>
      <c r="Z795">
        <v>1.8779999999999999</v>
      </c>
      <c r="AA795">
        <v>68.161000000000001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0.35899999999999999</v>
      </c>
      <c r="AH795">
        <v>419.25099999999998</v>
      </c>
      <c r="AI795" t="s">
        <v>22</v>
      </c>
      <c r="AJ795">
        <v>150</v>
      </c>
      <c r="AK795">
        <v>295</v>
      </c>
      <c r="AL795">
        <v>80</v>
      </c>
      <c r="AM795">
        <v>5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30</v>
      </c>
      <c r="AT795">
        <v>560</v>
      </c>
      <c r="AU795" t="s">
        <v>34</v>
      </c>
    </row>
    <row r="796" spans="1:47" x14ac:dyDescent="0.2">
      <c r="A796">
        <v>163</v>
      </c>
      <c r="B796" t="s">
        <v>156</v>
      </c>
      <c r="C796">
        <v>105</v>
      </c>
      <c r="D796" t="s">
        <v>163</v>
      </c>
      <c r="G796" t="str">
        <f t="shared" si="12"/>
        <v>COMIDA10105Detritus</v>
      </c>
      <c r="H796">
        <v>68.973799999999997</v>
      </c>
      <c r="I796">
        <v>-168.94488999999999</v>
      </c>
      <c r="J796" s="3">
        <v>20100727</v>
      </c>
      <c r="K796">
        <v>2010</v>
      </c>
      <c r="L796">
        <v>1.7505599999999999</v>
      </c>
      <c r="M796">
        <v>3.9226200000000002</v>
      </c>
      <c r="N796">
        <v>0.152</v>
      </c>
      <c r="O796">
        <v>0</v>
      </c>
      <c r="P796">
        <v>2.1099999999999999E-3</v>
      </c>
      <c r="Q796">
        <v>0</v>
      </c>
      <c r="R796">
        <v>0</v>
      </c>
      <c r="S796">
        <v>0</v>
      </c>
      <c r="T796">
        <v>0</v>
      </c>
      <c r="U796">
        <v>0.42374000000000001</v>
      </c>
      <c r="V796">
        <v>6.2510300000000001</v>
      </c>
      <c r="W796" t="s">
        <v>10</v>
      </c>
      <c r="X796">
        <v>28.274000000000001</v>
      </c>
      <c r="Y796">
        <v>112.70099999999999</v>
      </c>
      <c r="Z796">
        <v>1.8779999999999999</v>
      </c>
      <c r="AA796">
        <v>0</v>
      </c>
      <c r="AB796">
        <v>0.151</v>
      </c>
      <c r="AC796">
        <v>0</v>
      </c>
      <c r="AD796">
        <v>0</v>
      </c>
      <c r="AE796">
        <v>0</v>
      </c>
      <c r="AF796">
        <v>0</v>
      </c>
      <c r="AG796">
        <v>4.5940000000000003</v>
      </c>
      <c r="AH796">
        <v>147.59800000000001</v>
      </c>
      <c r="AI796" t="s">
        <v>22</v>
      </c>
      <c r="AJ796">
        <v>100</v>
      </c>
      <c r="AK796">
        <v>1540</v>
      </c>
      <c r="AL796">
        <v>35</v>
      </c>
      <c r="AM796">
        <v>0</v>
      </c>
      <c r="AN796">
        <v>40</v>
      </c>
      <c r="AO796">
        <v>0</v>
      </c>
      <c r="AP796">
        <v>0</v>
      </c>
      <c r="AQ796">
        <v>0</v>
      </c>
      <c r="AR796">
        <v>0</v>
      </c>
      <c r="AS796">
        <v>35</v>
      </c>
      <c r="AT796">
        <v>1750</v>
      </c>
      <c r="AU796" t="s">
        <v>34</v>
      </c>
    </row>
    <row r="797" spans="1:47" x14ac:dyDescent="0.2">
      <c r="A797">
        <v>164</v>
      </c>
      <c r="B797" t="s">
        <v>156</v>
      </c>
      <c r="C797">
        <v>106</v>
      </c>
      <c r="D797" t="s">
        <v>164</v>
      </c>
      <c r="G797" t="str">
        <f t="shared" si="12"/>
        <v>COMIDA10106CBL2.8</v>
      </c>
      <c r="H797">
        <v>69.885199999999998</v>
      </c>
      <c r="I797">
        <v>-167.73729</v>
      </c>
      <c r="J797" s="3">
        <v>20100728</v>
      </c>
      <c r="K797">
        <v>2010</v>
      </c>
      <c r="L797">
        <v>6.6281299999999996</v>
      </c>
      <c r="M797">
        <v>0.15892000000000001</v>
      </c>
      <c r="N797">
        <v>0.23200000000000001</v>
      </c>
      <c r="O797">
        <v>7.1518100000000002</v>
      </c>
      <c r="P797">
        <v>0.10947999999999999</v>
      </c>
      <c r="Q797">
        <v>0</v>
      </c>
      <c r="R797">
        <v>1.1153900000000001</v>
      </c>
      <c r="S797">
        <v>0</v>
      </c>
      <c r="T797">
        <v>0</v>
      </c>
      <c r="U797">
        <v>0.41837000000000002</v>
      </c>
      <c r="V797">
        <v>15.8141</v>
      </c>
      <c r="W797" t="s">
        <v>12</v>
      </c>
      <c r="X797">
        <v>98.37</v>
      </c>
      <c r="Y797">
        <v>4.415</v>
      </c>
      <c r="Z797">
        <v>3.2170000000000001</v>
      </c>
      <c r="AA797">
        <v>158.929</v>
      </c>
      <c r="AB797">
        <v>7.82</v>
      </c>
      <c r="AC797">
        <v>0</v>
      </c>
      <c r="AD797">
        <v>18.285</v>
      </c>
      <c r="AE797">
        <v>0</v>
      </c>
      <c r="AF797">
        <v>0</v>
      </c>
      <c r="AG797">
        <v>38.451000000000001</v>
      </c>
      <c r="AH797">
        <v>329.48700000000002</v>
      </c>
      <c r="AI797" t="s">
        <v>24</v>
      </c>
      <c r="AJ797">
        <v>1255</v>
      </c>
      <c r="AK797">
        <v>115</v>
      </c>
      <c r="AL797">
        <v>1215</v>
      </c>
      <c r="AM797">
        <v>150</v>
      </c>
      <c r="AN797">
        <v>365</v>
      </c>
      <c r="AO797">
        <v>0</v>
      </c>
      <c r="AP797">
        <v>5</v>
      </c>
      <c r="AQ797">
        <v>0</v>
      </c>
      <c r="AR797">
        <v>0</v>
      </c>
      <c r="AS797">
        <v>130</v>
      </c>
      <c r="AT797">
        <v>3235</v>
      </c>
      <c r="AU797" t="s">
        <v>33</v>
      </c>
    </row>
    <row r="798" spans="1:47" x14ac:dyDescent="0.2">
      <c r="A798">
        <v>165</v>
      </c>
      <c r="B798" t="s">
        <v>156</v>
      </c>
      <c r="C798">
        <v>107</v>
      </c>
      <c r="D798" t="s">
        <v>165</v>
      </c>
      <c r="G798" t="str">
        <f t="shared" si="12"/>
        <v>COMIDA10107CBL8.3</v>
      </c>
      <c r="H798">
        <v>70.085790000000003</v>
      </c>
      <c r="I798">
        <v>-166.4554</v>
      </c>
      <c r="J798" s="3">
        <v>20100729</v>
      </c>
      <c r="K798">
        <v>2010</v>
      </c>
      <c r="L798">
        <v>4.5621999999999998</v>
      </c>
      <c r="M798">
        <v>0.97331000000000001</v>
      </c>
      <c r="N798">
        <v>3.7580000000000002E-2</v>
      </c>
      <c r="O798">
        <v>0</v>
      </c>
      <c r="P798">
        <v>3.968E-2</v>
      </c>
      <c r="Q798">
        <v>0</v>
      </c>
      <c r="R798">
        <v>0</v>
      </c>
      <c r="S798">
        <v>0</v>
      </c>
      <c r="T798">
        <v>0</v>
      </c>
      <c r="U798">
        <v>5.67E-2</v>
      </c>
      <c r="V798">
        <v>5.6694699999999996</v>
      </c>
      <c r="W798" t="s">
        <v>9</v>
      </c>
      <c r="X798">
        <v>66.144999999999996</v>
      </c>
      <c r="Y798">
        <v>46.695999999999998</v>
      </c>
      <c r="Z798">
        <v>0.54800000000000004</v>
      </c>
      <c r="AA798">
        <v>0</v>
      </c>
      <c r="AB798">
        <v>2.8340000000000001</v>
      </c>
      <c r="AC798">
        <v>0</v>
      </c>
      <c r="AD798">
        <v>0</v>
      </c>
      <c r="AE798">
        <v>0</v>
      </c>
      <c r="AF798">
        <v>0</v>
      </c>
      <c r="AG798">
        <v>2.012</v>
      </c>
      <c r="AH798">
        <v>118.235</v>
      </c>
      <c r="AI798" t="s">
        <v>21</v>
      </c>
      <c r="AJ798">
        <v>345</v>
      </c>
      <c r="AK798">
        <v>185</v>
      </c>
      <c r="AL798">
        <v>115</v>
      </c>
      <c r="AM798">
        <v>0</v>
      </c>
      <c r="AN798">
        <v>20</v>
      </c>
      <c r="AO798">
        <v>0</v>
      </c>
      <c r="AP798">
        <v>0</v>
      </c>
      <c r="AQ798">
        <v>0</v>
      </c>
      <c r="AR798">
        <v>0</v>
      </c>
      <c r="AS798">
        <v>50</v>
      </c>
      <c r="AT798">
        <v>715</v>
      </c>
      <c r="AU798" t="s">
        <v>33</v>
      </c>
    </row>
    <row r="799" spans="1:47" x14ac:dyDescent="0.2">
      <c r="A799">
        <v>166</v>
      </c>
      <c r="B799" t="s">
        <v>156</v>
      </c>
      <c r="C799">
        <v>108</v>
      </c>
      <c r="D799" t="s">
        <v>166</v>
      </c>
      <c r="G799" t="str">
        <f t="shared" si="12"/>
        <v>COMIDA10108HSH1</v>
      </c>
      <c r="H799">
        <v>72.100589999999997</v>
      </c>
      <c r="I799">
        <v>-162.97540000000001</v>
      </c>
      <c r="J799" s="3">
        <v>20100805</v>
      </c>
      <c r="K799">
        <v>2010</v>
      </c>
      <c r="L799">
        <v>1.4112800000000001</v>
      </c>
      <c r="M799">
        <v>0.53559999999999997</v>
      </c>
      <c r="N799">
        <v>0.12681999999999999</v>
      </c>
      <c r="O799">
        <v>0</v>
      </c>
      <c r="P799">
        <v>4.0000000000000003E-5</v>
      </c>
      <c r="Q799">
        <v>0</v>
      </c>
      <c r="R799">
        <v>6.0999999999999997E-4</v>
      </c>
      <c r="S799">
        <v>0</v>
      </c>
      <c r="T799">
        <v>0</v>
      </c>
      <c r="U799">
        <v>4.1939999999999998E-2</v>
      </c>
      <c r="V799">
        <v>2.1162899999999998</v>
      </c>
      <c r="W799" t="s">
        <v>9</v>
      </c>
      <c r="X799">
        <v>20.638000000000002</v>
      </c>
      <c r="Y799">
        <v>28.638000000000002</v>
      </c>
      <c r="Z799">
        <v>1.825</v>
      </c>
      <c r="AA799">
        <v>0</v>
      </c>
      <c r="AB799">
        <v>3.0000000000000001E-3</v>
      </c>
      <c r="AC799">
        <v>0</v>
      </c>
      <c r="AD799">
        <v>0.01</v>
      </c>
      <c r="AE799">
        <v>0</v>
      </c>
      <c r="AF799">
        <v>0</v>
      </c>
      <c r="AG799">
        <v>0.58299999999999996</v>
      </c>
      <c r="AH799">
        <v>51.697000000000003</v>
      </c>
      <c r="AI799" t="s">
        <v>22</v>
      </c>
      <c r="AJ799">
        <v>350</v>
      </c>
      <c r="AK799">
        <v>310</v>
      </c>
      <c r="AL799">
        <v>145</v>
      </c>
      <c r="AM799">
        <v>0</v>
      </c>
      <c r="AN799">
        <v>5</v>
      </c>
      <c r="AO799">
        <v>0</v>
      </c>
      <c r="AP799">
        <v>0</v>
      </c>
      <c r="AQ799">
        <v>0</v>
      </c>
      <c r="AR799">
        <v>0</v>
      </c>
      <c r="AS799">
        <v>70</v>
      </c>
      <c r="AT799">
        <v>880</v>
      </c>
      <c r="AU799" t="s">
        <v>33</v>
      </c>
    </row>
    <row r="800" spans="1:47" x14ac:dyDescent="0.2">
      <c r="A800">
        <v>167</v>
      </c>
      <c r="B800" t="s">
        <v>156</v>
      </c>
      <c r="C800">
        <v>109</v>
      </c>
      <c r="D800" t="s">
        <v>167</v>
      </c>
      <c r="G800" t="str">
        <f t="shared" si="12"/>
        <v>COMIDA10109HS2</v>
      </c>
      <c r="H800">
        <v>72.103800000000007</v>
      </c>
      <c r="I800">
        <v>-161.18950000000001</v>
      </c>
      <c r="J800" s="3">
        <v>20100804</v>
      </c>
      <c r="K800">
        <v>2010</v>
      </c>
      <c r="L800">
        <v>1.32</v>
      </c>
      <c r="M800">
        <v>2.3950800000000001</v>
      </c>
      <c r="N800">
        <v>0.4229</v>
      </c>
      <c r="O800">
        <v>0.15232999999999999</v>
      </c>
      <c r="P800">
        <v>0</v>
      </c>
      <c r="Q800">
        <v>0</v>
      </c>
      <c r="R800">
        <v>3.8609999999999998E-2</v>
      </c>
      <c r="S800">
        <v>3.8739999999999997E-2</v>
      </c>
      <c r="T800">
        <v>0</v>
      </c>
      <c r="U800">
        <v>4.9099999999999998E-2</v>
      </c>
      <c r="V800">
        <v>4.41676</v>
      </c>
      <c r="W800" t="s">
        <v>10</v>
      </c>
      <c r="X800">
        <v>18.954000000000001</v>
      </c>
      <c r="Y800">
        <v>84.156000000000006</v>
      </c>
      <c r="Z800">
        <v>6.0149999999999997</v>
      </c>
      <c r="AA800">
        <v>3.3849999999999998</v>
      </c>
      <c r="AB800">
        <v>0</v>
      </c>
      <c r="AC800">
        <v>0</v>
      </c>
      <c r="AD800">
        <v>0.63300000000000001</v>
      </c>
      <c r="AE800">
        <v>2.21</v>
      </c>
      <c r="AF800">
        <v>0</v>
      </c>
      <c r="AG800">
        <v>3.8439999999999999</v>
      </c>
      <c r="AH800">
        <v>119.197</v>
      </c>
      <c r="AI800" t="s">
        <v>22</v>
      </c>
      <c r="AJ800">
        <v>2205</v>
      </c>
      <c r="AK800">
        <v>215</v>
      </c>
      <c r="AL800">
        <v>765</v>
      </c>
      <c r="AM800">
        <v>25</v>
      </c>
      <c r="AN800">
        <v>0</v>
      </c>
      <c r="AO800">
        <v>0</v>
      </c>
      <c r="AP800">
        <v>5</v>
      </c>
      <c r="AQ800">
        <v>25</v>
      </c>
      <c r="AR800">
        <v>0</v>
      </c>
      <c r="AS800">
        <v>65</v>
      </c>
      <c r="AT800">
        <v>3305</v>
      </c>
      <c r="AU800" t="s">
        <v>33</v>
      </c>
    </row>
    <row r="801" spans="1:47" x14ac:dyDescent="0.2">
      <c r="A801">
        <v>168</v>
      </c>
      <c r="B801" t="s">
        <v>156</v>
      </c>
      <c r="C801">
        <v>15</v>
      </c>
      <c r="D801" t="s">
        <v>168</v>
      </c>
      <c r="G801" t="str">
        <f t="shared" si="12"/>
        <v>COMIDA1015UTX19</v>
      </c>
      <c r="H801">
        <v>71.021299999999997</v>
      </c>
      <c r="I801">
        <v>-164.255</v>
      </c>
      <c r="J801" s="3">
        <v>20100801</v>
      </c>
      <c r="K801">
        <v>2010</v>
      </c>
      <c r="L801">
        <v>10.284649999999999</v>
      </c>
      <c r="M801">
        <v>3.6767400000000001</v>
      </c>
      <c r="N801">
        <v>0.20327000000000001</v>
      </c>
      <c r="O801">
        <v>1.8849999999999999E-2</v>
      </c>
      <c r="P801">
        <v>0.27300000000000002</v>
      </c>
      <c r="Q801">
        <v>0</v>
      </c>
      <c r="R801">
        <v>9.7999999999999997E-4</v>
      </c>
      <c r="S801">
        <v>0</v>
      </c>
      <c r="T801">
        <v>0</v>
      </c>
      <c r="U801">
        <v>1.857E-2</v>
      </c>
      <c r="V801">
        <v>14.47606</v>
      </c>
      <c r="W801" t="s">
        <v>9</v>
      </c>
      <c r="X801">
        <v>150.80500000000001</v>
      </c>
      <c r="Y801">
        <v>227.196</v>
      </c>
      <c r="Z801">
        <v>2.754</v>
      </c>
      <c r="AA801">
        <v>0.41899999999999998</v>
      </c>
      <c r="AB801">
        <v>19.5</v>
      </c>
      <c r="AC801">
        <v>0</v>
      </c>
      <c r="AD801">
        <v>1.6E-2</v>
      </c>
      <c r="AE801">
        <v>0</v>
      </c>
      <c r="AF801">
        <v>0</v>
      </c>
      <c r="AG801">
        <v>0.89700000000000002</v>
      </c>
      <c r="AH801">
        <v>401.58699999999999</v>
      </c>
      <c r="AI801" t="s">
        <v>22</v>
      </c>
      <c r="AJ801">
        <v>895</v>
      </c>
      <c r="AK801">
        <v>457.5</v>
      </c>
      <c r="AL801">
        <v>1472.5</v>
      </c>
      <c r="AM801">
        <v>67.5</v>
      </c>
      <c r="AN801">
        <v>90</v>
      </c>
      <c r="AO801">
        <v>0</v>
      </c>
      <c r="AP801">
        <v>0</v>
      </c>
      <c r="AQ801">
        <v>0</v>
      </c>
      <c r="AR801">
        <v>0</v>
      </c>
      <c r="AS801">
        <v>77.5</v>
      </c>
      <c r="AT801">
        <v>3060</v>
      </c>
      <c r="AU801" t="s">
        <v>35</v>
      </c>
    </row>
    <row r="802" spans="1:47" x14ac:dyDescent="0.2">
      <c r="A802">
        <v>169</v>
      </c>
      <c r="B802" t="s">
        <v>156</v>
      </c>
      <c r="C802">
        <v>20</v>
      </c>
      <c r="D802" t="s">
        <v>169</v>
      </c>
      <c r="G802" t="str">
        <f t="shared" si="12"/>
        <v>COMIDA1020UTX21</v>
      </c>
      <c r="H802">
        <v>71.206699999999998</v>
      </c>
      <c r="I802">
        <v>-168.31129999999999</v>
      </c>
      <c r="J802" s="3">
        <v>20100808</v>
      </c>
      <c r="K802">
        <v>2010</v>
      </c>
      <c r="L802">
        <v>1.68875</v>
      </c>
      <c r="M802">
        <v>9.1571999999999996</v>
      </c>
      <c r="N802">
        <v>5.4099999999999999E-3</v>
      </c>
      <c r="O802">
        <v>0</v>
      </c>
      <c r="P802">
        <v>0</v>
      </c>
      <c r="Q802">
        <v>0</v>
      </c>
      <c r="R802">
        <v>1.34E-3</v>
      </c>
      <c r="S802">
        <v>0</v>
      </c>
      <c r="T802">
        <v>0</v>
      </c>
      <c r="U802">
        <v>2.0000000000000002E-5</v>
      </c>
      <c r="V802">
        <v>10.85272</v>
      </c>
      <c r="W802" t="s">
        <v>10</v>
      </c>
      <c r="X802">
        <v>25.196999999999999</v>
      </c>
      <c r="Y802">
        <v>422.96</v>
      </c>
      <c r="Z802">
        <v>5.8999999999999997E-2</v>
      </c>
      <c r="AA802">
        <v>0</v>
      </c>
      <c r="AB802">
        <v>0</v>
      </c>
      <c r="AC802">
        <v>0</v>
      </c>
      <c r="AD802">
        <v>2.1999999999999999E-2</v>
      </c>
      <c r="AE802">
        <v>0</v>
      </c>
      <c r="AF802">
        <v>0</v>
      </c>
      <c r="AG802">
        <v>2E-3</v>
      </c>
      <c r="AH802">
        <v>448.24</v>
      </c>
      <c r="AI802" t="s">
        <v>22</v>
      </c>
      <c r="AJ802">
        <v>172.5</v>
      </c>
      <c r="AK802">
        <v>487.5</v>
      </c>
      <c r="AL802">
        <v>5</v>
      </c>
      <c r="AM802">
        <v>0</v>
      </c>
      <c r="AN802">
        <v>0</v>
      </c>
      <c r="AO802">
        <v>0</v>
      </c>
      <c r="AP802">
        <v>2.5</v>
      </c>
      <c r="AQ802">
        <v>0</v>
      </c>
      <c r="AR802">
        <v>0</v>
      </c>
      <c r="AS802">
        <v>0</v>
      </c>
      <c r="AT802">
        <v>667.5</v>
      </c>
      <c r="AU802" t="s">
        <v>34</v>
      </c>
    </row>
    <row r="803" spans="1:47" x14ac:dyDescent="0.2">
      <c r="A803">
        <v>170</v>
      </c>
      <c r="B803" t="s">
        <v>156</v>
      </c>
      <c r="C803">
        <v>22</v>
      </c>
      <c r="D803" t="s">
        <v>170</v>
      </c>
      <c r="G803" t="str">
        <f t="shared" si="12"/>
        <v>COMIDA1022UTX17</v>
      </c>
      <c r="H803">
        <v>71.272090000000006</v>
      </c>
      <c r="I803">
        <v>-167.01438999999999</v>
      </c>
      <c r="J803" s="3">
        <v>20100731</v>
      </c>
      <c r="K803">
        <v>2010</v>
      </c>
      <c r="L803">
        <v>0.92949000000000004</v>
      </c>
      <c r="M803">
        <v>0.80079999999999996</v>
      </c>
      <c r="N803">
        <v>3.0949999999999998E-2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1.0499999999999999E-3</v>
      </c>
      <c r="V803">
        <v>1.7622899999999999</v>
      </c>
      <c r="W803" t="s">
        <v>9</v>
      </c>
      <c r="X803">
        <v>12.071</v>
      </c>
      <c r="Y803">
        <v>31.553000000000001</v>
      </c>
      <c r="Z803">
        <v>0.39400000000000002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3.9E-2</v>
      </c>
      <c r="AH803">
        <v>44.057000000000002</v>
      </c>
      <c r="AI803" t="s">
        <v>22</v>
      </c>
      <c r="AJ803">
        <v>52.5</v>
      </c>
      <c r="AK803">
        <v>457.5</v>
      </c>
      <c r="AL803">
        <v>62.5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12.5</v>
      </c>
      <c r="AT803">
        <v>585</v>
      </c>
      <c r="AU803" t="s">
        <v>34</v>
      </c>
    </row>
    <row r="804" spans="1:47" x14ac:dyDescent="0.2">
      <c r="A804">
        <v>171</v>
      </c>
      <c r="B804" t="s">
        <v>156</v>
      </c>
      <c r="C804">
        <v>24</v>
      </c>
      <c r="D804" t="s">
        <v>171</v>
      </c>
      <c r="G804" t="str">
        <f t="shared" si="12"/>
        <v>COMIDA1024UTX16</v>
      </c>
      <c r="H804">
        <v>71.249200000000002</v>
      </c>
      <c r="I804">
        <v>-165.44789</v>
      </c>
      <c r="J804" s="3">
        <v>20100801</v>
      </c>
      <c r="K804">
        <v>2010</v>
      </c>
      <c r="L804">
        <v>5.7690599999999996</v>
      </c>
      <c r="M804">
        <v>1.6249100000000001</v>
      </c>
      <c r="N804">
        <v>4.8469999999999999E-2</v>
      </c>
      <c r="O804">
        <v>3.8715799999999998</v>
      </c>
      <c r="P804">
        <v>3.2770000000000001E-2</v>
      </c>
      <c r="Q804">
        <v>0</v>
      </c>
      <c r="R804">
        <v>0</v>
      </c>
      <c r="S804">
        <v>5.8139999999999997E-2</v>
      </c>
      <c r="T804">
        <v>0</v>
      </c>
      <c r="U804">
        <v>3.066E-2</v>
      </c>
      <c r="V804">
        <v>11.435589999999999</v>
      </c>
      <c r="W804" t="s">
        <v>9</v>
      </c>
      <c r="X804">
        <v>82.025999999999996</v>
      </c>
      <c r="Y804">
        <v>51.478000000000002</v>
      </c>
      <c r="Z804">
        <v>0.61</v>
      </c>
      <c r="AA804">
        <v>86.034999999999997</v>
      </c>
      <c r="AB804">
        <v>2.3410000000000002</v>
      </c>
      <c r="AC804">
        <v>0</v>
      </c>
      <c r="AD804">
        <v>0</v>
      </c>
      <c r="AE804">
        <v>4.1529999999999996</v>
      </c>
      <c r="AF804">
        <v>0</v>
      </c>
      <c r="AG804">
        <v>2.4119999999999999</v>
      </c>
      <c r="AH804">
        <v>229.05500000000001</v>
      </c>
      <c r="AI804" t="s">
        <v>24</v>
      </c>
      <c r="AJ804">
        <v>327.5</v>
      </c>
      <c r="AK804">
        <v>402.5</v>
      </c>
      <c r="AL804">
        <v>102.5</v>
      </c>
      <c r="AM804">
        <v>17.5</v>
      </c>
      <c r="AN804">
        <v>2.5</v>
      </c>
      <c r="AO804">
        <v>0</v>
      </c>
      <c r="AP804">
        <v>0</v>
      </c>
      <c r="AQ804">
        <v>2.5</v>
      </c>
      <c r="AR804">
        <v>0</v>
      </c>
      <c r="AS804">
        <v>22.5</v>
      </c>
      <c r="AT804">
        <v>877.5</v>
      </c>
      <c r="AU804" t="s">
        <v>34</v>
      </c>
    </row>
    <row r="805" spans="1:47" x14ac:dyDescent="0.2">
      <c r="A805">
        <v>172</v>
      </c>
      <c r="B805" t="s">
        <v>156</v>
      </c>
      <c r="C805">
        <v>35</v>
      </c>
      <c r="D805" t="s">
        <v>172</v>
      </c>
      <c r="G805" t="str">
        <f t="shared" si="12"/>
        <v>COMIDA1035UTX10</v>
      </c>
      <c r="H805">
        <v>71.66919</v>
      </c>
      <c r="I805">
        <v>-166.91729000000001</v>
      </c>
      <c r="J805" s="3">
        <v>20100807</v>
      </c>
      <c r="K805">
        <v>2010</v>
      </c>
      <c r="L805">
        <v>0.14923</v>
      </c>
      <c r="M805">
        <v>2.2879999999999998</v>
      </c>
      <c r="N805">
        <v>1.736E-2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1.7099999999999999E-3</v>
      </c>
      <c r="V805">
        <v>2.4563000000000001</v>
      </c>
      <c r="W805" t="s">
        <v>10</v>
      </c>
      <c r="X805">
        <v>2.4740000000000002</v>
      </c>
      <c r="Y805">
        <v>110.791</v>
      </c>
      <c r="Z805">
        <v>0.252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7.0000000000000007E-2</v>
      </c>
      <c r="AH805">
        <v>113.587</v>
      </c>
      <c r="AI805" t="s">
        <v>22</v>
      </c>
      <c r="AJ805">
        <v>117.5</v>
      </c>
      <c r="AK805">
        <v>202.5</v>
      </c>
      <c r="AL805">
        <v>32.5</v>
      </c>
      <c r="AM805">
        <v>0</v>
      </c>
      <c r="AN805">
        <v>2.5</v>
      </c>
      <c r="AO805">
        <v>0</v>
      </c>
      <c r="AP805">
        <v>0</v>
      </c>
      <c r="AQ805">
        <v>0</v>
      </c>
      <c r="AR805">
        <v>0</v>
      </c>
      <c r="AS805">
        <v>5</v>
      </c>
      <c r="AT805">
        <v>360</v>
      </c>
      <c r="AU805" t="s">
        <v>34</v>
      </c>
    </row>
    <row r="806" spans="1:47" x14ac:dyDescent="0.2">
      <c r="A806">
        <v>173</v>
      </c>
      <c r="B806" t="s">
        <v>156</v>
      </c>
      <c r="C806">
        <v>38</v>
      </c>
      <c r="D806" t="s">
        <v>173</v>
      </c>
      <c r="G806" t="str">
        <f t="shared" si="12"/>
        <v>COMIDA1038UTX2</v>
      </c>
      <c r="H806">
        <v>71.92689</v>
      </c>
      <c r="I806">
        <v>-165.16079999999999</v>
      </c>
      <c r="J806" s="3">
        <v>20100806</v>
      </c>
      <c r="K806">
        <v>2010</v>
      </c>
      <c r="L806">
        <v>2.8122600000000002</v>
      </c>
      <c r="M806">
        <v>1.7926899999999999</v>
      </c>
      <c r="N806">
        <v>0.15645999999999999</v>
      </c>
      <c r="O806">
        <v>3.3603800000000001</v>
      </c>
      <c r="P806">
        <v>0</v>
      </c>
      <c r="Q806">
        <v>0</v>
      </c>
      <c r="R806">
        <v>1.89E-3</v>
      </c>
      <c r="S806">
        <v>8.8660000000000003E-2</v>
      </c>
      <c r="T806">
        <v>0</v>
      </c>
      <c r="U806">
        <v>1.7659999999999999E-2</v>
      </c>
      <c r="V806">
        <v>8.23</v>
      </c>
      <c r="W806" t="s">
        <v>12</v>
      </c>
      <c r="X806">
        <v>41.454999999999998</v>
      </c>
      <c r="Y806">
        <v>70.251999999999995</v>
      </c>
      <c r="Z806">
        <v>2.1520000000000001</v>
      </c>
      <c r="AA806">
        <v>74.674999999999997</v>
      </c>
      <c r="AB806">
        <v>0</v>
      </c>
      <c r="AC806">
        <v>0</v>
      </c>
      <c r="AD806">
        <v>3.1E-2</v>
      </c>
      <c r="AE806">
        <v>6.3330000000000002</v>
      </c>
      <c r="AF806">
        <v>0</v>
      </c>
      <c r="AG806">
        <v>0.375</v>
      </c>
      <c r="AH806">
        <v>195.273</v>
      </c>
      <c r="AI806" t="s">
        <v>24</v>
      </c>
      <c r="AJ806">
        <v>325</v>
      </c>
      <c r="AK806">
        <v>325</v>
      </c>
      <c r="AL806">
        <v>102.5</v>
      </c>
      <c r="AM806">
        <v>7.5</v>
      </c>
      <c r="AN806">
        <v>0</v>
      </c>
      <c r="AO806">
        <v>0</v>
      </c>
      <c r="AP806">
        <v>0</v>
      </c>
      <c r="AQ806">
        <v>2.5</v>
      </c>
      <c r="AR806">
        <v>0</v>
      </c>
      <c r="AS806">
        <v>72.5</v>
      </c>
      <c r="AT806">
        <v>835</v>
      </c>
      <c r="AU806" t="s">
        <v>33</v>
      </c>
    </row>
    <row r="807" spans="1:47" x14ac:dyDescent="0.2">
      <c r="A807">
        <v>174</v>
      </c>
      <c r="B807" t="s">
        <v>156</v>
      </c>
      <c r="C807">
        <v>40</v>
      </c>
      <c r="D807" t="s">
        <v>143</v>
      </c>
      <c r="G807" t="str">
        <f t="shared" si="12"/>
        <v>COMIDA1040UTX8</v>
      </c>
      <c r="H807">
        <v>71.725489999999994</v>
      </c>
      <c r="I807">
        <v>-163.45618999999999</v>
      </c>
      <c r="J807" s="3">
        <v>20100806</v>
      </c>
      <c r="K807">
        <v>2010</v>
      </c>
      <c r="L807">
        <v>1.31616</v>
      </c>
      <c r="M807">
        <v>7.6268700000000003</v>
      </c>
      <c r="N807">
        <v>0.13927</v>
      </c>
      <c r="O807">
        <v>0.33079999999999998</v>
      </c>
      <c r="P807">
        <v>2.7E-4</v>
      </c>
      <c r="Q807">
        <v>0</v>
      </c>
      <c r="R807">
        <v>1.0800000000000001E-2</v>
      </c>
      <c r="S807">
        <v>0</v>
      </c>
      <c r="T807">
        <v>0</v>
      </c>
      <c r="U807">
        <v>7.8469999999999998E-2</v>
      </c>
      <c r="V807">
        <v>9.5026399999999995</v>
      </c>
      <c r="W807" t="s">
        <v>10</v>
      </c>
      <c r="X807">
        <v>20.318000000000001</v>
      </c>
      <c r="Y807">
        <v>277.19099999999997</v>
      </c>
      <c r="Z807">
        <v>1.9730000000000001</v>
      </c>
      <c r="AA807">
        <v>7.351</v>
      </c>
      <c r="AB807">
        <v>1.9E-2</v>
      </c>
      <c r="AC807">
        <v>0</v>
      </c>
      <c r="AD807">
        <v>0.17699999999999999</v>
      </c>
      <c r="AE807">
        <v>0</v>
      </c>
      <c r="AF807">
        <v>0</v>
      </c>
      <c r="AG807">
        <v>1.097</v>
      </c>
      <c r="AH807">
        <v>308.12599999999998</v>
      </c>
      <c r="AI807" t="s">
        <v>22</v>
      </c>
      <c r="AJ807">
        <v>685</v>
      </c>
      <c r="AK807">
        <v>595</v>
      </c>
      <c r="AL807">
        <v>95</v>
      </c>
      <c r="AM807">
        <v>5</v>
      </c>
      <c r="AN807">
        <v>15</v>
      </c>
      <c r="AO807">
        <v>0</v>
      </c>
      <c r="AP807">
        <v>5</v>
      </c>
      <c r="AQ807">
        <v>0</v>
      </c>
      <c r="AR807">
        <v>0</v>
      </c>
      <c r="AS807">
        <v>75</v>
      </c>
      <c r="AT807">
        <v>1475</v>
      </c>
      <c r="AU807" t="s">
        <v>33</v>
      </c>
    </row>
    <row r="808" spans="1:47" x14ac:dyDescent="0.2">
      <c r="A808">
        <v>175</v>
      </c>
      <c r="B808" t="s">
        <v>156</v>
      </c>
      <c r="C808">
        <v>49</v>
      </c>
      <c r="D808" t="s">
        <v>174</v>
      </c>
      <c r="G808" t="str">
        <f t="shared" si="12"/>
        <v>COMIDA1049CBL17</v>
      </c>
      <c r="H808">
        <v>71.767399999999995</v>
      </c>
      <c r="I808">
        <v>-159.37298999999999</v>
      </c>
      <c r="J808" s="3">
        <v>20100804</v>
      </c>
      <c r="K808">
        <v>2010</v>
      </c>
      <c r="L808">
        <v>0.52425999999999995</v>
      </c>
      <c r="M808">
        <v>12.84939</v>
      </c>
      <c r="N808">
        <v>0.1699</v>
      </c>
      <c r="O808">
        <v>0.26329000000000002</v>
      </c>
      <c r="P808">
        <v>1.2999999999999999E-4</v>
      </c>
      <c r="Q808">
        <v>0</v>
      </c>
      <c r="R808">
        <v>3.6000000000000002E-4</v>
      </c>
      <c r="S808">
        <v>0</v>
      </c>
      <c r="T808">
        <v>0</v>
      </c>
      <c r="U808">
        <v>7.3849999999999999E-2</v>
      </c>
      <c r="V808">
        <v>13.881180000000001</v>
      </c>
      <c r="W808" t="s">
        <v>10</v>
      </c>
      <c r="X808">
        <v>9.82</v>
      </c>
      <c r="Y808">
        <v>365.01499999999999</v>
      </c>
      <c r="Z808">
        <v>2.4889999999999999</v>
      </c>
      <c r="AA808">
        <v>5.851</v>
      </c>
      <c r="AB808">
        <v>8.9999999999999993E-3</v>
      </c>
      <c r="AC808">
        <v>0</v>
      </c>
      <c r="AD808">
        <v>6.0000000000000001E-3</v>
      </c>
      <c r="AE808">
        <v>0</v>
      </c>
      <c r="AF808">
        <v>0</v>
      </c>
      <c r="AG808">
        <v>1.129</v>
      </c>
      <c r="AH808">
        <v>384.31900000000002</v>
      </c>
      <c r="AI808" t="s">
        <v>22</v>
      </c>
      <c r="AJ808">
        <v>227.5</v>
      </c>
      <c r="AK808">
        <v>1492.5</v>
      </c>
      <c r="AL808">
        <v>15</v>
      </c>
      <c r="AM808">
        <v>5</v>
      </c>
      <c r="AN808">
        <v>2.5</v>
      </c>
      <c r="AO808">
        <v>0</v>
      </c>
      <c r="AP808">
        <v>5</v>
      </c>
      <c r="AQ808">
        <v>0</v>
      </c>
      <c r="AR808">
        <v>0</v>
      </c>
      <c r="AS808">
        <v>67.5</v>
      </c>
      <c r="AT808">
        <v>1815</v>
      </c>
      <c r="AU808" t="s">
        <v>34</v>
      </c>
    </row>
    <row r="809" spans="1:47" x14ac:dyDescent="0.2">
      <c r="A809">
        <v>176</v>
      </c>
      <c r="B809" t="s">
        <v>156</v>
      </c>
      <c r="C809">
        <v>50</v>
      </c>
      <c r="D809" s="4" t="s">
        <v>375</v>
      </c>
      <c r="E809" s="4" t="s">
        <v>375</v>
      </c>
      <c r="F809" s="4" t="s">
        <v>175</v>
      </c>
      <c r="G809" t="str">
        <f t="shared" si="12"/>
        <v>COMIDA1050BarC5</v>
      </c>
      <c r="H809">
        <v>71.413799999999995</v>
      </c>
      <c r="I809">
        <v>-157.49090000000001</v>
      </c>
      <c r="J809" s="3">
        <v>20100812</v>
      </c>
      <c r="K809">
        <v>2010</v>
      </c>
      <c r="L809">
        <v>7.1619099999999998</v>
      </c>
      <c r="M809">
        <v>83.860969999999995</v>
      </c>
      <c r="N809">
        <v>2.17028</v>
      </c>
      <c r="O809">
        <v>31.65286</v>
      </c>
      <c r="P809">
        <v>2.8548499999999999</v>
      </c>
      <c r="Q809">
        <v>0</v>
      </c>
      <c r="R809">
        <v>2.1620900000000001</v>
      </c>
      <c r="S809">
        <v>0</v>
      </c>
      <c r="T809">
        <v>0</v>
      </c>
      <c r="U809">
        <v>4.6151799999999996</v>
      </c>
      <c r="V809">
        <v>134.47814</v>
      </c>
      <c r="W809" t="s">
        <v>10</v>
      </c>
      <c r="X809">
        <v>115.366</v>
      </c>
      <c r="Y809">
        <v>2976.8449999999998</v>
      </c>
      <c r="Z809">
        <v>28.898</v>
      </c>
      <c r="AA809">
        <v>703.39700000000005</v>
      </c>
      <c r="AB809">
        <v>203.91800000000001</v>
      </c>
      <c r="AC809">
        <v>0</v>
      </c>
      <c r="AD809">
        <v>35.969000000000001</v>
      </c>
      <c r="AE809">
        <v>0</v>
      </c>
      <c r="AF809">
        <v>0</v>
      </c>
      <c r="AG809">
        <v>79.277000000000001</v>
      </c>
      <c r="AH809">
        <v>4143.67</v>
      </c>
      <c r="AI809" t="s">
        <v>22</v>
      </c>
      <c r="AJ809">
        <v>5390</v>
      </c>
      <c r="AK809">
        <v>4625</v>
      </c>
      <c r="AL809">
        <v>8102.5</v>
      </c>
      <c r="AM809">
        <v>1290</v>
      </c>
      <c r="AN809">
        <v>320</v>
      </c>
      <c r="AO809">
        <v>0</v>
      </c>
      <c r="AP809">
        <v>2.5</v>
      </c>
      <c r="AQ809">
        <v>0</v>
      </c>
      <c r="AR809">
        <v>0</v>
      </c>
      <c r="AS809">
        <v>130</v>
      </c>
      <c r="AT809">
        <v>19860</v>
      </c>
      <c r="AU809" t="s">
        <v>35</v>
      </c>
    </row>
    <row r="810" spans="1:47" x14ac:dyDescent="0.2">
      <c r="A810">
        <v>177</v>
      </c>
      <c r="B810" t="s">
        <v>156</v>
      </c>
      <c r="C810">
        <v>6</v>
      </c>
      <c r="D810" t="s">
        <v>176</v>
      </c>
      <c r="G810" t="str">
        <f t="shared" si="12"/>
        <v>COMIDA106UTX29</v>
      </c>
      <c r="H810">
        <v>70.345089999999999</v>
      </c>
      <c r="I810">
        <v>-165.45039</v>
      </c>
      <c r="J810" s="3">
        <v>20100730</v>
      </c>
      <c r="K810">
        <v>2010</v>
      </c>
      <c r="L810">
        <v>1.12825</v>
      </c>
      <c r="M810">
        <v>6.6401399999999997</v>
      </c>
      <c r="N810">
        <v>0.10667</v>
      </c>
      <c r="O810">
        <v>0</v>
      </c>
      <c r="P810">
        <v>0.20050999999999999</v>
      </c>
      <c r="Q810">
        <v>0</v>
      </c>
      <c r="R810">
        <v>0</v>
      </c>
      <c r="S810">
        <v>0</v>
      </c>
      <c r="T810">
        <v>0</v>
      </c>
      <c r="U810">
        <v>2.3359999999999999E-2</v>
      </c>
      <c r="V810">
        <v>8.0989299999999993</v>
      </c>
      <c r="W810" t="s">
        <v>10</v>
      </c>
      <c r="X810">
        <v>16.542000000000002</v>
      </c>
      <c r="Y810">
        <v>268.00599999999997</v>
      </c>
      <c r="Z810">
        <v>1.518</v>
      </c>
      <c r="AA810">
        <v>0</v>
      </c>
      <c r="AB810">
        <v>14.321999999999999</v>
      </c>
      <c r="AC810">
        <v>0</v>
      </c>
      <c r="AD810">
        <v>0</v>
      </c>
      <c r="AE810">
        <v>0</v>
      </c>
      <c r="AF810">
        <v>0</v>
      </c>
      <c r="AG810">
        <v>0.92700000000000005</v>
      </c>
      <c r="AH810">
        <v>301.315</v>
      </c>
      <c r="AI810" t="s">
        <v>22</v>
      </c>
      <c r="AJ810">
        <v>442.5</v>
      </c>
      <c r="AK810">
        <v>240</v>
      </c>
      <c r="AL810">
        <v>305</v>
      </c>
      <c r="AM810">
        <v>0</v>
      </c>
      <c r="AN810">
        <v>12.5</v>
      </c>
      <c r="AO810">
        <v>0</v>
      </c>
      <c r="AP810">
        <v>0</v>
      </c>
      <c r="AQ810">
        <v>0</v>
      </c>
      <c r="AR810">
        <v>0</v>
      </c>
      <c r="AS810">
        <v>17.5</v>
      </c>
      <c r="AT810">
        <v>1017.5</v>
      </c>
      <c r="AU810" t="s">
        <v>33</v>
      </c>
    </row>
    <row r="811" spans="1:47" x14ac:dyDescent="0.2">
      <c r="A811">
        <v>178</v>
      </c>
      <c r="B811" t="s">
        <v>177</v>
      </c>
      <c r="C811">
        <v>1010</v>
      </c>
      <c r="D811" t="s">
        <v>158</v>
      </c>
      <c r="G811" t="str">
        <f t="shared" si="12"/>
        <v>COMIDA10_SS1010WR1</v>
      </c>
      <c r="H811">
        <v>71.269490000000005</v>
      </c>
      <c r="I811">
        <v>-160.71569</v>
      </c>
      <c r="J811" s="3">
        <v>20100810</v>
      </c>
      <c r="K811">
        <v>2010</v>
      </c>
      <c r="L811">
        <v>4.8718199999999996</v>
      </c>
      <c r="M811">
        <v>3.82362</v>
      </c>
      <c r="N811">
        <v>2.9594200000000002</v>
      </c>
      <c r="O811">
        <v>5.08073</v>
      </c>
      <c r="P811">
        <v>0.22239</v>
      </c>
      <c r="Q811">
        <v>0</v>
      </c>
      <c r="R811">
        <v>0.29646</v>
      </c>
      <c r="S811">
        <v>0.24002999999999999</v>
      </c>
      <c r="T811">
        <v>0.14787</v>
      </c>
      <c r="U811">
        <v>3.0359099999999999</v>
      </c>
      <c r="V811">
        <v>20.678249999999998</v>
      </c>
      <c r="W811" t="s">
        <v>12</v>
      </c>
      <c r="X811">
        <v>71.084999999999994</v>
      </c>
      <c r="Y811">
        <v>125.33</v>
      </c>
      <c r="Z811">
        <v>41.865000000000002</v>
      </c>
      <c r="AA811">
        <v>112.905</v>
      </c>
      <c r="AB811">
        <v>15.885</v>
      </c>
      <c r="AC811">
        <v>0</v>
      </c>
      <c r="AD811">
        <v>4.8600000000000003</v>
      </c>
      <c r="AE811">
        <v>17.145</v>
      </c>
      <c r="AF811">
        <v>1.59</v>
      </c>
      <c r="AG811">
        <v>143.12</v>
      </c>
      <c r="AH811">
        <v>533.78499999999997</v>
      </c>
      <c r="AI811" t="s">
        <v>30</v>
      </c>
      <c r="AJ811">
        <v>4335</v>
      </c>
      <c r="AK811">
        <v>300</v>
      </c>
      <c r="AL811">
        <v>1990</v>
      </c>
      <c r="AM811">
        <v>50</v>
      </c>
      <c r="AN811">
        <v>65</v>
      </c>
      <c r="AO811">
        <v>0</v>
      </c>
      <c r="AP811">
        <v>10</v>
      </c>
      <c r="AQ811">
        <v>20</v>
      </c>
      <c r="AR811">
        <v>25</v>
      </c>
      <c r="AS811">
        <v>380</v>
      </c>
      <c r="AT811">
        <v>7175</v>
      </c>
      <c r="AU811" t="s">
        <v>33</v>
      </c>
    </row>
    <row r="812" spans="1:47" x14ac:dyDescent="0.2">
      <c r="A812">
        <v>179</v>
      </c>
      <c r="B812" t="s">
        <v>177</v>
      </c>
      <c r="C812">
        <v>1013</v>
      </c>
      <c r="D812" t="s">
        <v>159</v>
      </c>
      <c r="G812" t="str">
        <f t="shared" si="12"/>
        <v>COMIDA10_SS1013HSH2</v>
      </c>
      <c r="H812">
        <v>71.933300000000003</v>
      </c>
      <c r="I812">
        <v>-162.66799</v>
      </c>
      <c r="J812" s="3">
        <v>20100805</v>
      </c>
      <c r="K812">
        <v>2010</v>
      </c>
      <c r="L812">
        <v>1.39364</v>
      </c>
      <c r="M812">
        <v>23.87546</v>
      </c>
      <c r="N812">
        <v>0.11346000000000001</v>
      </c>
      <c r="O812">
        <v>3.7082299999999999</v>
      </c>
      <c r="P812">
        <v>0.22364999999999999</v>
      </c>
      <c r="Q812">
        <v>0</v>
      </c>
      <c r="R812">
        <v>3.3250000000000002E-2</v>
      </c>
      <c r="S812">
        <v>0</v>
      </c>
      <c r="T812">
        <v>2.93E-2</v>
      </c>
      <c r="U812">
        <v>5.3530000000000001E-2</v>
      </c>
      <c r="V812">
        <v>29.430520000000001</v>
      </c>
      <c r="W812" t="s">
        <v>10</v>
      </c>
      <c r="X812">
        <v>20.02</v>
      </c>
      <c r="Y812">
        <v>743.08500000000004</v>
      </c>
      <c r="Z812">
        <v>1.65</v>
      </c>
      <c r="AA812">
        <v>82.405000000000001</v>
      </c>
      <c r="AB812">
        <v>15.975</v>
      </c>
      <c r="AC812">
        <v>0</v>
      </c>
      <c r="AD812">
        <v>0.54500000000000004</v>
      </c>
      <c r="AE812">
        <v>0</v>
      </c>
      <c r="AF812">
        <v>0.315</v>
      </c>
      <c r="AG812">
        <v>1.18</v>
      </c>
      <c r="AH812">
        <v>865.17499999999995</v>
      </c>
      <c r="AI812" t="s">
        <v>22</v>
      </c>
      <c r="AJ812">
        <v>990</v>
      </c>
      <c r="AK812">
        <v>875</v>
      </c>
      <c r="AL812">
        <v>100</v>
      </c>
      <c r="AM812">
        <v>30</v>
      </c>
      <c r="AN812">
        <v>5</v>
      </c>
      <c r="AO812">
        <v>0</v>
      </c>
      <c r="AP812">
        <v>5</v>
      </c>
      <c r="AQ812">
        <v>0</v>
      </c>
      <c r="AR812">
        <v>30</v>
      </c>
      <c r="AS812">
        <v>20</v>
      </c>
      <c r="AT812">
        <v>2055</v>
      </c>
      <c r="AU812" t="s">
        <v>33</v>
      </c>
    </row>
    <row r="813" spans="1:47" x14ac:dyDescent="0.2">
      <c r="A813">
        <v>180</v>
      </c>
      <c r="B813" t="s">
        <v>177</v>
      </c>
      <c r="C813">
        <v>1014</v>
      </c>
      <c r="D813" t="s">
        <v>160</v>
      </c>
      <c r="G813" t="str">
        <f t="shared" si="12"/>
        <v>COMIDA10_SS10141CP1</v>
      </c>
      <c r="H813">
        <v>70.83999</v>
      </c>
      <c r="I813">
        <v>-163.29098999999999</v>
      </c>
      <c r="J813" s="3">
        <v>20100801</v>
      </c>
      <c r="K813">
        <v>2010</v>
      </c>
      <c r="L813">
        <v>5.1333799999999998</v>
      </c>
      <c r="M813">
        <v>2.2292100000000001</v>
      </c>
      <c r="N813">
        <v>6.8559999999999996E-2</v>
      </c>
      <c r="O813">
        <v>0</v>
      </c>
      <c r="P813">
        <v>0.49510999999999999</v>
      </c>
      <c r="Q813">
        <v>0</v>
      </c>
      <c r="R813">
        <v>0</v>
      </c>
      <c r="S813">
        <v>0</v>
      </c>
      <c r="T813">
        <v>5.1619999999999999E-2</v>
      </c>
      <c r="U813">
        <v>1.702E-2</v>
      </c>
      <c r="V813">
        <v>7.9949000000000003</v>
      </c>
      <c r="W813" t="s">
        <v>9</v>
      </c>
      <c r="X813">
        <v>73.97</v>
      </c>
      <c r="Y813">
        <v>105.73</v>
      </c>
      <c r="Z813">
        <v>0.995</v>
      </c>
      <c r="AA813">
        <v>0</v>
      </c>
      <c r="AB813">
        <v>35.365000000000002</v>
      </c>
      <c r="AC813">
        <v>0</v>
      </c>
      <c r="AD813">
        <v>0</v>
      </c>
      <c r="AE813">
        <v>0</v>
      </c>
      <c r="AF813">
        <v>0.55500000000000005</v>
      </c>
      <c r="AG813">
        <v>0.37</v>
      </c>
      <c r="AH813">
        <v>216.98500000000001</v>
      </c>
      <c r="AI813" t="s">
        <v>22</v>
      </c>
      <c r="AJ813">
        <v>580</v>
      </c>
      <c r="AK813">
        <v>160</v>
      </c>
      <c r="AL813">
        <v>65</v>
      </c>
      <c r="AM813">
        <v>0</v>
      </c>
      <c r="AN813">
        <v>45</v>
      </c>
      <c r="AO813">
        <v>0</v>
      </c>
      <c r="AP813">
        <v>0</v>
      </c>
      <c r="AQ813">
        <v>0</v>
      </c>
      <c r="AR813">
        <v>10</v>
      </c>
      <c r="AS813">
        <v>10</v>
      </c>
      <c r="AT813">
        <v>870</v>
      </c>
      <c r="AU813" t="s">
        <v>33</v>
      </c>
    </row>
    <row r="814" spans="1:47" x14ac:dyDescent="0.2">
      <c r="A814">
        <v>181</v>
      </c>
      <c r="B814" t="s">
        <v>177</v>
      </c>
      <c r="C814">
        <v>1015</v>
      </c>
      <c r="D814" t="s">
        <v>161</v>
      </c>
      <c r="G814" t="str">
        <f t="shared" si="12"/>
        <v>COMIDA10_SS1015B12</v>
      </c>
      <c r="H814">
        <v>71.250789999999995</v>
      </c>
      <c r="I814">
        <v>-163.1968</v>
      </c>
      <c r="J814" s="3">
        <v>20100811</v>
      </c>
      <c r="K814">
        <v>2010</v>
      </c>
      <c r="L814">
        <v>2.4940699999999998</v>
      </c>
      <c r="M814">
        <v>2.3949400000000001</v>
      </c>
      <c r="N814">
        <v>0.47106999999999999</v>
      </c>
      <c r="O814">
        <v>2.07585</v>
      </c>
      <c r="P814">
        <v>0.48698999999999998</v>
      </c>
      <c r="Q814">
        <v>0</v>
      </c>
      <c r="R814">
        <v>0</v>
      </c>
      <c r="S814">
        <v>0</v>
      </c>
      <c r="T814">
        <v>0.58357999999999999</v>
      </c>
      <c r="U814">
        <v>7.6920000000000002E-2</v>
      </c>
      <c r="V814">
        <v>8.5834200000000003</v>
      </c>
      <c r="W814" t="s">
        <v>9</v>
      </c>
      <c r="X814">
        <v>35.26</v>
      </c>
      <c r="Y814">
        <v>87.915000000000006</v>
      </c>
      <c r="Z814">
        <v>6.63</v>
      </c>
      <c r="AA814">
        <v>46.13</v>
      </c>
      <c r="AB814">
        <v>34.784999999999997</v>
      </c>
      <c r="AC814">
        <v>0</v>
      </c>
      <c r="AD814">
        <v>0</v>
      </c>
      <c r="AE814">
        <v>0</v>
      </c>
      <c r="AF814">
        <v>6.2750000000000004</v>
      </c>
      <c r="AG814">
        <v>1.3049999999999999</v>
      </c>
      <c r="AH814">
        <v>218.3</v>
      </c>
      <c r="AI814" t="s">
        <v>22</v>
      </c>
      <c r="AJ814">
        <v>520</v>
      </c>
      <c r="AK814">
        <v>160</v>
      </c>
      <c r="AL814">
        <v>690</v>
      </c>
      <c r="AM814">
        <v>15</v>
      </c>
      <c r="AN814">
        <v>50</v>
      </c>
      <c r="AO814">
        <v>0</v>
      </c>
      <c r="AP814">
        <v>0</v>
      </c>
      <c r="AQ814">
        <v>0</v>
      </c>
      <c r="AR814">
        <v>15</v>
      </c>
      <c r="AS814">
        <v>30</v>
      </c>
      <c r="AT814">
        <v>1480</v>
      </c>
      <c r="AU814" t="s">
        <v>35</v>
      </c>
    </row>
    <row r="815" spans="1:47" x14ac:dyDescent="0.2">
      <c r="A815">
        <v>182</v>
      </c>
      <c r="B815" t="s">
        <v>177</v>
      </c>
      <c r="C815">
        <v>1016</v>
      </c>
      <c r="D815" t="s">
        <v>178</v>
      </c>
      <c r="G815" t="str">
        <f t="shared" si="12"/>
        <v>COMIDA10_SS1016K3C</v>
      </c>
      <c r="H815">
        <v>70.7102</v>
      </c>
      <c r="I815">
        <v>-165.2527</v>
      </c>
      <c r="J815" s="3">
        <v>20100730</v>
      </c>
      <c r="K815">
        <v>2010</v>
      </c>
      <c r="L815">
        <v>3.9673600000000002</v>
      </c>
      <c r="M815">
        <v>0.46123999999999998</v>
      </c>
      <c r="N815">
        <v>4.3560000000000001E-2</v>
      </c>
      <c r="O815">
        <v>0</v>
      </c>
      <c r="P815">
        <v>8.0360000000000001E-2</v>
      </c>
      <c r="Q815">
        <v>0</v>
      </c>
      <c r="R815">
        <v>0</v>
      </c>
      <c r="S815">
        <v>9.0200000000000002E-3</v>
      </c>
      <c r="T815">
        <v>1.8600000000000001E-3</v>
      </c>
      <c r="U815">
        <v>8.5279999999999995E-2</v>
      </c>
      <c r="V815">
        <v>4.6486799999999997</v>
      </c>
      <c r="W815" t="s">
        <v>9</v>
      </c>
      <c r="X815">
        <v>56.56</v>
      </c>
      <c r="Y815">
        <v>12.91</v>
      </c>
      <c r="Z815">
        <v>0.60499999999999998</v>
      </c>
      <c r="AA815">
        <v>0</v>
      </c>
      <c r="AB815">
        <v>5.74</v>
      </c>
      <c r="AC815">
        <v>0</v>
      </c>
      <c r="AD815">
        <v>0</v>
      </c>
      <c r="AE815">
        <v>0.22</v>
      </c>
      <c r="AF815">
        <v>0.02</v>
      </c>
      <c r="AG815">
        <v>3.145</v>
      </c>
      <c r="AH815">
        <v>79.2</v>
      </c>
      <c r="AI815" t="s">
        <v>21</v>
      </c>
      <c r="AJ815">
        <v>185</v>
      </c>
      <c r="AK815">
        <v>40</v>
      </c>
      <c r="AL815">
        <v>45</v>
      </c>
      <c r="AM815">
        <v>0</v>
      </c>
      <c r="AN815">
        <v>15</v>
      </c>
      <c r="AO815">
        <v>0</v>
      </c>
      <c r="AP815">
        <v>0</v>
      </c>
      <c r="AQ815">
        <v>5</v>
      </c>
      <c r="AR815">
        <v>5</v>
      </c>
      <c r="AS815">
        <v>20</v>
      </c>
      <c r="AT815">
        <v>315</v>
      </c>
      <c r="AU815" t="s">
        <v>33</v>
      </c>
    </row>
    <row r="816" spans="1:47" x14ac:dyDescent="0.2">
      <c r="A816">
        <v>183</v>
      </c>
      <c r="B816" t="s">
        <v>177</v>
      </c>
      <c r="C816">
        <v>105</v>
      </c>
      <c r="D816" t="s">
        <v>163</v>
      </c>
      <c r="G816" t="str">
        <f t="shared" si="12"/>
        <v>COMIDA10_SS105Detritus</v>
      </c>
      <c r="H816">
        <v>68.973799999999997</v>
      </c>
      <c r="I816">
        <v>-168.94488999999999</v>
      </c>
      <c r="J816" s="3">
        <v>20100727</v>
      </c>
      <c r="K816">
        <v>2010</v>
      </c>
      <c r="L816">
        <v>0.18415000000000001</v>
      </c>
      <c r="M816">
        <v>3.0890000000000001E-2</v>
      </c>
      <c r="N816">
        <v>2.8300000000000001E-3</v>
      </c>
      <c r="O816">
        <v>0</v>
      </c>
      <c r="P816">
        <v>6.9999999999999994E-5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0.21793999999999999</v>
      </c>
      <c r="W816" t="s">
        <v>9</v>
      </c>
      <c r="X816">
        <v>2.58</v>
      </c>
      <c r="Y816">
        <v>1.1850000000000001</v>
      </c>
      <c r="Z816">
        <v>3.5000000000000003E-2</v>
      </c>
      <c r="AA816">
        <v>0</v>
      </c>
      <c r="AB816">
        <v>5.0000000000000001E-3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3.8050000000000002</v>
      </c>
      <c r="AI816" t="s">
        <v>21</v>
      </c>
      <c r="AJ816">
        <v>95</v>
      </c>
      <c r="AK816">
        <v>525</v>
      </c>
      <c r="AL816">
        <v>5</v>
      </c>
      <c r="AM816">
        <v>0</v>
      </c>
      <c r="AN816">
        <v>5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630</v>
      </c>
      <c r="AU816" t="s">
        <v>34</v>
      </c>
    </row>
    <row r="817" spans="1:47" x14ac:dyDescent="0.2">
      <c r="A817">
        <v>184</v>
      </c>
      <c r="B817" t="s">
        <v>177</v>
      </c>
      <c r="C817">
        <v>106</v>
      </c>
      <c r="D817" t="s">
        <v>164</v>
      </c>
      <c r="G817" t="str">
        <f t="shared" si="12"/>
        <v>COMIDA10_SS106CBL2.8</v>
      </c>
      <c r="H817">
        <v>69.885199999999998</v>
      </c>
      <c r="I817">
        <v>-167.73729</v>
      </c>
      <c r="J817" s="3">
        <v>20100728</v>
      </c>
      <c r="K817">
        <v>2010</v>
      </c>
      <c r="L817">
        <v>2.0133700000000001</v>
      </c>
      <c r="M817">
        <v>0.28151999999999999</v>
      </c>
      <c r="N817">
        <v>0.12506</v>
      </c>
      <c r="O817">
        <v>5.1799999999999997E-3</v>
      </c>
      <c r="P817">
        <v>0.16156000000000001</v>
      </c>
      <c r="Q817">
        <v>8.7010000000000004E-2</v>
      </c>
      <c r="R817">
        <v>4.4839999999999998E-2</v>
      </c>
      <c r="S817">
        <v>2.5829999999999999E-2</v>
      </c>
      <c r="T817">
        <v>0</v>
      </c>
      <c r="U817">
        <v>5.8339400000000001</v>
      </c>
      <c r="V817">
        <v>8.5783100000000001</v>
      </c>
      <c r="W817" t="s">
        <v>18</v>
      </c>
      <c r="X817">
        <v>29.93</v>
      </c>
      <c r="Y817">
        <v>12.57</v>
      </c>
      <c r="Z817">
        <v>1.6379999999999999</v>
      </c>
      <c r="AA817">
        <v>0.115</v>
      </c>
      <c r="AB817">
        <v>11.54</v>
      </c>
      <c r="AC817">
        <v>7.91</v>
      </c>
      <c r="AD817">
        <v>0.73499999999999999</v>
      </c>
      <c r="AE817">
        <v>0.63</v>
      </c>
      <c r="AF817">
        <v>0</v>
      </c>
      <c r="AG817">
        <v>244.505</v>
      </c>
      <c r="AH817">
        <v>309.57299999999998</v>
      </c>
      <c r="AI817" t="s">
        <v>30</v>
      </c>
      <c r="AJ817">
        <v>275</v>
      </c>
      <c r="AK817">
        <v>25</v>
      </c>
      <c r="AL817">
        <v>95</v>
      </c>
      <c r="AM817">
        <v>5</v>
      </c>
      <c r="AN817">
        <v>290</v>
      </c>
      <c r="AO817">
        <v>5</v>
      </c>
      <c r="AP817">
        <v>30</v>
      </c>
      <c r="AQ817">
        <v>5</v>
      </c>
      <c r="AR817">
        <v>0</v>
      </c>
      <c r="AS817">
        <v>55</v>
      </c>
      <c r="AT817">
        <v>785</v>
      </c>
      <c r="AU817" t="s">
        <v>37</v>
      </c>
    </row>
    <row r="818" spans="1:47" x14ac:dyDescent="0.2">
      <c r="A818">
        <v>185</v>
      </c>
      <c r="B818" t="s">
        <v>177</v>
      </c>
      <c r="C818">
        <v>107</v>
      </c>
      <c r="D818" t="s">
        <v>165</v>
      </c>
      <c r="G818" t="str">
        <f t="shared" si="12"/>
        <v>COMIDA10_SS107CBL8.3</v>
      </c>
      <c r="H818">
        <v>70.085790000000003</v>
      </c>
      <c r="I818">
        <v>-166.4554</v>
      </c>
      <c r="J818" s="3">
        <v>20100729</v>
      </c>
      <c r="K818">
        <v>2010</v>
      </c>
      <c r="L818">
        <v>6.6218399999999997</v>
      </c>
      <c r="M818">
        <v>0.66832999999999998</v>
      </c>
      <c r="N818">
        <v>9.2319999999999999E-2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8.1600000000000006E-2</v>
      </c>
      <c r="V818">
        <v>7.4640899999999997</v>
      </c>
      <c r="W818" t="s">
        <v>9</v>
      </c>
      <c r="X818">
        <v>92.534999999999997</v>
      </c>
      <c r="Y818">
        <v>28.66</v>
      </c>
      <c r="Z818">
        <v>1.355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2.625</v>
      </c>
      <c r="AH818">
        <v>125.175</v>
      </c>
      <c r="AI818" t="s">
        <v>21</v>
      </c>
      <c r="AJ818">
        <v>500</v>
      </c>
      <c r="AK818">
        <v>60</v>
      </c>
      <c r="AL818">
        <v>50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35</v>
      </c>
      <c r="AT818">
        <v>645</v>
      </c>
      <c r="AU818" t="s">
        <v>33</v>
      </c>
    </row>
    <row r="819" spans="1:47" x14ac:dyDescent="0.2">
      <c r="A819">
        <v>186</v>
      </c>
      <c r="B819" t="s">
        <v>177</v>
      </c>
      <c r="C819">
        <v>108</v>
      </c>
      <c r="D819" t="s">
        <v>166</v>
      </c>
      <c r="G819" t="str">
        <f t="shared" si="12"/>
        <v>COMIDA10_SS108HSH1</v>
      </c>
      <c r="H819">
        <v>72.100589999999997</v>
      </c>
      <c r="I819">
        <v>-162.97540000000001</v>
      </c>
      <c r="J819" s="3">
        <v>20100805</v>
      </c>
      <c r="K819">
        <v>2010</v>
      </c>
      <c r="L819">
        <v>1.50566</v>
      </c>
      <c r="M819">
        <v>0.17821000000000001</v>
      </c>
      <c r="N819">
        <v>0.87688999999999995</v>
      </c>
      <c r="O819">
        <v>3.5669300000000002</v>
      </c>
      <c r="P819">
        <v>0</v>
      </c>
      <c r="Q819">
        <v>0</v>
      </c>
      <c r="R819">
        <v>1.6897</v>
      </c>
      <c r="S819">
        <v>0</v>
      </c>
      <c r="T819">
        <v>5.7200000000000001E-2</v>
      </c>
      <c r="U819">
        <v>0</v>
      </c>
      <c r="V819">
        <v>7.8745900000000004</v>
      </c>
      <c r="W819" t="s">
        <v>12</v>
      </c>
      <c r="X819">
        <v>18.760000000000002</v>
      </c>
      <c r="Y819">
        <v>4.83</v>
      </c>
      <c r="Z819">
        <v>13.49</v>
      </c>
      <c r="AA819">
        <v>79.265000000000001</v>
      </c>
      <c r="AB819">
        <v>0</v>
      </c>
      <c r="AC819">
        <v>0</v>
      </c>
      <c r="AD819">
        <v>27.7</v>
      </c>
      <c r="AE819">
        <v>0</v>
      </c>
      <c r="AF819">
        <v>0.61499999999999999</v>
      </c>
      <c r="AG819">
        <v>0</v>
      </c>
      <c r="AH819">
        <v>144.66</v>
      </c>
      <c r="AI819" t="s">
        <v>24</v>
      </c>
      <c r="AJ819">
        <v>670</v>
      </c>
      <c r="AK819">
        <v>35</v>
      </c>
      <c r="AL819">
        <v>280</v>
      </c>
      <c r="AM819">
        <v>55</v>
      </c>
      <c r="AN819">
        <v>0</v>
      </c>
      <c r="AO819">
        <v>0</v>
      </c>
      <c r="AP819">
        <v>25</v>
      </c>
      <c r="AQ819">
        <v>0</v>
      </c>
      <c r="AR819">
        <v>15</v>
      </c>
      <c r="AS819">
        <v>0</v>
      </c>
      <c r="AT819">
        <v>1080</v>
      </c>
      <c r="AU819" t="s">
        <v>33</v>
      </c>
    </row>
    <row r="820" spans="1:47" x14ac:dyDescent="0.2">
      <c r="A820">
        <v>187</v>
      </c>
      <c r="B820" t="s">
        <v>177</v>
      </c>
      <c r="C820">
        <v>109</v>
      </c>
      <c r="D820" t="s">
        <v>167</v>
      </c>
      <c r="G820" t="str">
        <f t="shared" si="12"/>
        <v>COMIDA10_SS109HS2</v>
      </c>
      <c r="H820">
        <v>72.103800000000007</v>
      </c>
      <c r="I820">
        <v>-161.18950000000001</v>
      </c>
      <c r="J820" s="3">
        <v>20100804</v>
      </c>
      <c r="K820">
        <v>2010</v>
      </c>
      <c r="L820">
        <v>0.73931000000000002</v>
      </c>
      <c r="M820">
        <v>0.77980000000000005</v>
      </c>
      <c r="N820">
        <v>0.27631</v>
      </c>
      <c r="O820">
        <v>1.6650000000000002E-2</v>
      </c>
      <c r="P820">
        <v>0</v>
      </c>
      <c r="Q820">
        <v>0</v>
      </c>
      <c r="R820">
        <v>7.0200000000000002E-3</v>
      </c>
      <c r="S820">
        <v>0.20512</v>
      </c>
      <c r="T820">
        <v>1.0699999999999999E-2</v>
      </c>
      <c r="U820">
        <v>6.6720000000000002E-2</v>
      </c>
      <c r="V820">
        <v>2.1016300000000001</v>
      </c>
      <c r="W820" t="s">
        <v>10</v>
      </c>
      <c r="X820">
        <v>10.335000000000001</v>
      </c>
      <c r="Y820">
        <v>34.384999999999998</v>
      </c>
      <c r="Z820">
        <v>3.81</v>
      </c>
      <c r="AA820">
        <v>0.37</v>
      </c>
      <c r="AB820">
        <v>0</v>
      </c>
      <c r="AC820">
        <v>0</v>
      </c>
      <c r="AD820">
        <v>0.115</v>
      </c>
      <c r="AE820">
        <v>13.744999999999999</v>
      </c>
      <c r="AF820">
        <v>0.115</v>
      </c>
      <c r="AG820">
        <v>2.62</v>
      </c>
      <c r="AH820">
        <v>65.495000000000005</v>
      </c>
      <c r="AI820" t="s">
        <v>22</v>
      </c>
      <c r="AJ820">
        <v>745</v>
      </c>
      <c r="AK820">
        <v>100</v>
      </c>
      <c r="AL820">
        <v>190</v>
      </c>
      <c r="AM820">
        <v>5</v>
      </c>
      <c r="AN820">
        <v>0</v>
      </c>
      <c r="AO820">
        <v>0</v>
      </c>
      <c r="AP820">
        <v>10</v>
      </c>
      <c r="AQ820">
        <v>25</v>
      </c>
      <c r="AR820">
        <v>10</v>
      </c>
      <c r="AS820">
        <v>10</v>
      </c>
      <c r="AT820">
        <v>1095</v>
      </c>
      <c r="AU820" t="s">
        <v>33</v>
      </c>
    </row>
    <row r="821" spans="1:47" x14ac:dyDescent="0.2">
      <c r="A821">
        <v>188</v>
      </c>
      <c r="B821" t="s">
        <v>177</v>
      </c>
      <c r="C821">
        <v>49</v>
      </c>
      <c r="D821" t="s">
        <v>174</v>
      </c>
      <c r="G821" t="str">
        <f t="shared" si="12"/>
        <v>COMIDA10_SS49CBL17</v>
      </c>
      <c r="H821">
        <v>71.767399999999995</v>
      </c>
      <c r="I821">
        <v>-159.37298999999999</v>
      </c>
      <c r="J821" s="3">
        <v>20100804</v>
      </c>
      <c r="K821">
        <v>2010</v>
      </c>
      <c r="L821">
        <v>0.89332</v>
      </c>
      <c r="M821">
        <v>17.348749999999999</v>
      </c>
      <c r="N821">
        <v>1.1560000000000001E-2</v>
      </c>
      <c r="O821">
        <v>3.1280000000000002E-2</v>
      </c>
      <c r="P821">
        <v>0</v>
      </c>
      <c r="Q821">
        <v>0</v>
      </c>
      <c r="R821">
        <v>0</v>
      </c>
      <c r="S821">
        <v>0</v>
      </c>
      <c r="T821">
        <v>0.02</v>
      </c>
      <c r="U821">
        <v>8.1839999999999996E-2</v>
      </c>
      <c r="V821">
        <v>18.386749999999999</v>
      </c>
      <c r="W821" t="s">
        <v>10</v>
      </c>
      <c r="X821">
        <v>13.73</v>
      </c>
      <c r="Y821">
        <v>523.45500000000004</v>
      </c>
      <c r="Z821">
        <v>0.17</v>
      </c>
      <c r="AA821">
        <v>0.69499999999999995</v>
      </c>
      <c r="AB821">
        <v>0</v>
      </c>
      <c r="AC821">
        <v>0</v>
      </c>
      <c r="AD821">
        <v>0</v>
      </c>
      <c r="AE821">
        <v>0</v>
      </c>
      <c r="AF821">
        <v>0.215</v>
      </c>
      <c r="AG821">
        <v>1.32</v>
      </c>
      <c r="AH821">
        <v>539.58500000000004</v>
      </c>
      <c r="AI821" t="s">
        <v>22</v>
      </c>
      <c r="AJ821">
        <v>175</v>
      </c>
      <c r="AK821">
        <v>975</v>
      </c>
      <c r="AL821">
        <v>5</v>
      </c>
      <c r="AM821">
        <v>10</v>
      </c>
      <c r="AN821">
        <v>0</v>
      </c>
      <c r="AO821">
        <v>0</v>
      </c>
      <c r="AP821">
        <v>0</v>
      </c>
      <c r="AQ821">
        <v>0</v>
      </c>
      <c r="AR821">
        <v>10</v>
      </c>
      <c r="AS821">
        <v>10</v>
      </c>
      <c r="AT821">
        <v>1185</v>
      </c>
      <c r="AU821" t="s">
        <v>34</v>
      </c>
    </row>
    <row r="822" spans="1:47" x14ac:dyDescent="0.2">
      <c r="A822">
        <v>189</v>
      </c>
      <c r="B822" t="s">
        <v>177</v>
      </c>
      <c r="C822">
        <v>50</v>
      </c>
      <c r="D822" t="s">
        <v>175</v>
      </c>
      <c r="G822" t="str">
        <f t="shared" si="12"/>
        <v>COMIDA10_SS50CBL9BC_mussels</v>
      </c>
      <c r="H822">
        <v>71.413799999999995</v>
      </c>
      <c r="I822">
        <v>-157.49090000000001</v>
      </c>
      <c r="J822" s="3">
        <v>20100812</v>
      </c>
      <c r="K822">
        <v>2010</v>
      </c>
      <c r="L822">
        <v>4.3159999999999998</v>
      </c>
      <c r="M822">
        <v>25.293089999999999</v>
      </c>
      <c r="N822">
        <v>15.11323</v>
      </c>
      <c r="O822">
        <v>19.626529999999999</v>
      </c>
      <c r="P822">
        <v>2.31637</v>
      </c>
      <c r="Q822">
        <v>0</v>
      </c>
      <c r="R822">
        <v>0.78807000000000005</v>
      </c>
      <c r="S822">
        <v>0</v>
      </c>
      <c r="T822">
        <v>0.11625000000000001</v>
      </c>
      <c r="U822">
        <v>1.661E-2</v>
      </c>
      <c r="V822">
        <v>67.586150000000004</v>
      </c>
      <c r="W822" t="s">
        <v>10</v>
      </c>
      <c r="X822">
        <v>50.83</v>
      </c>
      <c r="Y822">
        <v>938.17</v>
      </c>
      <c r="Z822">
        <v>187.005</v>
      </c>
      <c r="AA822">
        <v>436.14499999999998</v>
      </c>
      <c r="AB822">
        <v>165.45500000000001</v>
      </c>
      <c r="AC822">
        <v>0</v>
      </c>
      <c r="AD822">
        <v>19.559999999999999</v>
      </c>
      <c r="AE822">
        <v>0</v>
      </c>
      <c r="AF822">
        <v>1.25</v>
      </c>
      <c r="AG822">
        <v>0.745</v>
      </c>
      <c r="AH822">
        <v>1799.16</v>
      </c>
      <c r="AI822" t="s">
        <v>22</v>
      </c>
      <c r="AJ822">
        <v>775</v>
      </c>
      <c r="AK822">
        <v>1520</v>
      </c>
      <c r="AL822">
        <v>2060</v>
      </c>
      <c r="AM822">
        <v>520</v>
      </c>
      <c r="AN822">
        <v>235</v>
      </c>
      <c r="AO822">
        <v>0</v>
      </c>
      <c r="AP822">
        <v>30</v>
      </c>
      <c r="AQ822">
        <v>0</v>
      </c>
      <c r="AR822">
        <v>20</v>
      </c>
      <c r="AS822">
        <v>25</v>
      </c>
      <c r="AT822">
        <v>5185</v>
      </c>
      <c r="AU822" t="s">
        <v>35</v>
      </c>
    </row>
    <row r="823" spans="1:47" x14ac:dyDescent="0.2">
      <c r="A823">
        <v>920</v>
      </c>
      <c r="B823" t="s">
        <v>399</v>
      </c>
      <c r="C823">
        <v>1</v>
      </c>
      <c r="D823" t="s">
        <v>268</v>
      </c>
      <c r="G823" t="str">
        <f t="shared" si="12"/>
        <v>PSEA10011VNG1</v>
      </c>
      <c r="H823">
        <v>62.018166999999998</v>
      </c>
      <c r="I823">
        <v>-175.04983300000001</v>
      </c>
      <c r="J823" s="3">
        <v>20100313</v>
      </c>
      <c r="K823">
        <v>2010</v>
      </c>
      <c r="L823">
        <v>8.1158900000000003</v>
      </c>
      <c r="M823">
        <v>3.9963899999999999</v>
      </c>
      <c r="N823">
        <v>0.17341999999999999</v>
      </c>
      <c r="O823">
        <v>9.9500000000000005E-3</v>
      </c>
      <c r="P823">
        <v>0.26941999999999999</v>
      </c>
      <c r="Q823">
        <v>0</v>
      </c>
      <c r="R823">
        <v>0</v>
      </c>
      <c r="S823">
        <v>0.20927000000000001</v>
      </c>
      <c r="T823">
        <v>1.29298</v>
      </c>
      <c r="U823">
        <v>0.11884</v>
      </c>
      <c r="V823">
        <v>14.186159999999999</v>
      </c>
      <c r="W823" t="s">
        <v>9</v>
      </c>
      <c r="X823">
        <v>116.893</v>
      </c>
      <c r="Y823">
        <v>107.136</v>
      </c>
      <c r="Z823">
        <v>2.2290000000000001</v>
      </c>
      <c r="AA823">
        <v>0.221</v>
      </c>
      <c r="AB823">
        <v>19.244</v>
      </c>
      <c r="AC823">
        <v>0</v>
      </c>
      <c r="AD823">
        <v>0</v>
      </c>
      <c r="AE823">
        <v>14.948</v>
      </c>
      <c r="AF823">
        <v>13.903</v>
      </c>
      <c r="AG823">
        <v>3.33</v>
      </c>
      <c r="AH823">
        <v>277.904</v>
      </c>
      <c r="AI823" t="s">
        <v>21</v>
      </c>
      <c r="AJ823">
        <v>1192.5</v>
      </c>
      <c r="AK823">
        <v>147.5</v>
      </c>
      <c r="AL823">
        <v>222.5</v>
      </c>
      <c r="AM823">
        <v>32.5</v>
      </c>
      <c r="AN823">
        <v>170</v>
      </c>
      <c r="AO823">
        <v>0</v>
      </c>
      <c r="AP823">
        <v>0</v>
      </c>
      <c r="AQ823">
        <v>5</v>
      </c>
      <c r="AR823">
        <v>27.5</v>
      </c>
      <c r="AS823">
        <v>115</v>
      </c>
      <c r="AT823">
        <v>1912.5</v>
      </c>
      <c r="AU823" t="s">
        <v>33</v>
      </c>
    </row>
    <row r="824" spans="1:47" x14ac:dyDescent="0.2">
      <c r="A824">
        <v>921</v>
      </c>
      <c r="B824" t="s">
        <v>399</v>
      </c>
      <c r="C824">
        <v>10</v>
      </c>
      <c r="D824" t="s">
        <v>249</v>
      </c>
      <c r="G824" t="str">
        <f t="shared" si="12"/>
        <v>PSEA100110VNG5</v>
      </c>
      <c r="H824">
        <v>62.968333000000001</v>
      </c>
      <c r="I824">
        <v>-172.986333</v>
      </c>
      <c r="J824" s="3">
        <v>20100317</v>
      </c>
      <c r="K824">
        <v>2010</v>
      </c>
      <c r="L824">
        <v>1.96936</v>
      </c>
      <c r="M824">
        <v>30.716100000000001</v>
      </c>
      <c r="N824">
        <v>0.40443000000000001</v>
      </c>
      <c r="O824">
        <v>0</v>
      </c>
      <c r="P824">
        <v>0.49002000000000001</v>
      </c>
      <c r="Q824">
        <v>0</v>
      </c>
      <c r="R824">
        <v>0</v>
      </c>
      <c r="S824">
        <v>0</v>
      </c>
      <c r="T824">
        <v>1.30925</v>
      </c>
      <c r="U824">
        <v>7.4840000000000004E-2</v>
      </c>
      <c r="V824">
        <v>34.963999999999999</v>
      </c>
      <c r="W824" t="s">
        <v>10</v>
      </c>
      <c r="X824">
        <v>28.971</v>
      </c>
      <c r="Y824">
        <v>901.38300000000004</v>
      </c>
      <c r="Z824">
        <v>4.8330000000000002</v>
      </c>
      <c r="AA824">
        <v>0</v>
      </c>
      <c r="AB824">
        <v>35.000999999999998</v>
      </c>
      <c r="AC824">
        <v>0</v>
      </c>
      <c r="AD824">
        <v>0</v>
      </c>
      <c r="AE824">
        <v>0</v>
      </c>
      <c r="AF824">
        <v>14.077999999999999</v>
      </c>
      <c r="AG824">
        <v>1.643</v>
      </c>
      <c r="AH824">
        <v>985.90899999999999</v>
      </c>
      <c r="AI824" t="s">
        <v>22</v>
      </c>
      <c r="AJ824">
        <v>415</v>
      </c>
      <c r="AK824">
        <v>1265</v>
      </c>
      <c r="AL824">
        <v>247.5</v>
      </c>
      <c r="AM824">
        <v>0</v>
      </c>
      <c r="AN824">
        <v>47.5</v>
      </c>
      <c r="AO824">
        <v>0</v>
      </c>
      <c r="AP824">
        <v>2.5</v>
      </c>
      <c r="AQ824">
        <v>0</v>
      </c>
      <c r="AR824">
        <v>45</v>
      </c>
      <c r="AS824">
        <v>72.5</v>
      </c>
      <c r="AT824">
        <v>2095</v>
      </c>
      <c r="AU824" t="s">
        <v>34</v>
      </c>
    </row>
    <row r="825" spans="1:47" x14ac:dyDescent="0.2">
      <c r="A825">
        <v>922</v>
      </c>
      <c r="B825" t="s">
        <v>399</v>
      </c>
      <c r="C825">
        <v>11</v>
      </c>
      <c r="D825" t="s">
        <v>250</v>
      </c>
      <c r="G825" t="str">
        <f t="shared" si="12"/>
        <v>PSEA100111SWC3A</v>
      </c>
      <c r="H825">
        <v>62.761833000000003</v>
      </c>
      <c r="I825">
        <v>-172.709833</v>
      </c>
      <c r="J825" s="3">
        <v>20100317</v>
      </c>
      <c r="K825">
        <v>2010</v>
      </c>
      <c r="L825">
        <v>2.2089099999999999</v>
      </c>
      <c r="M825">
        <v>8.4055800000000005</v>
      </c>
      <c r="N825">
        <v>0.26928000000000002</v>
      </c>
      <c r="O825">
        <v>0</v>
      </c>
      <c r="P825">
        <v>0.54790000000000005</v>
      </c>
      <c r="Q825">
        <v>0</v>
      </c>
      <c r="R825">
        <v>6.0000000000000002E-5</v>
      </c>
      <c r="S825">
        <v>0</v>
      </c>
      <c r="T825">
        <v>7.3469999999999994E-2</v>
      </c>
      <c r="U825">
        <v>0.33806000000000003</v>
      </c>
      <c r="V825">
        <v>11.843260000000001</v>
      </c>
      <c r="W825" t="s">
        <v>10</v>
      </c>
      <c r="X825">
        <v>37.902000000000001</v>
      </c>
      <c r="Y825">
        <v>238.72499999999999</v>
      </c>
      <c r="Z825">
        <v>3.367</v>
      </c>
      <c r="AA825">
        <v>0</v>
      </c>
      <c r="AB825">
        <v>39.136000000000003</v>
      </c>
      <c r="AC825">
        <v>0</v>
      </c>
      <c r="AD825">
        <v>1E-3</v>
      </c>
      <c r="AE825">
        <v>0</v>
      </c>
      <c r="AF825">
        <v>0.79</v>
      </c>
      <c r="AG825">
        <v>7.5039999999999996</v>
      </c>
      <c r="AH825">
        <v>327.42500000000001</v>
      </c>
      <c r="AI825" t="s">
        <v>22</v>
      </c>
      <c r="AJ825">
        <v>722.5</v>
      </c>
      <c r="AK825">
        <v>482.5</v>
      </c>
      <c r="AL825">
        <v>320</v>
      </c>
      <c r="AM825">
        <v>0</v>
      </c>
      <c r="AN825">
        <v>17.5</v>
      </c>
      <c r="AO825">
        <v>0</v>
      </c>
      <c r="AP825">
        <v>0</v>
      </c>
      <c r="AQ825">
        <v>0</v>
      </c>
      <c r="AR825">
        <v>17.5</v>
      </c>
      <c r="AS825">
        <v>40</v>
      </c>
      <c r="AT825">
        <v>1600</v>
      </c>
      <c r="AU825" t="s">
        <v>33</v>
      </c>
    </row>
    <row r="826" spans="1:47" x14ac:dyDescent="0.2">
      <c r="A826">
        <v>923</v>
      </c>
      <c r="B826" t="s">
        <v>399</v>
      </c>
      <c r="C826">
        <v>12</v>
      </c>
      <c r="D826" t="s">
        <v>252</v>
      </c>
      <c r="G826" t="str">
        <f t="shared" si="12"/>
        <v>PSEA100112POP3A</v>
      </c>
      <c r="H826">
        <v>62.575667000000003</v>
      </c>
      <c r="I826">
        <v>-172.30950000000001</v>
      </c>
      <c r="J826" s="3">
        <v>20100317</v>
      </c>
      <c r="K826">
        <v>2010</v>
      </c>
      <c r="L826">
        <v>1.12995</v>
      </c>
      <c r="M826">
        <v>0.87470000000000003</v>
      </c>
      <c r="N826">
        <v>0.18432999999999999</v>
      </c>
      <c r="O826">
        <v>0</v>
      </c>
      <c r="P826">
        <v>0.14838999999999999</v>
      </c>
      <c r="Q826">
        <v>0</v>
      </c>
      <c r="R826">
        <v>0</v>
      </c>
      <c r="S826">
        <v>0.11726</v>
      </c>
      <c r="T826">
        <v>1.0970000000000001E-2</v>
      </c>
      <c r="U826">
        <v>0.22913</v>
      </c>
      <c r="V826">
        <v>2.6947299999999998</v>
      </c>
      <c r="W826" t="s">
        <v>9</v>
      </c>
      <c r="X826">
        <v>16.023</v>
      </c>
      <c r="Y826">
        <v>24.771999999999998</v>
      </c>
      <c r="Z826">
        <v>2.5830000000000002</v>
      </c>
      <c r="AA826">
        <v>0</v>
      </c>
      <c r="AB826">
        <v>10.599</v>
      </c>
      <c r="AC826">
        <v>0</v>
      </c>
      <c r="AD826">
        <v>0</v>
      </c>
      <c r="AE826">
        <v>8.3759999999999994</v>
      </c>
      <c r="AF826">
        <v>0.11799999999999999</v>
      </c>
      <c r="AG826">
        <v>19.602</v>
      </c>
      <c r="AH826">
        <v>82.072999999999993</v>
      </c>
      <c r="AI826" t="s">
        <v>22</v>
      </c>
      <c r="AJ826">
        <v>717.5</v>
      </c>
      <c r="AK826">
        <v>752.5</v>
      </c>
      <c r="AL826">
        <v>1347.5</v>
      </c>
      <c r="AM826">
        <v>0</v>
      </c>
      <c r="AN826">
        <v>10</v>
      </c>
      <c r="AO826">
        <v>0</v>
      </c>
      <c r="AP826">
        <v>0</v>
      </c>
      <c r="AQ826">
        <v>5</v>
      </c>
      <c r="AR826">
        <v>22.5</v>
      </c>
      <c r="AS826">
        <v>92.5</v>
      </c>
      <c r="AT826">
        <v>2947.5</v>
      </c>
      <c r="AU826" t="s">
        <v>35</v>
      </c>
    </row>
    <row r="827" spans="1:47" x14ac:dyDescent="0.2">
      <c r="A827">
        <v>924</v>
      </c>
      <c r="B827" t="s">
        <v>399</v>
      </c>
      <c r="C827">
        <v>13</v>
      </c>
      <c r="D827" t="s">
        <v>400</v>
      </c>
      <c r="G827" t="str">
        <f t="shared" si="12"/>
        <v>PSEA100113POP3</v>
      </c>
      <c r="H827">
        <v>62.441667000000002</v>
      </c>
      <c r="I827">
        <v>-172.31216699999999</v>
      </c>
      <c r="J827" s="3">
        <v>20100317</v>
      </c>
      <c r="K827">
        <v>2010</v>
      </c>
      <c r="L827">
        <v>2.8193999999999999</v>
      </c>
      <c r="M827">
        <v>0.68896999999999997</v>
      </c>
      <c r="N827">
        <v>1.13367</v>
      </c>
      <c r="O827">
        <v>0</v>
      </c>
      <c r="P827">
        <v>0</v>
      </c>
      <c r="Q827">
        <v>0</v>
      </c>
      <c r="R827">
        <v>2.9999999999999997E-4</v>
      </c>
      <c r="S827">
        <v>0</v>
      </c>
      <c r="T827">
        <v>0.11047999999999999</v>
      </c>
      <c r="U827">
        <v>0.15060999999999999</v>
      </c>
      <c r="V827">
        <v>4.9034300000000002</v>
      </c>
      <c r="W827" t="s">
        <v>9</v>
      </c>
      <c r="X827">
        <v>40.054000000000002</v>
      </c>
      <c r="Y827">
        <v>19.785</v>
      </c>
      <c r="Z827">
        <v>16.327999999999999</v>
      </c>
      <c r="AA827">
        <v>0</v>
      </c>
      <c r="AB827">
        <v>0</v>
      </c>
      <c r="AC827">
        <v>0</v>
      </c>
      <c r="AD827">
        <v>5.0000000000000001E-3</v>
      </c>
      <c r="AE827">
        <v>0</v>
      </c>
      <c r="AF827">
        <v>1.1879999999999999</v>
      </c>
      <c r="AG827">
        <v>8.5370000000000008</v>
      </c>
      <c r="AH827">
        <v>85.897000000000006</v>
      </c>
      <c r="AI827" t="s">
        <v>21</v>
      </c>
      <c r="AJ827">
        <v>732.5</v>
      </c>
      <c r="AK827">
        <v>730</v>
      </c>
      <c r="AL827">
        <v>3872.5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40</v>
      </c>
      <c r="AS827">
        <v>70</v>
      </c>
      <c r="AT827">
        <v>5445</v>
      </c>
      <c r="AU827" t="s">
        <v>35</v>
      </c>
    </row>
    <row r="828" spans="1:47" x14ac:dyDescent="0.2">
      <c r="A828">
        <v>925</v>
      </c>
      <c r="B828" t="s">
        <v>399</v>
      </c>
      <c r="C828">
        <v>131</v>
      </c>
      <c r="D828" t="s">
        <v>235</v>
      </c>
      <c r="G828" t="str">
        <f t="shared" si="12"/>
        <v>PSEA1001131SIL3</v>
      </c>
      <c r="H828">
        <v>62.441699999999997</v>
      </c>
      <c r="I828">
        <v>-172.31219999999999</v>
      </c>
      <c r="J828" s="3">
        <v>20100317</v>
      </c>
      <c r="K828">
        <v>2010</v>
      </c>
      <c r="L828">
        <v>1.22414</v>
      </c>
      <c r="M828">
        <v>1.2269699999999999</v>
      </c>
      <c r="N828">
        <v>0.31763000000000002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2.33E-3</v>
      </c>
      <c r="U828">
        <v>2.351E-2</v>
      </c>
      <c r="V828">
        <v>2.7945799999999998</v>
      </c>
      <c r="W828" t="s">
        <v>10</v>
      </c>
      <c r="X828">
        <v>18.091999999999999</v>
      </c>
      <c r="Y828">
        <v>33.372999999999998</v>
      </c>
      <c r="Z828">
        <v>4.5960000000000001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2.5000000000000001E-2</v>
      </c>
      <c r="AG828">
        <v>0.51200000000000001</v>
      </c>
      <c r="AH828">
        <v>56.597999999999999</v>
      </c>
      <c r="AI828" t="s">
        <v>22</v>
      </c>
      <c r="AJ828">
        <v>780</v>
      </c>
      <c r="AK828">
        <v>370</v>
      </c>
      <c r="AL828">
        <v>1830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130</v>
      </c>
      <c r="AT828">
        <v>3110</v>
      </c>
      <c r="AU828" t="s">
        <v>35</v>
      </c>
    </row>
    <row r="829" spans="1:47" x14ac:dyDescent="0.2">
      <c r="A829">
        <v>926</v>
      </c>
      <c r="B829" t="s">
        <v>399</v>
      </c>
      <c r="C829">
        <v>14</v>
      </c>
      <c r="D829" t="s">
        <v>253</v>
      </c>
      <c r="G829" t="str">
        <f t="shared" si="12"/>
        <v>PSEA100114SEC2.5</v>
      </c>
      <c r="H829">
        <v>62.496167</v>
      </c>
      <c r="I829">
        <v>-171.85249999999999</v>
      </c>
      <c r="J829" s="3">
        <v>20100318</v>
      </c>
      <c r="K829">
        <v>2010</v>
      </c>
      <c r="L829">
        <v>0.98028000000000004</v>
      </c>
      <c r="M829">
        <v>11.195399999999999</v>
      </c>
      <c r="N829">
        <v>0.23649999999999999</v>
      </c>
      <c r="O829">
        <v>0</v>
      </c>
      <c r="P829">
        <v>5.0000000000000002E-5</v>
      </c>
      <c r="Q829">
        <v>0</v>
      </c>
      <c r="R829">
        <v>0</v>
      </c>
      <c r="S829">
        <v>0.18412999999999999</v>
      </c>
      <c r="T829">
        <v>3.81E-3</v>
      </c>
      <c r="U829">
        <v>1.2239999999999999E-2</v>
      </c>
      <c r="V829">
        <v>12.612410000000001</v>
      </c>
      <c r="W829" t="s">
        <v>10</v>
      </c>
      <c r="X829">
        <v>14.173999999999999</v>
      </c>
      <c r="Y829">
        <v>432.11200000000002</v>
      </c>
      <c r="Z829">
        <v>3.403</v>
      </c>
      <c r="AA829">
        <v>0</v>
      </c>
      <c r="AB829">
        <v>4.0000000000000001E-3</v>
      </c>
      <c r="AC829">
        <v>0</v>
      </c>
      <c r="AD829">
        <v>0</v>
      </c>
      <c r="AE829">
        <v>13.151999999999999</v>
      </c>
      <c r="AF829">
        <v>4.1000000000000002E-2</v>
      </c>
      <c r="AG829">
        <v>0.2</v>
      </c>
      <c r="AH829">
        <v>463.08600000000001</v>
      </c>
      <c r="AI829" t="s">
        <v>22</v>
      </c>
      <c r="AJ829">
        <v>452.5</v>
      </c>
      <c r="AK829">
        <v>1300</v>
      </c>
      <c r="AL829">
        <v>987.5</v>
      </c>
      <c r="AM829">
        <v>0</v>
      </c>
      <c r="AN829">
        <v>5</v>
      </c>
      <c r="AO829">
        <v>0</v>
      </c>
      <c r="AP829">
        <v>0</v>
      </c>
      <c r="AQ829">
        <v>15</v>
      </c>
      <c r="AR829">
        <v>10</v>
      </c>
      <c r="AS829">
        <v>57.5</v>
      </c>
      <c r="AT829">
        <v>2827.5</v>
      </c>
      <c r="AU829" t="s">
        <v>34</v>
      </c>
    </row>
    <row r="830" spans="1:47" x14ac:dyDescent="0.2">
      <c r="A830">
        <v>927</v>
      </c>
      <c r="B830" t="s">
        <v>399</v>
      </c>
      <c r="C830">
        <v>15.2</v>
      </c>
      <c r="D830" t="s">
        <v>401</v>
      </c>
      <c r="G830" t="str">
        <f t="shared" si="12"/>
        <v>PSEA100115.2CD2.2</v>
      </c>
      <c r="H830">
        <v>62.5749</v>
      </c>
      <c r="I830">
        <v>-172.21979999999999</v>
      </c>
      <c r="J830" s="3">
        <v>20100318</v>
      </c>
      <c r="K830">
        <v>2010</v>
      </c>
      <c r="L830">
        <v>1.3480399999999999</v>
      </c>
      <c r="M830">
        <v>1.7862499999999999</v>
      </c>
      <c r="N830">
        <v>0.36779000000000001</v>
      </c>
      <c r="O830">
        <v>0</v>
      </c>
      <c r="P830">
        <v>0.27346999999999999</v>
      </c>
      <c r="Q830">
        <v>0</v>
      </c>
      <c r="R830">
        <v>6.0999999999999997E-4</v>
      </c>
      <c r="S830">
        <v>0</v>
      </c>
      <c r="T830">
        <v>1.4880000000000001E-2</v>
      </c>
      <c r="U830">
        <v>5.4099999999999999E-3</v>
      </c>
      <c r="V830">
        <v>3.7964500000000001</v>
      </c>
      <c r="W830" t="s">
        <v>10</v>
      </c>
      <c r="X830">
        <v>19.538</v>
      </c>
      <c r="Y830">
        <v>55.213000000000001</v>
      </c>
      <c r="Z830">
        <v>5.1159999999999997</v>
      </c>
      <c r="AA830">
        <v>0</v>
      </c>
      <c r="AB830">
        <v>19.533999999999999</v>
      </c>
      <c r="AC830">
        <v>0</v>
      </c>
      <c r="AD830">
        <v>0.01</v>
      </c>
      <c r="AE830">
        <v>0</v>
      </c>
      <c r="AF830">
        <v>0.16</v>
      </c>
      <c r="AG830">
        <v>9.5000000000000001E-2</v>
      </c>
      <c r="AH830">
        <v>99.665999999999997</v>
      </c>
      <c r="AI830" t="s">
        <v>22</v>
      </c>
      <c r="AJ830">
        <v>1325</v>
      </c>
      <c r="AK830">
        <v>1155</v>
      </c>
      <c r="AL830">
        <v>1690</v>
      </c>
      <c r="AM830">
        <v>0</v>
      </c>
      <c r="AN830">
        <v>10</v>
      </c>
      <c r="AO830">
        <v>0</v>
      </c>
      <c r="AP830">
        <v>5</v>
      </c>
      <c r="AQ830">
        <v>0</v>
      </c>
      <c r="AR830">
        <v>40</v>
      </c>
      <c r="AS830">
        <v>95</v>
      </c>
      <c r="AT830">
        <v>4320</v>
      </c>
      <c r="AU830" t="s">
        <v>35</v>
      </c>
    </row>
    <row r="831" spans="1:47" x14ac:dyDescent="0.2">
      <c r="A831">
        <v>928</v>
      </c>
      <c r="B831" t="s">
        <v>399</v>
      </c>
      <c r="C831">
        <v>15.3</v>
      </c>
      <c r="D831" t="s">
        <v>402</v>
      </c>
      <c r="G831" t="str">
        <f t="shared" si="12"/>
        <v>PSEA100115.3CD2.3</v>
      </c>
      <c r="H831">
        <v>62.585000000000001</v>
      </c>
      <c r="I831">
        <v>-172.24680000000001</v>
      </c>
      <c r="J831" s="3">
        <v>20100318</v>
      </c>
      <c r="K831">
        <v>2010</v>
      </c>
      <c r="L831">
        <v>0.72001999999999999</v>
      </c>
      <c r="M831">
        <v>1.1222099999999999</v>
      </c>
      <c r="N831">
        <v>0.21154999999999999</v>
      </c>
      <c r="O831">
        <v>0</v>
      </c>
      <c r="P831">
        <v>0.44350000000000001</v>
      </c>
      <c r="Q831">
        <v>0</v>
      </c>
      <c r="R831">
        <v>1.8000000000000001E-4</v>
      </c>
      <c r="S831">
        <v>0</v>
      </c>
      <c r="T831">
        <v>7.3499999999999998E-3</v>
      </c>
      <c r="U831">
        <v>3.6099999999999999E-3</v>
      </c>
      <c r="V831">
        <v>2.5084200000000001</v>
      </c>
      <c r="W831" t="s">
        <v>10</v>
      </c>
      <c r="X831">
        <v>10.686</v>
      </c>
      <c r="Y831">
        <v>30.417000000000002</v>
      </c>
      <c r="Z831">
        <v>2.9990000000000001</v>
      </c>
      <c r="AA831">
        <v>0</v>
      </c>
      <c r="AB831">
        <v>31.678999999999998</v>
      </c>
      <c r="AC831">
        <v>0</v>
      </c>
      <c r="AD831">
        <v>3.0000000000000001E-3</v>
      </c>
      <c r="AE831">
        <v>0</v>
      </c>
      <c r="AF831">
        <v>7.9000000000000001E-2</v>
      </c>
      <c r="AG831">
        <v>0.06</v>
      </c>
      <c r="AH831">
        <v>75.923000000000002</v>
      </c>
      <c r="AI831" t="s">
        <v>25</v>
      </c>
      <c r="AJ831">
        <v>835</v>
      </c>
      <c r="AK831">
        <v>645</v>
      </c>
      <c r="AL831">
        <v>1405</v>
      </c>
      <c r="AM831">
        <v>0</v>
      </c>
      <c r="AN831">
        <v>10</v>
      </c>
      <c r="AO831">
        <v>0</v>
      </c>
      <c r="AP831">
        <v>5</v>
      </c>
      <c r="AQ831">
        <v>0</v>
      </c>
      <c r="AR831">
        <v>25</v>
      </c>
      <c r="AS831">
        <v>50</v>
      </c>
      <c r="AT831">
        <v>2975</v>
      </c>
      <c r="AU831" t="s">
        <v>35</v>
      </c>
    </row>
    <row r="832" spans="1:47" x14ac:dyDescent="0.2">
      <c r="A832">
        <v>929</v>
      </c>
      <c r="B832" t="s">
        <v>399</v>
      </c>
      <c r="C832">
        <v>15.4</v>
      </c>
      <c r="D832" t="s">
        <v>403</v>
      </c>
      <c r="G832" t="str">
        <f t="shared" si="12"/>
        <v>PSEA100115.4CD2.4</v>
      </c>
      <c r="H832">
        <v>62.586300000000001</v>
      </c>
      <c r="I832">
        <v>-172.2516</v>
      </c>
      <c r="J832" s="3">
        <v>20100318</v>
      </c>
      <c r="K832">
        <v>2010</v>
      </c>
      <c r="L832">
        <v>0.81816999999999995</v>
      </c>
      <c r="M832">
        <v>0.76476</v>
      </c>
      <c r="N832">
        <v>0.11644</v>
      </c>
      <c r="O832">
        <v>1.8000000000000001E-4</v>
      </c>
      <c r="P832">
        <v>0.33400999999999997</v>
      </c>
      <c r="Q832">
        <v>0</v>
      </c>
      <c r="R832">
        <v>0</v>
      </c>
      <c r="S832">
        <v>9.5240000000000005E-2</v>
      </c>
      <c r="T832">
        <v>7.3999999999999999E-4</v>
      </c>
      <c r="U832">
        <v>1.6800000000000001E-3</v>
      </c>
      <c r="V832">
        <v>2.1312199999999999</v>
      </c>
      <c r="W832" t="s">
        <v>9</v>
      </c>
      <c r="X832">
        <v>10.557</v>
      </c>
      <c r="Y832">
        <v>23.356000000000002</v>
      </c>
      <c r="Z832">
        <v>1.6319999999999999</v>
      </c>
      <c r="AA832">
        <v>4.0000000000000001E-3</v>
      </c>
      <c r="AB832">
        <v>23.858000000000001</v>
      </c>
      <c r="AC832">
        <v>0</v>
      </c>
      <c r="AD832">
        <v>0</v>
      </c>
      <c r="AE832">
        <v>6.8029999999999999</v>
      </c>
      <c r="AF832">
        <v>8.0000000000000002E-3</v>
      </c>
      <c r="AG832">
        <v>0.03</v>
      </c>
      <c r="AH832">
        <v>66.248000000000005</v>
      </c>
      <c r="AI832" t="s">
        <v>25</v>
      </c>
      <c r="AJ832">
        <v>445</v>
      </c>
      <c r="AK832">
        <v>670</v>
      </c>
      <c r="AL832">
        <v>1030</v>
      </c>
      <c r="AM832">
        <v>5</v>
      </c>
      <c r="AN832">
        <v>5</v>
      </c>
      <c r="AO832">
        <v>0</v>
      </c>
      <c r="AP832">
        <v>0</v>
      </c>
      <c r="AQ832">
        <v>5</v>
      </c>
      <c r="AR832">
        <v>5</v>
      </c>
      <c r="AS832">
        <v>25</v>
      </c>
      <c r="AT832">
        <v>2190</v>
      </c>
      <c r="AU832" t="s">
        <v>35</v>
      </c>
    </row>
    <row r="833" spans="1:47" x14ac:dyDescent="0.2">
      <c r="A833">
        <v>930</v>
      </c>
      <c r="B833" t="s">
        <v>399</v>
      </c>
      <c r="C833">
        <v>15.5</v>
      </c>
      <c r="D833" t="s">
        <v>404</v>
      </c>
      <c r="G833" t="str">
        <f t="shared" si="12"/>
        <v>PSEA100115.5CD2.5</v>
      </c>
      <c r="H833">
        <v>62.585900000000002</v>
      </c>
      <c r="I833">
        <v>-172.2499</v>
      </c>
      <c r="J833" s="3">
        <v>20100319</v>
      </c>
      <c r="K833">
        <v>2010</v>
      </c>
      <c r="L833">
        <v>1.1750499999999999</v>
      </c>
      <c r="M833">
        <v>3.0445000000000002</v>
      </c>
      <c r="N833">
        <v>0.15109</v>
      </c>
      <c r="O833">
        <v>0</v>
      </c>
      <c r="P833">
        <v>1.26671</v>
      </c>
      <c r="Q833">
        <v>0</v>
      </c>
      <c r="R833">
        <v>0</v>
      </c>
      <c r="S833">
        <v>0.94843</v>
      </c>
      <c r="T833">
        <v>6.9800000000000001E-3</v>
      </c>
      <c r="U833">
        <v>4.2199999999999998E-3</v>
      </c>
      <c r="V833">
        <v>6.5969800000000003</v>
      </c>
      <c r="W833" t="s">
        <v>10</v>
      </c>
      <c r="X833">
        <v>14.885</v>
      </c>
      <c r="Y833">
        <v>116.815</v>
      </c>
      <c r="Z833">
        <v>2.1219999999999999</v>
      </c>
      <c r="AA833">
        <v>0</v>
      </c>
      <c r="AB833">
        <v>90.478999999999999</v>
      </c>
      <c r="AC833">
        <v>0</v>
      </c>
      <c r="AD833">
        <v>0</v>
      </c>
      <c r="AE833">
        <v>67.745000000000005</v>
      </c>
      <c r="AF833">
        <v>7.4999999999999997E-2</v>
      </c>
      <c r="AG833">
        <v>6.8000000000000005E-2</v>
      </c>
      <c r="AH833">
        <v>292.18900000000002</v>
      </c>
      <c r="AI833" t="s">
        <v>22</v>
      </c>
      <c r="AJ833">
        <v>685</v>
      </c>
      <c r="AK833">
        <v>610</v>
      </c>
      <c r="AL833">
        <v>810</v>
      </c>
      <c r="AM833">
        <v>0</v>
      </c>
      <c r="AN833">
        <v>20</v>
      </c>
      <c r="AO833">
        <v>0</v>
      </c>
      <c r="AP833">
        <v>0</v>
      </c>
      <c r="AQ833">
        <v>35</v>
      </c>
      <c r="AR833">
        <v>15</v>
      </c>
      <c r="AS833">
        <v>60</v>
      </c>
      <c r="AT833">
        <v>2235</v>
      </c>
      <c r="AU833" t="s">
        <v>35</v>
      </c>
    </row>
    <row r="834" spans="1:47" x14ac:dyDescent="0.2">
      <c r="A834">
        <v>931</v>
      </c>
      <c r="B834" t="s">
        <v>399</v>
      </c>
      <c r="C834">
        <v>15</v>
      </c>
      <c r="D834" t="s">
        <v>341</v>
      </c>
      <c r="G834" t="str">
        <f t="shared" si="12"/>
        <v>PSEA100115CD2</v>
      </c>
      <c r="H834">
        <v>62.531332999999997</v>
      </c>
      <c r="I834">
        <v>-172.11866699999999</v>
      </c>
      <c r="J834" s="3">
        <v>20100318</v>
      </c>
      <c r="K834">
        <v>2010</v>
      </c>
      <c r="L834">
        <v>2.6581899999999998</v>
      </c>
      <c r="M834">
        <v>1.6916800000000001</v>
      </c>
      <c r="N834">
        <v>1.37774</v>
      </c>
      <c r="O834">
        <v>0</v>
      </c>
      <c r="P834">
        <v>6.0000000000000002E-5</v>
      </c>
      <c r="Q834">
        <v>0</v>
      </c>
      <c r="R834">
        <v>0</v>
      </c>
      <c r="S834">
        <v>0.79605999999999999</v>
      </c>
      <c r="T834">
        <v>0.28077000000000002</v>
      </c>
      <c r="U834">
        <v>0.15834000000000001</v>
      </c>
      <c r="V834">
        <v>6.9628399999999999</v>
      </c>
      <c r="W834" t="s">
        <v>9</v>
      </c>
      <c r="X834">
        <v>40.18</v>
      </c>
      <c r="Y834">
        <v>45.323999999999998</v>
      </c>
      <c r="Z834">
        <v>19.957000000000001</v>
      </c>
      <c r="AA834">
        <v>0</v>
      </c>
      <c r="AB834">
        <v>4.0000000000000001E-3</v>
      </c>
      <c r="AC834">
        <v>0</v>
      </c>
      <c r="AD834">
        <v>0</v>
      </c>
      <c r="AE834">
        <v>19.416</v>
      </c>
      <c r="AF834">
        <v>3.0190000000000001</v>
      </c>
      <c r="AG834">
        <v>2.581</v>
      </c>
      <c r="AH834">
        <v>130.48099999999999</v>
      </c>
      <c r="AI834" t="s">
        <v>22</v>
      </c>
      <c r="AJ834">
        <v>2095</v>
      </c>
      <c r="AK834">
        <v>2297.5</v>
      </c>
      <c r="AL834">
        <v>5857.5</v>
      </c>
      <c r="AM834">
        <v>0</v>
      </c>
      <c r="AN834">
        <v>2.5</v>
      </c>
      <c r="AO834">
        <v>0</v>
      </c>
      <c r="AP834">
        <v>0</v>
      </c>
      <c r="AQ834">
        <v>2.5</v>
      </c>
      <c r="AR834">
        <v>35</v>
      </c>
      <c r="AS834">
        <v>212.5</v>
      </c>
      <c r="AT834">
        <v>10502.5</v>
      </c>
      <c r="AU834" t="s">
        <v>35</v>
      </c>
    </row>
    <row r="835" spans="1:47" x14ac:dyDescent="0.2">
      <c r="A835">
        <v>932</v>
      </c>
      <c r="B835" t="s">
        <v>399</v>
      </c>
      <c r="C835">
        <v>16</v>
      </c>
      <c r="D835" t="s">
        <v>404</v>
      </c>
      <c r="G835" t="str">
        <f t="shared" ref="G835:G898" si="13">CONCATENATE(B835,C835,D835)</f>
        <v>PSEA100116CD2.5</v>
      </c>
      <c r="H835">
        <v>62.585887</v>
      </c>
      <c r="I835">
        <v>-172.24992</v>
      </c>
      <c r="J835" s="3">
        <v>20100318</v>
      </c>
      <c r="K835">
        <v>2010</v>
      </c>
      <c r="L835">
        <v>1.17255</v>
      </c>
      <c r="M835">
        <v>11.431150000000001</v>
      </c>
      <c r="N835">
        <v>0.20931</v>
      </c>
      <c r="O835">
        <v>0</v>
      </c>
      <c r="P835">
        <v>0.39651999999999998</v>
      </c>
      <c r="Q835">
        <v>0</v>
      </c>
      <c r="R835">
        <v>1.2800000000000001E-3</v>
      </c>
      <c r="S835">
        <v>1.27155</v>
      </c>
      <c r="T835">
        <v>7.1599999999999997E-3</v>
      </c>
      <c r="U835">
        <v>3.4499999999999999E-3</v>
      </c>
      <c r="V835">
        <v>14.49297</v>
      </c>
      <c r="W835" t="s">
        <v>10</v>
      </c>
      <c r="X835">
        <v>17.135000000000002</v>
      </c>
      <c r="Y835">
        <v>364.83499999999998</v>
      </c>
      <c r="Z835">
        <v>2.9809999999999999</v>
      </c>
      <c r="AA835">
        <v>0</v>
      </c>
      <c r="AB835">
        <v>28.323</v>
      </c>
      <c r="AC835">
        <v>0</v>
      </c>
      <c r="AD835">
        <v>2.1000000000000001E-2</v>
      </c>
      <c r="AE835">
        <v>90.825000000000003</v>
      </c>
      <c r="AF835">
        <v>7.6999999999999999E-2</v>
      </c>
      <c r="AG835">
        <v>6.2E-2</v>
      </c>
      <c r="AH835">
        <v>504.25900000000001</v>
      </c>
      <c r="AI835" t="s">
        <v>22</v>
      </c>
      <c r="AJ835">
        <v>982.5</v>
      </c>
      <c r="AK835">
        <v>1162.5</v>
      </c>
      <c r="AL835">
        <v>1095</v>
      </c>
      <c r="AM835">
        <v>0</v>
      </c>
      <c r="AN835">
        <v>15</v>
      </c>
      <c r="AO835">
        <v>0</v>
      </c>
      <c r="AP835">
        <v>0</v>
      </c>
      <c r="AQ835">
        <v>50</v>
      </c>
      <c r="AR835">
        <v>27.5</v>
      </c>
      <c r="AS835">
        <v>50</v>
      </c>
      <c r="AT835">
        <v>3382.5</v>
      </c>
      <c r="AU835" t="s">
        <v>34</v>
      </c>
    </row>
    <row r="836" spans="1:47" x14ac:dyDescent="0.2">
      <c r="A836">
        <v>933</v>
      </c>
      <c r="B836" t="s">
        <v>399</v>
      </c>
      <c r="C836">
        <v>17</v>
      </c>
      <c r="D836" t="s">
        <v>259</v>
      </c>
      <c r="G836" t="str">
        <f t="shared" si="13"/>
        <v>PSEA100117SIL2</v>
      </c>
      <c r="H836">
        <v>62.751167000000002</v>
      </c>
      <c r="I836">
        <v>-171.6635</v>
      </c>
      <c r="J836" s="3">
        <v>20100319</v>
      </c>
      <c r="K836">
        <v>2010</v>
      </c>
      <c r="L836">
        <v>1.3697299999999999</v>
      </c>
      <c r="M836">
        <v>8.9823799999999991</v>
      </c>
      <c r="N836">
        <v>6.0049999999999999E-2</v>
      </c>
      <c r="O836">
        <v>0</v>
      </c>
      <c r="P836">
        <v>0.29842000000000002</v>
      </c>
      <c r="Q836">
        <v>0</v>
      </c>
      <c r="R836">
        <v>0</v>
      </c>
      <c r="S836">
        <v>1.9717</v>
      </c>
      <c r="T836">
        <v>0</v>
      </c>
      <c r="U836">
        <v>4.5260000000000002E-2</v>
      </c>
      <c r="V836">
        <v>12.727539999999999</v>
      </c>
      <c r="W836" t="s">
        <v>10</v>
      </c>
      <c r="X836">
        <v>24.268000000000001</v>
      </c>
      <c r="Y836">
        <v>231.846</v>
      </c>
      <c r="Z836">
        <v>0.83</v>
      </c>
      <c r="AA836">
        <v>0</v>
      </c>
      <c r="AB836">
        <v>21.315999999999999</v>
      </c>
      <c r="AC836">
        <v>0</v>
      </c>
      <c r="AD836">
        <v>0</v>
      </c>
      <c r="AE836">
        <v>140.83600000000001</v>
      </c>
      <c r="AF836">
        <v>0</v>
      </c>
      <c r="AG836">
        <v>0.73499999999999999</v>
      </c>
      <c r="AH836">
        <v>419.83100000000002</v>
      </c>
      <c r="AI836" t="s">
        <v>22</v>
      </c>
      <c r="AJ836">
        <v>827.5</v>
      </c>
      <c r="AK836">
        <v>1132.5</v>
      </c>
      <c r="AL836">
        <v>725</v>
      </c>
      <c r="AM836">
        <v>0</v>
      </c>
      <c r="AN836">
        <v>5</v>
      </c>
      <c r="AO836">
        <v>0</v>
      </c>
      <c r="AP836">
        <v>0</v>
      </c>
      <c r="AQ836">
        <v>167.5</v>
      </c>
      <c r="AR836">
        <v>0</v>
      </c>
      <c r="AS836">
        <v>20</v>
      </c>
      <c r="AT836">
        <v>2877.5</v>
      </c>
      <c r="AU836" t="s">
        <v>34</v>
      </c>
    </row>
    <row r="837" spans="1:47" x14ac:dyDescent="0.2">
      <c r="A837">
        <v>934</v>
      </c>
      <c r="B837" t="s">
        <v>399</v>
      </c>
      <c r="C837">
        <v>18</v>
      </c>
      <c r="D837" t="s">
        <v>355</v>
      </c>
      <c r="G837" t="str">
        <f t="shared" si="13"/>
        <v>PSEA100118SIL2.5</v>
      </c>
      <c r="H837">
        <v>62.630167</v>
      </c>
      <c r="I837">
        <v>-171.98666700000001</v>
      </c>
      <c r="J837" s="3">
        <v>20100319</v>
      </c>
      <c r="K837">
        <v>2010</v>
      </c>
      <c r="L837">
        <v>1.4550000000000001</v>
      </c>
      <c r="M837">
        <v>4.5908300000000004</v>
      </c>
      <c r="N837">
        <v>0.46142</v>
      </c>
      <c r="O837">
        <v>0</v>
      </c>
      <c r="P837">
        <v>0.16331999999999999</v>
      </c>
      <c r="Q837">
        <v>0</v>
      </c>
      <c r="R837">
        <v>2.0100000000000001E-3</v>
      </c>
      <c r="S837">
        <v>0.78230999999999995</v>
      </c>
      <c r="T837">
        <v>2.1479999999999999E-2</v>
      </c>
      <c r="U837">
        <v>4.3479999999999998E-2</v>
      </c>
      <c r="V837">
        <v>7.5198499999999999</v>
      </c>
      <c r="W837" t="s">
        <v>10</v>
      </c>
      <c r="X837">
        <v>20.998000000000001</v>
      </c>
      <c r="Y837">
        <v>139.054</v>
      </c>
      <c r="Z837">
        <v>6.6559999999999997</v>
      </c>
      <c r="AA837">
        <v>0</v>
      </c>
      <c r="AB837">
        <v>11.666</v>
      </c>
      <c r="AC837">
        <v>0</v>
      </c>
      <c r="AD837">
        <v>3.3000000000000002E-2</v>
      </c>
      <c r="AE837">
        <v>55.878999999999998</v>
      </c>
      <c r="AF837">
        <v>0.23100000000000001</v>
      </c>
      <c r="AG837">
        <v>0.71299999999999997</v>
      </c>
      <c r="AH837">
        <v>235.23</v>
      </c>
      <c r="AI837" t="s">
        <v>22</v>
      </c>
      <c r="AJ837">
        <v>730</v>
      </c>
      <c r="AK837">
        <v>880</v>
      </c>
      <c r="AL837">
        <v>2777.5</v>
      </c>
      <c r="AM837">
        <v>0</v>
      </c>
      <c r="AN837">
        <v>2.5</v>
      </c>
      <c r="AO837">
        <v>0</v>
      </c>
      <c r="AP837">
        <v>0</v>
      </c>
      <c r="AQ837">
        <v>37.5</v>
      </c>
      <c r="AR837">
        <v>15</v>
      </c>
      <c r="AS837">
        <v>45</v>
      </c>
      <c r="AT837">
        <v>4487.5</v>
      </c>
      <c r="AU837" t="s">
        <v>35</v>
      </c>
    </row>
    <row r="838" spans="1:47" x14ac:dyDescent="0.2">
      <c r="A838">
        <v>935</v>
      </c>
      <c r="B838" t="s">
        <v>399</v>
      </c>
      <c r="C838">
        <v>19</v>
      </c>
      <c r="D838" t="s">
        <v>405</v>
      </c>
      <c r="G838" t="str">
        <f t="shared" si="13"/>
        <v>PSEA100119CD10C</v>
      </c>
      <c r="H838">
        <v>62.3705</v>
      </c>
      <c r="I838">
        <v>-172.38316699999999</v>
      </c>
      <c r="J838" s="3">
        <v>20100320</v>
      </c>
      <c r="K838">
        <v>2010</v>
      </c>
      <c r="L838">
        <v>6.7689399999999997</v>
      </c>
      <c r="M838">
        <v>8.4138599999999997</v>
      </c>
      <c r="N838">
        <v>0.48363</v>
      </c>
      <c r="O838">
        <v>0</v>
      </c>
      <c r="P838">
        <v>0.20635000000000001</v>
      </c>
      <c r="Q838">
        <v>0</v>
      </c>
      <c r="R838">
        <v>0</v>
      </c>
      <c r="S838">
        <v>2.9771000000000001</v>
      </c>
      <c r="T838">
        <v>0.13772999999999999</v>
      </c>
      <c r="U838">
        <v>2.5919999999999999E-2</v>
      </c>
      <c r="V838">
        <v>19.013529999999999</v>
      </c>
      <c r="W838" t="s">
        <v>10</v>
      </c>
      <c r="X838">
        <v>96.638000000000005</v>
      </c>
      <c r="Y838">
        <v>248.78700000000001</v>
      </c>
      <c r="Z838">
        <v>6.8730000000000002</v>
      </c>
      <c r="AA838">
        <v>0</v>
      </c>
      <c r="AB838">
        <v>14.739000000000001</v>
      </c>
      <c r="AC838">
        <v>0</v>
      </c>
      <c r="AD838">
        <v>0</v>
      </c>
      <c r="AE838">
        <v>212.65</v>
      </c>
      <c r="AF838">
        <v>1.4810000000000001</v>
      </c>
      <c r="AG838">
        <v>0.45400000000000001</v>
      </c>
      <c r="AH838">
        <v>581.62199999999996</v>
      </c>
      <c r="AI838" t="s">
        <v>22</v>
      </c>
      <c r="AJ838">
        <v>1317.5</v>
      </c>
      <c r="AK838">
        <v>890</v>
      </c>
      <c r="AL838">
        <v>1192.5</v>
      </c>
      <c r="AM838">
        <v>0</v>
      </c>
      <c r="AN838">
        <v>2.5</v>
      </c>
      <c r="AO838">
        <v>0</v>
      </c>
      <c r="AP838">
        <v>0</v>
      </c>
      <c r="AQ838">
        <v>65</v>
      </c>
      <c r="AR838">
        <v>40</v>
      </c>
      <c r="AS838">
        <v>60</v>
      </c>
      <c r="AT838">
        <v>3567.5</v>
      </c>
      <c r="AU838" t="s">
        <v>33</v>
      </c>
    </row>
    <row r="839" spans="1:47" x14ac:dyDescent="0.2">
      <c r="A839">
        <v>936</v>
      </c>
      <c r="B839" t="s">
        <v>399</v>
      </c>
      <c r="C839">
        <v>2</v>
      </c>
      <c r="D839" s="4" t="s">
        <v>552</v>
      </c>
      <c r="E839" s="4" t="s">
        <v>552</v>
      </c>
      <c r="F839" s="4" t="s">
        <v>279</v>
      </c>
      <c r="G839" t="str">
        <f t="shared" si="13"/>
        <v>PSEA10012SLIP2</v>
      </c>
      <c r="H839">
        <v>62.046999999999997</v>
      </c>
      <c r="I839">
        <v>-175.19633300000001</v>
      </c>
      <c r="J839" s="3">
        <v>20100313</v>
      </c>
      <c r="K839">
        <v>2010</v>
      </c>
      <c r="L839">
        <v>3.52149</v>
      </c>
      <c r="M839">
        <v>3.70913</v>
      </c>
      <c r="N839">
        <v>0.23016</v>
      </c>
      <c r="O839">
        <v>5.9720000000000002E-2</v>
      </c>
      <c r="P839">
        <v>0.40862999999999999</v>
      </c>
      <c r="Q839">
        <v>0</v>
      </c>
      <c r="R839">
        <v>0</v>
      </c>
      <c r="S839">
        <v>0.13517999999999999</v>
      </c>
      <c r="T839">
        <v>0.22134000000000001</v>
      </c>
      <c r="U839">
        <v>0.17033000000000001</v>
      </c>
      <c r="V839">
        <v>8.4559800000000003</v>
      </c>
      <c r="W839" t="s">
        <v>10</v>
      </c>
      <c r="X839">
        <v>51.475000000000001</v>
      </c>
      <c r="Y839">
        <v>108.982</v>
      </c>
      <c r="Z839">
        <v>3.048</v>
      </c>
      <c r="AA839">
        <v>1.327</v>
      </c>
      <c r="AB839">
        <v>29.187999999999999</v>
      </c>
      <c r="AC839">
        <v>0</v>
      </c>
      <c r="AD839">
        <v>0</v>
      </c>
      <c r="AE839">
        <v>9.6560000000000006</v>
      </c>
      <c r="AF839">
        <v>2.38</v>
      </c>
      <c r="AG839">
        <v>3.7170000000000001</v>
      </c>
      <c r="AH839">
        <v>209.773</v>
      </c>
      <c r="AI839" t="s">
        <v>22</v>
      </c>
      <c r="AJ839">
        <v>885</v>
      </c>
      <c r="AK839">
        <v>195</v>
      </c>
      <c r="AL839">
        <v>377.5</v>
      </c>
      <c r="AM839">
        <v>12.5</v>
      </c>
      <c r="AN839">
        <v>140</v>
      </c>
      <c r="AO839">
        <v>0</v>
      </c>
      <c r="AP839">
        <v>0</v>
      </c>
      <c r="AQ839">
        <v>2.5</v>
      </c>
      <c r="AR839">
        <v>10</v>
      </c>
      <c r="AS839">
        <v>112.5</v>
      </c>
      <c r="AT839">
        <v>1735</v>
      </c>
      <c r="AU839" t="s">
        <v>33</v>
      </c>
    </row>
    <row r="840" spans="1:47" x14ac:dyDescent="0.2">
      <c r="A840">
        <v>937</v>
      </c>
      <c r="B840" t="s">
        <v>399</v>
      </c>
      <c r="C840">
        <v>20</v>
      </c>
      <c r="D840" t="s">
        <v>406</v>
      </c>
      <c r="G840" t="str">
        <f t="shared" si="13"/>
        <v>PSEA100120CD10B</v>
      </c>
      <c r="H840">
        <v>62.258333</v>
      </c>
      <c r="I840">
        <v>-172.28200000000001</v>
      </c>
      <c r="J840" s="3">
        <v>20100320</v>
      </c>
      <c r="K840">
        <v>2010</v>
      </c>
      <c r="L840">
        <v>3.77237</v>
      </c>
      <c r="M840">
        <v>15.80805</v>
      </c>
      <c r="N840">
        <v>1.2038599999999999</v>
      </c>
      <c r="O840">
        <v>0</v>
      </c>
      <c r="P840">
        <v>1.7000000000000001E-4</v>
      </c>
      <c r="Q840">
        <v>0</v>
      </c>
      <c r="R840">
        <v>7.2999999999999996E-4</v>
      </c>
      <c r="S840">
        <v>0</v>
      </c>
      <c r="T840">
        <v>2.8459999999999999E-2</v>
      </c>
      <c r="U840">
        <v>3.1109999999999999E-2</v>
      </c>
      <c r="V840">
        <v>20.844750000000001</v>
      </c>
      <c r="W840" t="s">
        <v>10</v>
      </c>
      <c r="X840">
        <v>55.000999999999998</v>
      </c>
      <c r="Y840">
        <v>619.95699999999999</v>
      </c>
      <c r="Z840">
        <v>17.599</v>
      </c>
      <c r="AA840">
        <v>0</v>
      </c>
      <c r="AB840">
        <v>1.2E-2</v>
      </c>
      <c r="AC840">
        <v>0</v>
      </c>
      <c r="AD840">
        <v>1.2E-2</v>
      </c>
      <c r="AE840">
        <v>0</v>
      </c>
      <c r="AF840">
        <v>0.30599999999999999</v>
      </c>
      <c r="AG840">
        <v>0.50700000000000001</v>
      </c>
      <c r="AH840">
        <v>693.39400000000001</v>
      </c>
      <c r="AI840" t="s">
        <v>22</v>
      </c>
      <c r="AJ840">
        <v>877.5</v>
      </c>
      <c r="AK840">
        <v>1597.5</v>
      </c>
      <c r="AL840">
        <v>1772.5</v>
      </c>
      <c r="AM840">
        <v>0</v>
      </c>
      <c r="AN840">
        <v>7.5</v>
      </c>
      <c r="AO840">
        <v>0</v>
      </c>
      <c r="AP840">
        <v>0</v>
      </c>
      <c r="AQ840">
        <v>0</v>
      </c>
      <c r="AR840">
        <v>12.5</v>
      </c>
      <c r="AS840">
        <v>87.5</v>
      </c>
      <c r="AT840">
        <v>4355</v>
      </c>
      <c r="AU840" t="s">
        <v>35</v>
      </c>
    </row>
    <row r="841" spans="1:47" x14ac:dyDescent="0.2">
      <c r="A841">
        <v>938</v>
      </c>
      <c r="B841" t="s">
        <v>399</v>
      </c>
      <c r="C841">
        <v>21</v>
      </c>
      <c r="D841" t="s">
        <v>407</v>
      </c>
      <c r="G841" t="str">
        <f t="shared" si="13"/>
        <v>PSEA100121CD10A</v>
      </c>
      <c r="H841">
        <v>62.150832999999999</v>
      </c>
      <c r="I841">
        <v>-172.178</v>
      </c>
      <c r="J841" s="3">
        <v>20100320</v>
      </c>
      <c r="K841">
        <v>2010</v>
      </c>
      <c r="L841">
        <v>3.5324300000000002</v>
      </c>
      <c r="M841">
        <v>13.138820000000001</v>
      </c>
      <c r="N841">
        <v>1.1826000000000001</v>
      </c>
      <c r="O841">
        <v>1.4E-3</v>
      </c>
      <c r="P841">
        <v>3.0000000000000001E-5</v>
      </c>
      <c r="Q841">
        <v>0</v>
      </c>
      <c r="R841">
        <v>0</v>
      </c>
      <c r="S841">
        <v>0</v>
      </c>
      <c r="T841">
        <v>6.6960000000000006E-2</v>
      </c>
      <c r="U841">
        <v>1.443E-2</v>
      </c>
      <c r="V841">
        <v>17.936669999999999</v>
      </c>
      <c r="W841" t="s">
        <v>10</v>
      </c>
      <c r="X841">
        <v>52.396999999999998</v>
      </c>
      <c r="Y841">
        <v>396.62</v>
      </c>
      <c r="Z841">
        <v>17.28</v>
      </c>
      <c r="AA841">
        <v>3.1E-2</v>
      </c>
      <c r="AB841">
        <v>2E-3</v>
      </c>
      <c r="AC841">
        <v>0</v>
      </c>
      <c r="AD841">
        <v>0</v>
      </c>
      <c r="AE841">
        <v>0</v>
      </c>
      <c r="AF841">
        <v>0.72</v>
      </c>
      <c r="AG841">
        <v>0.23200000000000001</v>
      </c>
      <c r="AH841">
        <v>467.28199999999998</v>
      </c>
      <c r="AI841" t="s">
        <v>22</v>
      </c>
      <c r="AJ841">
        <v>712.5</v>
      </c>
      <c r="AK841">
        <v>1600</v>
      </c>
      <c r="AL841">
        <v>1725</v>
      </c>
      <c r="AM841">
        <v>12.5</v>
      </c>
      <c r="AN841">
        <v>2.5</v>
      </c>
      <c r="AO841">
        <v>0</v>
      </c>
      <c r="AP841">
        <v>0</v>
      </c>
      <c r="AQ841">
        <v>0</v>
      </c>
      <c r="AR841">
        <v>40</v>
      </c>
      <c r="AS841">
        <v>97.5</v>
      </c>
      <c r="AT841">
        <v>4190</v>
      </c>
      <c r="AU841" t="s">
        <v>35</v>
      </c>
    </row>
    <row r="842" spans="1:47" x14ac:dyDescent="0.2">
      <c r="A842">
        <v>939</v>
      </c>
      <c r="B842" t="s">
        <v>399</v>
      </c>
      <c r="C842">
        <v>22</v>
      </c>
      <c r="D842" t="s">
        <v>233</v>
      </c>
      <c r="G842" t="str">
        <f t="shared" si="13"/>
        <v>PSEA100122SEC4</v>
      </c>
      <c r="H842">
        <v>61.923499999999997</v>
      </c>
      <c r="I842">
        <v>-172.21766700000001</v>
      </c>
      <c r="J842" s="3">
        <v>20100320</v>
      </c>
      <c r="K842">
        <v>2010</v>
      </c>
      <c r="L842">
        <v>3.27203</v>
      </c>
      <c r="M842">
        <v>16.91564</v>
      </c>
      <c r="N842">
        <v>1.2800199999999999</v>
      </c>
      <c r="O842">
        <v>0.49757000000000001</v>
      </c>
      <c r="P842">
        <v>1.4999999999999999E-4</v>
      </c>
      <c r="Q842">
        <v>0</v>
      </c>
      <c r="R842">
        <v>0</v>
      </c>
      <c r="S842">
        <v>0</v>
      </c>
      <c r="T842">
        <v>3.1809999999999998E-2</v>
      </c>
      <c r="U842">
        <v>0.13399</v>
      </c>
      <c r="V842">
        <v>22.131209999999999</v>
      </c>
      <c r="W842" t="s">
        <v>10</v>
      </c>
      <c r="X842">
        <v>50.511000000000003</v>
      </c>
      <c r="Y842">
        <v>587.17100000000005</v>
      </c>
      <c r="Z842">
        <v>18.067</v>
      </c>
      <c r="AA842">
        <v>11.057</v>
      </c>
      <c r="AB842">
        <v>1.0999999999999999E-2</v>
      </c>
      <c r="AC842">
        <v>0</v>
      </c>
      <c r="AD842">
        <v>0</v>
      </c>
      <c r="AE842">
        <v>0</v>
      </c>
      <c r="AF842">
        <v>0.34200000000000003</v>
      </c>
      <c r="AG842">
        <v>2.16</v>
      </c>
      <c r="AH842">
        <v>669.31899999999996</v>
      </c>
      <c r="AI842" t="s">
        <v>22</v>
      </c>
      <c r="AJ842">
        <v>1122.5</v>
      </c>
      <c r="AK842">
        <v>9825</v>
      </c>
      <c r="AL842">
        <v>935</v>
      </c>
      <c r="AM842">
        <v>5</v>
      </c>
      <c r="AN842">
        <v>5</v>
      </c>
      <c r="AO842">
        <v>0</v>
      </c>
      <c r="AP842">
        <v>0</v>
      </c>
      <c r="AQ842">
        <v>0</v>
      </c>
      <c r="AR842">
        <v>20</v>
      </c>
      <c r="AS842">
        <v>137.5</v>
      </c>
      <c r="AT842">
        <v>12050</v>
      </c>
      <c r="AU842" t="s">
        <v>34</v>
      </c>
    </row>
    <row r="843" spans="1:47" x14ac:dyDescent="0.2">
      <c r="A843">
        <v>940</v>
      </c>
      <c r="B843" t="s">
        <v>399</v>
      </c>
      <c r="C843">
        <v>23</v>
      </c>
      <c r="D843" t="s">
        <v>254</v>
      </c>
      <c r="G843" t="str">
        <f t="shared" si="13"/>
        <v>PSEA100123SEC3</v>
      </c>
      <c r="H843">
        <v>62.280999999999999</v>
      </c>
      <c r="I843">
        <v>-171.56283300000001</v>
      </c>
      <c r="J843" s="3">
        <v>20100320</v>
      </c>
      <c r="K843">
        <v>2010</v>
      </c>
      <c r="L843">
        <v>1.2335</v>
      </c>
      <c r="M843">
        <v>6.1141800000000002</v>
      </c>
      <c r="N843">
        <v>0.51539000000000001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5.04E-2</v>
      </c>
      <c r="U843">
        <v>3.1690000000000003E-2</v>
      </c>
      <c r="V843">
        <v>7.9451599999999996</v>
      </c>
      <c r="W843" t="s">
        <v>10</v>
      </c>
      <c r="X843">
        <v>17.864000000000001</v>
      </c>
      <c r="Y843">
        <v>214.02</v>
      </c>
      <c r="Z843">
        <v>7.4749999999999996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0.54200000000000004</v>
      </c>
      <c r="AG843">
        <v>0.54500000000000004</v>
      </c>
      <c r="AH843">
        <v>240.446</v>
      </c>
      <c r="AI843" t="s">
        <v>22</v>
      </c>
      <c r="AJ843">
        <v>932.5</v>
      </c>
      <c r="AK843">
        <v>2540</v>
      </c>
      <c r="AL843">
        <v>2935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2.5</v>
      </c>
      <c r="AS843">
        <v>127.5</v>
      </c>
      <c r="AT843">
        <v>6537.5</v>
      </c>
      <c r="AU843" t="s">
        <v>35</v>
      </c>
    </row>
    <row r="844" spans="1:47" x14ac:dyDescent="0.2">
      <c r="A844">
        <v>941</v>
      </c>
      <c r="B844" t="s">
        <v>399</v>
      </c>
      <c r="C844">
        <v>24</v>
      </c>
      <c r="D844" t="s">
        <v>255</v>
      </c>
      <c r="G844" t="str">
        <f t="shared" si="13"/>
        <v>PSEA100124NEC3</v>
      </c>
      <c r="H844">
        <v>62.058500000000002</v>
      </c>
      <c r="I844">
        <v>-170.649833</v>
      </c>
      <c r="J844" s="3">
        <v>20100321</v>
      </c>
      <c r="K844">
        <v>2010</v>
      </c>
      <c r="L844">
        <v>1.84643</v>
      </c>
      <c r="M844">
        <v>1.25285</v>
      </c>
      <c r="N844">
        <v>0.15989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1.1199999999999999E-3</v>
      </c>
      <c r="U844">
        <v>2.1299999999999999E-3</v>
      </c>
      <c r="V844">
        <v>3.2624200000000001</v>
      </c>
      <c r="W844" t="s">
        <v>9</v>
      </c>
      <c r="X844">
        <v>27.675999999999998</v>
      </c>
      <c r="Y844">
        <v>34.912999999999997</v>
      </c>
      <c r="Z844">
        <v>2.2730000000000001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1.2E-2</v>
      </c>
      <c r="AG844">
        <v>4.4999999999999998E-2</v>
      </c>
      <c r="AH844">
        <v>64.918999999999997</v>
      </c>
      <c r="AI844" t="s">
        <v>22</v>
      </c>
      <c r="AJ844">
        <v>640</v>
      </c>
      <c r="AK844">
        <v>1127.5</v>
      </c>
      <c r="AL844">
        <v>525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2.5</v>
      </c>
      <c r="AS844">
        <v>12.5</v>
      </c>
      <c r="AT844">
        <v>2307.5</v>
      </c>
      <c r="AU844" t="s">
        <v>34</v>
      </c>
    </row>
    <row r="845" spans="1:47" x14ac:dyDescent="0.2">
      <c r="A845">
        <v>942</v>
      </c>
      <c r="B845" t="s">
        <v>399</v>
      </c>
      <c r="C845">
        <v>25</v>
      </c>
      <c r="D845" t="s">
        <v>408</v>
      </c>
      <c r="G845" t="str">
        <f t="shared" si="13"/>
        <v>PSEA100125MK11</v>
      </c>
      <c r="H845">
        <v>62.178167000000002</v>
      </c>
      <c r="I845">
        <v>-169.46466699999999</v>
      </c>
      <c r="J845" s="3">
        <v>20100321</v>
      </c>
      <c r="K845">
        <v>2010</v>
      </c>
      <c r="L845">
        <v>1.2358</v>
      </c>
      <c r="M845">
        <v>0.39951999999999999</v>
      </c>
      <c r="N845">
        <v>0.28132000000000001</v>
      </c>
      <c r="O845">
        <v>0</v>
      </c>
      <c r="P845">
        <v>8.4999999999999995E-4</v>
      </c>
      <c r="Q845">
        <v>0</v>
      </c>
      <c r="R845">
        <v>0</v>
      </c>
      <c r="S845">
        <v>0.24734</v>
      </c>
      <c r="T845">
        <v>3.6999999999999999E-4</v>
      </c>
      <c r="U845">
        <v>3.3829999999999999E-2</v>
      </c>
      <c r="V845">
        <v>2.19903</v>
      </c>
      <c r="W845" t="s">
        <v>9</v>
      </c>
      <c r="X845">
        <v>18.582000000000001</v>
      </c>
      <c r="Y845">
        <v>10.843</v>
      </c>
      <c r="Z845">
        <v>3.9689999999999999</v>
      </c>
      <c r="AA845">
        <v>0</v>
      </c>
      <c r="AB845">
        <v>6.0999999999999999E-2</v>
      </c>
      <c r="AC845">
        <v>0</v>
      </c>
      <c r="AD845">
        <v>0</v>
      </c>
      <c r="AE845">
        <v>17.667000000000002</v>
      </c>
      <c r="AF845">
        <v>4.0000000000000001E-3</v>
      </c>
      <c r="AG845">
        <v>1.022</v>
      </c>
      <c r="AH845">
        <v>52.148000000000003</v>
      </c>
      <c r="AI845" t="s">
        <v>21</v>
      </c>
      <c r="AJ845">
        <v>1195</v>
      </c>
      <c r="AK845">
        <v>1555</v>
      </c>
      <c r="AL845">
        <v>2415</v>
      </c>
      <c r="AM845">
        <v>0</v>
      </c>
      <c r="AN845">
        <v>10</v>
      </c>
      <c r="AO845">
        <v>0</v>
      </c>
      <c r="AP845">
        <v>0</v>
      </c>
      <c r="AQ845">
        <v>15</v>
      </c>
      <c r="AR845">
        <v>5</v>
      </c>
      <c r="AS845">
        <v>75</v>
      </c>
      <c r="AT845">
        <v>5270</v>
      </c>
      <c r="AU845" t="s">
        <v>35</v>
      </c>
    </row>
    <row r="846" spans="1:47" x14ac:dyDescent="0.2">
      <c r="A846">
        <v>943</v>
      </c>
      <c r="B846" t="s">
        <v>399</v>
      </c>
      <c r="C846">
        <v>26</v>
      </c>
      <c r="D846" t="s">
        <v>256</v>
      </c>
      <c r="G846" t="str">
        <f t="shared" si="13"/>
        <v>PSEA100126NEC2</v>
      </c>
      <c r="H846">
        <v>62.4285</v>
      </c>
      <c r="I846">
        <v>-170.05699999999999</v>
      </c>
      <c r="J846" s="3">
        <v>20100321</v>
      </c>
      <c r="K846">
        <v>2010</v>
      </c>
      <c r="L846">
        <v>1.0870899999999999</v>
      </c>
      <c r="M846">
        <v>0.39674999999999999</v>
      </c>
      <c r="N846">
        <v>1.36802</v>
      </c>
      <c r="O846">
        <v>0</v>
      </c>
      <c r="P846">
        <v>6.0000000000000002E-5</v>
      </c>
      <c r="Q846">
        <v>7.7499999999999999E-3</v>
      </c>
      <c r="R846">
        <v>0</v>
      </c>
      <c r="S846">
        <v>0</v>
      </c>
      <c r="T846">
        <v>0.13457</v>
      </c>
      <c r="U846">
        <v>8.2680000000000003E-2</v>
      </c>
      <c r="V846">
        <v>3.0769199999999999</v>
      </c>
      <c r="W846" t="s">
        <v>11</v>
      </c>
      <c r="X846">
        <v>16.161999999999999</v>
      </c>
      <c r="Y846">
        <v>18.803999999999998</v>
      </c>
      <c r="Z846">
        <v>19.588999999999999</v>
      </c>
      <c r="AA846">
        <v>0</v>
      </c>
      <c r="AB846">
        <v>4.0000000000000001E-3</v>
      </c>
      <c r="AC846">
        <v>0.70499999999999996</v>
      </c>
      <c r="AD846">
        <v>0</v>
      </c>
      <c r="AE846">
        <v>0</v>
      </c>
      <c r="AF846">
        <v>1.4470000000000001</v>
      </c>
      <c r="AG846">
        <v>1.355</v>
      </c>
      <c r="AH846">
        <v>58.066000000000003</v>
      </c>
      <c r="AI846" t="s">
        <v>23</v>
      </c>
      <c r="AJ846">
        <v>1405</v>
      </c>
      <c r="AK846">
        <v>910</v>
      </c>
      <c r="AL846">
        <v>7655</v>
      </c>
      <c r="AM846">
        <v>0</v>
      </c>
      <c r="AN846">
        <v>10</v>
      </c>
      <c r="AO846">
        <v>1195</v>
      </c>
      <c r="AP846">
        <v>0</v>
      </c>
      <c r="AQ846">
        <v>0</v>
      </c>
      <c r="AR846">
        <v>42.5</v>
      </c>
      <c r="AS846">
        <v>152.5</v>
      </c>
      <c r="AT846">
        <v>11370</v>
      </c>
      <c r="AU846" t="s">
        <v>35</v>
      </c>
    </row>
    <row r="847" spans="1:47" x14ac:dyDescent="0.2">
      <c r="A847">
        <v>944</v>
      </c>
      <c r="B847" t="s">
        <v>399</v>
      </c>
      <c r="C847">
        <v>27</v>
      </c>
      <c r="D847" t="s">
        <v>305</v>
      </c>
      <c r="G847" t="str">
        <f t="shared" si="13"/>
        <v>PSEA100127NEC1</v>
      </c>
      <c r="H847">
        <v>62.758667000000003</v>
      </c>
      <c r="I847">
        <v>-169.59183300000001</v>
      </c>
      <c r="J847" s="3">
        <v>20100322</v>
      </c>
      <c r="K847">
        <v>2010</v>
      </c>
      <c r="L847">
        <v>0.80984999999999996</v>
      </c>
      <c r="M847">
        <v>4.2263299999999999</v>
      </c>
      <c r="N847">
        <v>0.12606999999999999</v>
      </c>
      <c r="O847">
        <v>0</v>
      </c>
      <c r="P847">
        <v>0</v>
      </c>
      <c r="Q847">
        <v>1.0000000000000001E-5</v>
      </c>
      <c r="R847">
        <v>4.8999999999999998E-4</v>
      </c>
      <c r="S847">
        <v>1.4126300000000001</v>
      </c>
      <c r="T847">
        <v>9.58E-3</v>
      </c>
      <c r="U847">
        <v>2.77603</v>
      </c>
      <c r="V847">
        <v>9.3609899999999993</v>
      </c>
      <c r="W847" t="s">
        <v>10</v>
      </c>
      <c r="X847">
        <v>11.419</v>
      </c>
      <c r="Y847">
        <v>121.441</v>
      </c>
      <c r="Z847">
        <v>1.6970000000000001</v>
      </c>
      <c r="AA847">
        <v>0</v>
      </c>
      <c r="AB847">
        <v>0</v>
      </c>
      <c r="AC847">
        <v>1E-3</v>
      </c>
      <c r="AD847">
        <v>8.0000000000000002E-3</v>
      </c>
      <c r="AE847">
        <v>100.902</v>
      </c>
      <c r="AF847">
        <v>0.10299999999999999</v>
      </c>
      <c r="AG847">
        <v>112.04300000000001</v>
      </c>
      <c r="AH847">
        <v>347.61399999999998</v>
      </c>
      <c r="AI847" t="s">
        <v>22</v>
      </c>
      <c r="AJ847">
        <v>655</v>
      </c>
      <c r="AK847">
        <v>617.5</v>
      </c>
      <c r="AL847">
        <v>875</v>
      </c>
      <c r="AM847">
        <v>0</v>
      </c>
      <c r="AN847">
        <v>0</v>
      </c>
      <c r="AO847">
        <v>2.5</v>
      </c>
      <c r="AP847">
        <v>0</v>
      </c>
      <c r="AQ847">
        <v>125</v>
      </c>
      <c r="AR847">
        <v>42.5</v>
      </c>
      <c r="AS847">
        <v>85</v>
      </c>
      <c r="AT847">
        <v>2402.5</v>
      </c>
      <c r="AU847" t="s">
        <v>35</v>
      </c>
    </row>
    <row r="848" spans="1:47" x14ac:dyDescent="0.2">
      <c r="A848">
        <v>945</v>
      </c>
      <c r="B848" t="s">
        <v>399</v>
      </c>
      <c r="C848">
        <v>28</v>
      </c>
      <c r="D848" t="s">
        <v>409</v>
      </c>
      <c r="G848" t="str">
        <f t="shared" si="13"/>
        <v>PSEA100128NEC1.1</v>
      </c>
      <c r="H848">
        <v>62.852666999999997</v>
      </c>
      <c r="I848">
        <v>-169.88733300000001</v>
      </c>
      <c r="J848" s="3">
        <v>20100322</v>
      </c>
      <c r="K848">
        <v>2010</v>
      </c>
      <c r="L848">
        <v>2.2080700000000002</v>
      </c>
      <c r="M848">
        <v>9.2438699999999994</v>
      </c>
      <c r="N848">
        <v>2.3689399999999998</v>
      </c>
      <c r="O848">
        <v>0</v>
      </c>
      <c r="P848">
        <v>0</v>
      </c>
      <c r="Q848">
        <v>0.52419000000000004</v>
      </c>
      <c r="R848">
        <v>0</v>
      </c>
      <c r="S848">
        <v>0.41138000000000002</v>
      </c>
      <c r="T848">
        <v>2.5479999999999999E-2</v>
      </c>
      <c r="U848">
        <v>0.14029</v>
      </c>
      <c r="V848">
        <v>14.922219999999999</v>
      </c>
      <c r="W848" t="s">
        <v>10</v>
      </c>
      <c r="X848">
        <v>32.320999999999998</v>
      </c>
      <c r="Y848">
        <v>303.59899999999999</v>
      </c>
      <c r="Z848">
        <v>33.676000000000002</v>
      </c>
      <c r="AA848">
        <v>0</v>
      </c>
      <c r="AB848">
        <v>0</v>
      </c>
      <c r="AC848">
        <v>65.346999999999994</v>
      </c>
      <c r="AD848">
        <v>0</v>
      </c>
      <c r="AE848">
        <v>29.384</v>
      </c>
      <c r="AF848">
        <v>0.27400000000000002</v>
      </c>
      <c r="AG848">
        <v>2.6120000000000001</v>
      </c>
      <c r="AH848">
        <v>467.21300000000002</v>
      </c>
      <c r="AI848" t="s">
        <v>22</v>
      </c>
      <c r="AJ848">
        <v>1262.5</v>
      </c>
      <c r="AK848">
        <v>2915</v>
      </c>
      <c r="AL848">
        <v>4735</v>
      </c>
      <c r="AM848">
        <v>0</v>
      </c>
      <c r="AN848">
        <v>0</v>
      </c>
      <c r="AO848">
        <v>852.5</v>
      </c>
      <c r="AP848">
        <v>0</v>
      </c>
      <c r="AQ848">
        <v>17.5</v>
      </c>
      <c r="AR848">
        <v>50</v>
      </c>
      <c r="AS848">
        <v>287.5</v>
      </c>
      <c r="AT848">
        <v>10120</v>
      </c>
      <c r="AU848" t="s">
        <v>35</v>
      </c>
    </row>
    <row r="849" spans="1:47" x14ac:dyDescent="0.2">
      <c r="A849">
        <v>946</v>
      </c>
      <c r="B849" t="s">
        <v>399</v>
      </c>
      <c r="C849">
        <v>29</v>
      </c>
      <c r="D849" t="s">
        <v>410</v>
      </c>
      <c r="G849" t="str">
        <f t="shared" si="13"/>
        <v>PSEA100129NEC1.2</v>
      </c>
      <c r="H849">
        <v>62.648000000000003</v>
      </c>
      <c r="I849">
        <v>-170.3135</v>
      </c>
      <c r="J849" s="3">
        <v>20100322</v>
      </c>
      <c r="K849">
        <v>2010</v>
      </c>
      <c r="L849">
        <v>2.0683600000000002</v>
      </c>
      <c r="M849">
        <v>5.9282500000000002</v>
      </c>
      <c r="N849">
        <v>0.13328999999999999</v>
      </c>
      <c r="O849">
        <v>0</v>
      </c>
      <c r="P849">
        <v>4.8999999999999998E-4</v>
      </c>
      <c r="Q849">
        <v>6.9999999999999994E-5</v>
      </c>
      <c r="R849">
        <v>0.23813999999999999</v>
      </c>
      <c r="S849">
        <v>0.26785999999999999</v>
      </c>
      <c r="T849">
        <v>3.81E-3</v>
      </c>
      <c r="U849">
        <v>2.3455300000000001</v>
      </c>
      <c r="V849">
        <v>10.985799999999999</v>
      </c>
      <c r="W849" t="s">
        <v>10</v>
      </c>
      <c r="X849">
        <v>29.311</v>
      </c>
      <c r="Y849">
        <v>187.79300000000001</v>
      </c>
      <c r="Z849">
        <v>1.859</v>
      </c>
      <c r="AA849">
        <v>0</v>
      </c>
      <c r="AB849">
        <v>3.5000000000000003E-2</v>
      </c>
      <c r="AC849">
        <v>8.0000000000000002E-3</v>
      </c>
      <c r="AD849">
        <v>3.9039999999999999</v>
      </c>
      <c r="AE849">
        <v>19.132999999999999</v>
      </c>
      <c r="AF849">
        <v>4.1000000000000002E-2</v>
      </c>
      <c r="AG849">
        <v>37.963999999999999</v>
      </c>
      <c r="AH849">
        <v>280.048</v>
      </c>
      <c r="AI849" t="s">
        <v>22</v>
      </c>
      <c r="AJ849">
        <v>880</v>
      </c>
      <c r="AK849">
        <v>1157.5</v>
      </c>
      <c r="AL849">
        <v>2190</v>
      </c>
      <c r="AM849">
        <v>0</v>
      </c>
      <c r="AN849">
        <v>22.5</v>
      </c>
      <c r="AO849">
        <v>17.5</v>
      </c>
      <c r="AP849">
        <v>2.5</v>
      </c>
      <c r="AQ849">
        <v>15</v>
      </c>
      <c r="AR849">
        <v>7.5</v>
      </c>
      <c r="AS849">
        <v>85</v>
      </c>
      <c r="AT849">
        <v>4377.5</v>
      </c>
      <c r="AU849" t="s">
        <v>35</v>
      </c>
    </row>
    <row r="850" spans="1:47" x14ac:dyDescent="0.2">
      <c r="A850">
        <v>947</v>
      </c>
      <c r="B850" t="s">
        <v>399</v>
      </c>
      <c r="C850">
        <v>3</v>
      </c>
      <c r="D850" t="s">
        <v>301</v>
      </c>
      <c r="G850" t="str">
        <f t="shared" si="13"/>
        <v>PSEA10013NWC4</v>
      </c>
      <c r="H850">
        <v>62.400832999999999</v>
      </c>
      <c r="I850">
        <v>-174.527333</v>
      </c>
      <c r="J850" s="3">
        <v>20100314</v>
      </c>
      <c r="K850">
        <v>2010</v>
      </c>
      <c r="L850">
        <v>4.1878000000000002</v>
      </c>
      <c r="M850">
        <v>3.9961000000000002</v>
      </c>
      <c r="N850">
        <v>0.49641000000000002</v>
      </c>
      <c r="O850">
        <v>2.3400000000000001E-3</v>
      </c>
      <c r="P850">
        <v>0.72189000000000003</v>
      </c>
      <c r="Q850">
        <v>0</v>
      </c>
      <c r="R850">
        <v>4.2999999999999999E-4</v>
      </c>
      <c r="S850">
        <v>0.10287</v>
      </c>
      <c r="T850">
        <v>1.55803</v>
      </c>
      <c r="U850">
        <v>0.11836000000000001</v>
      </c>
      <c r="V850">
        <v>11.184229999999999</v>
      </c>
      <c r="W850" t="s">
        <v>9</v>
      </c>
      <c r="X850">
        <v>57.466999999999999</v>
      </c>
      <c r="Y850">
        <v>144.65700000000001</v>
      </c>
      <c r="Z850">
        <v>6.38</v>
      </c>
      <c r="AA850">
        <v>5.1999999999999998E-2</v>
      </c>
      <c r="AB850">
        <v>51.564</v>
      </c>
      <c r="AC850">
        <v>0</v>
      </c>
      <c r="AD850">
        <v>7.0000000000000001E-3</v>
      </c>
      <c r="AE850">
        <v>7.3440000000000003</v>
      </c>
      <c r="AF850">
        <v>16.753</v>
      </c>
      <c r="AG850">
        <v>2.1869999999999998</v>
      </c>
      <c r="AH850">
        <v>286.411</v>
      </c>
      <c r="AI850" t="s">
        <v>22</v>
      </c>
      <c r="AJ850">
        <v>2002.5</v>
      </c>
      <c r="AK850">
        <v>265</v>
      </c>
      <c r="AL850">
        <v>347.5</v>
      </c>
      <c r="AM850">
        <v>12.5</v>
      </c>
      <c r="AN850">
        <v>82.5</v>
      </c>
      <c r="AO850">
        <v>0</v>
      </c>
      <c r="AP850">
        <v>0</v>
      </c>
      <c r="AQ850">
        <v>5</v>
      </c>
      <c r="AR850">
        <v>25</v>
      </c>
      <c r="AS850">
        <v>225</v>
      </c>
      <c r="AT850">
        <v>2965</v>
      </c>
      <c r="AU850" t="s">
        <v>33</v>
      </c>
    </row>
    <row r="851" spans="1:47" x14ac:dyDescent="0.2">
      <c r="A851">
        <v>948</v>
      </c>
      <c r="B851" t="s">
        <v>399</v>
      </c>
      <c r="C851">
        <v>30</v>
      </c>
      <c r="D851" t="s">
        <v>258</v>
      </c>
      <c r="G851" t="str">
        <f t="shared" si="13"/>
        <v>PSEA100130SEC2</v>
      </c>
      <c r="H851">
        <v>62.605666999999997</v>
      </c>
      <c r="I851">
        <v>-170.954667</v>
      </c>
      <c r="J851" s="3">
        <v>20100322</v>
      </c>
      <c r="K851">
        <v>2010</v>
      </c>
      <c r="L851">
        <v>0.72175999999999996</v>
      </c>
      <c r="M851">
        <v>1.43685</v>
      </c>
      <c r="N851">
        <v>6.583E-2</v>
      </c>
      <c r="O851">
        <v>0</v>
      </c>
      <c r="P851">
        <v>0</v>
      </c>
      <c r="Q851">
        <v>0</v>
      </c>
      <c r="R851">
        <v>1.1650000000000001E-2</v>
      </c>
      <c r="S851">
        <v>0.32834999999999998</v>
      </c>
      <c r="T851">
        <v>0</v>
      </c>
      <c r="U851">
        <v>9.3600000000000003E-3</v>
      </c>
      <c r="V851">
        <v>2.5737999999999999</v>
      </c>
      <c r="W851" t="s">
        <v>10</v>
      </c>
      <c r="X851">
        <v>9.41</v>
      </c>
      <c r="Y851">
        <v>38.222000000000001</v>
      </c>
      <c r="Z851">
        <v>0.91</v>
      </c>
      <c r="AA851">
        <v>0</v>
      </c>
      <c r="AB851">
        <v>0</v>
      </c>
      <c r="AC851">
        <v>0</v>
      </c>
      <c r="AD851">
        <v>0.191</v>
      </c>
      <c r="AE851">
        <v>23.454000000000001</v>
      </c>
      <c r="AF851">
        <v>0</v>
      </c>
      <c r="AG851">
        <v>0.151</v>
      </c>
      <c r="AH851">
        <v>72.337999999999994</v>
      </c>
      <c r="AI851" t="s">
        <v>22</v>
      </c>
      <c r="AJ851">
        <v>525</v>
      </c>
      <c r="AK851">
        <v>977.5</v>
      </c>
      <c r="AL851">
        <v>812.5</v>
      </c>
      <c r="AM851">
        <v>0</v>
      </c>
      <c r="AN851">
        <v>0</v>
      </c>
      <c r="AO851">
        <v>0</v>
      </c>
      <c r="AP851">
        <v>0</v>
      </c>
      <c r="AQ851">
        <v>67.5</v>
      </c>
      <c r="AR851">
        <v>0</v>
      </c>
      <c r="AS851">
        <v>17.5</v>
      </c>
      <c r="AT851">
        <v>2400</v>
      </c>
      <c r="AU851" t="s">
        <v>34</v>
      </c>
    </row>
    <row r="852" spans="1:47" x14ac:dyDescent="0.2">
      <c r="A852">
        <v>949</v>
      </c>
      <c r="B852" t="s">
        <v>399</v>
      </c>
      <c r="C852">
        <v>31</v>
      </c>
      <c r="D852" t="s">
        <v>411</v>
      </c>
      <c r="G852" t="str">
        <f t="shared" si="13"/>
        <v>PSEA100131SEC1.8</v>
      </c>
      <c r="H852">
        <v>62.691833000000003</v>
      </c>
      <c r="I852">
        <v>-170.76400000000001</v>
      </c>
      <c r="J852" s="3">
        <v>20100322</v>
      </c>
      <c r="K852">
        <v>2010</v>
      </c>
      <c r="L852">
        <v>0.34747</v>
      </c>
      <c r="M852">
        <v>3.2240500000000001</v>
      </c>
      <c r="N852">
        <v>4.0500000000000001E-2</v>
      </c>
      <c r="O852">
        <v>0</v>
      </c>
      <c r="P852">
        <v>2.4209999999999999E-2</v>
      </c>
      <c r="Q852">
        <v>0</v>
      </c>
      <c r="R852">
        <v>1.8000000000000001E-4</v>
      </c>
      <c r="S852">
        <v>0.31844</v>
      </c>
      <c r="T852">
        <v>0</v>
      </c>
      <c r="U852">
        <v>2.0200000000000001E-3</v>
      </c>
      <c r="V852">
        <v>3.9568699999999999</v>
      </c>
      <c r="W852" t="s">
        <v>10</v>
      </c>
      <c r="X852">
        <v>5.2149999999999999</v>
      </c>
      <c r="Y852">
        <v>96.221000000000004</v>
      </c>
      <c r="Z852">
        <v>0.55300000000000005</v>
      </c>
      <c r="AA852">
        <v>0</v>
      </c>
      <c r="AB852">
        <v>1.7290000000000001</v>
      </c>
      <c r="AC852">
        <v>0</v>
      </c>
      <c r="AD852">
        <v>3.0000000000000001E-3</v>
      </c>
      <c r="AE852">
        <v>22.745999999999999</v>
      </c>
      <c r="AF852">
        <v>0</v>
      </c>
      <c r="AG852">
        <v>3.5999999999999997E-2</v>
      </c>
      <c r="AH852">
        <v>126.503</v>
      </c>
      <c r="AI852" t="s">
        <v>22</v>
      </c>
      <c r="AJ852">
        <v>550</v>
      </c>
      <c r="AK852">
        <v>1230</v>
      </c>
      <c r="AL852">
        <v>532.5</v>
      </c>
      <c r="AM852">
        <v>0</v>
      </c>
      <c r="AN852">
        <v>2.5</v>
      </c>
      <c r="AO852">
        <v>0</v>
      </c>
      <c r="AP852">
        <v>0</v>
      </c>
      <c r="AQ852">
        <v>40</v>
      </c>
      <c r="AR852">
        <v>0</v>
      </c>
      <c r="AS852">
        <v>20</v>
      </c>
      <c r="AT852">
        <v>2375</v>
      </c>
      <c r="AU852" t="s">
        <v>34</v>
      </c>
    </row>
    <row r="853" spans="1:47" x14ac:dyDescent="0.2">
      <c r="A853">
        <v>950</v>
      </c>
      <c r="B853" t="s">
        <v>399</v>
      </c>
      <c r="C853">
        <v>32</v>
      </c>
      <c r="D853" t="s">
        <v>342</v>
      </c>
      <c r="G853" t="str">
        <f t="shared" si="13"/>
        <v>PSEA100132SEC1.5</v>
      </c>
      <c r="H853">
        <v>62.809333000000002</v>
      </c>
      <c r="I853">
        <v>-170.64599999999999</v>
      </c>
      <c r="J853" s="3">
        <v>20100323</v>
      </c>
      <c r="K853">
        <v>2010</v>
      </c>
      <c r="L853">
        <v>2.77677</v>
      </c>
      <c r="M853">
        <v>5.7781099999999999</v>
      </c>
      <c r="N853">
        <v>1.2873399999999999</v>
      </c>
      <c r="O853">
        <v>9.8999999999999999E-4</v>
      </c>
      <c r="P853">
        <v>0</v>
      </c>
      <c r="Q853">
        <v>0</v>
      </c>
      <c r="R853">
        <v>0</v>
      </c>
      <c r="S853">
        <v>0.21160999999999999</v>
      </c>
      <c r="T853">
        <v>1.8600000000000001E-3</v>
      </c>
      <c r="U853">
        <v>5.1189999999999999E-2</v>
      </c>
      <c r="V853">
        <v>10.10787</v>
      </c>
      <c r="W853" t="s">
        <v>10</v>
      </c>
      <c r="X853">
        <v>39.595999999999997</v>
      </c>
      <c r="Y853">
        <v>156.37</v>
      </c>
      <c r="Z853">
        <v>18.408000000000001</v>
      </c>
      <c r="AA853">
        <v>2.1999999999999999E-2</v>
      </c>
      <c r="AB853">
        <v>0</v>
      </c>
      <c r="AC853">
        <v>0</v>
      </c>
      <c r="AD853">
        <v>0</v>
      </c>
      <c r="AE853">
        <v>15.115</v>
      </c>
      <c r="AF853">
        <v>0.02</v>
      </c>
      <c r="AG853">
        <v>1.0780000000000001</v>
      </c>
      <c r="AH853">
        <v>230.60900000000001</v>
      </c>
      <c r="AI853" t="s">
        <v>22</v>
      </c>
      <c r="AJ853">
        <v>2782.5</v>
      </c>
      <c r="AK853">
        <v>1535</v>
      </c>
      <c r="AL853">
        <v>26437.5</v>
      </c>
      <c r="AM853">
        <v>2.5</v>
      </c>
      <c r="AN853">
        <v>0</v>
      </c>
      <c r="AO853">
        <v>0</v>
      </c>
      <c r="AP853">
        <v>0</v>
      </c>
      <c r="AQ853">
        <v>25</v>
      </c>
      <c r="AR853">
        <v>2.5</v>
      </c>
      <c r="AS853">
        <v>10</v>
      </c>
      <c r="AT853">
        <v>30795</v>
      </c>
      <c r="AU853" t="s">
        <v>35</v>
      </c>
    </row>
    <row r="854" spans="1:47" x14ac:dyDescent="0.2">
      <c r="A854">
        <v>951</v>
      </c>
      <c r="B854" t="s">
        <v>399</v>
      </c>
      <c r="C854">
        <v>33</v>
      </c>
      <c r="D854" t="s">
        <v>412</v>
      </c>
      <c r="G854" t="str">
        <f t="shared" si="13"/>
        <v>PSEA100133SEC1.1</v>
      </c>
      <c r="H854">
        <v>62.887166999999998</v>
      </c>
      <c r="I854">
        <v>-170.43049999999999</v>
      </c>
      <c r="J854" s="3">
        <v>20100323</v>
      </c>
      <c r="K854">
        <v>2010</v>
      </c>
      <c r="L854">
        <v>1.28569</v>
      </c>
      <c r="M854">
        <v>6.8780799999999997</v>
      </c>
      <c r="N854">
        <v>1.16421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1.404E-2</v>
      </c>
      <c r="U854">
        <v>5.0000000000000001E-4</v>
      </c>
      <c r="V854">
        <v>9.3425200000000004</v>
      </c>
      <c r="W854" t="s">
        <v>10</v>
      </c>
      <c r="X854">
        <v>19.431000000000001</v>
      </c>
      <c r="Y854">
        <v>178.38499999999999</v>
      </c>
      <c r="Z854">
        <v>16.497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0.151</v>
      </c>
      <c r="AG854">
        <v>8.0000000000000002E-3</v>
      </c>
      <c r="AH854">
        <v>214.47200000000001</v>
      </c>
      <c r="AI854" t="s">
        <v>22</v>
      </c>
      <c r="AJ854">
        <v>2286.665</v>
      </c>
      <c r="AK854">
        <v>3110</v>
      </c>
      <c r="AL854">
        <v>16180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83.332999999999998</v>
      </c>
      <c r="AS854">
        <v>3.3330000000000002</v>
      </c>
      <c r="AT854">
        <v>21663.330999999998</v>
      </c>
      <c r="AU854" t="s">
        <v>35</v>
      </c>
    </row>
    <row r="855" spans="1:47" x14ac:dyDescent="0.2">
      <c r="A855">
        <v>952</v>
      </c>
      <c r="B855" t="s">
        <v>399</v>
      </c>
      <c r="C855">
        <v>34</v>
      </c>
      <c r="D855" t="s">
        <v>306</v>
      </c>
      <c r="G855" t="str">
        <f t="shared" si="13"/>
        <v>PSEA100134UTN5=SEC1</v>
      </c>
      <c r="H855">
        <v>62.993000000000002</v>
      </c>
      <c r="I855">
        <v>-170.267167</v>
      </c>
      <c r="J855" s="3">
        <v>20100323</v>
      </c>
      <c r="K855">
        <v>2010</v>
      </c>
      <c r="L855">
        <v>0.61204999999999998</v>
      </c>
      <c r="M855">
        <v>4.4476500000000003</v>
      </c>
      <c r="N855">
        <v>8.9899999999999997E-3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2.2409999999999999E-2</v>
      </c>
      <c r="U855">
        <v>1.32E-3</v>
      </c>
      <c r="V855">
        <v>5.0924199999999997</v>
      </c>
      <c r="W855" t="s">
        <v>10</v>
      </c>
      <c r="X855">
        <v>8.3079999999999998</v>
      </c>
      <c r="Y855">
        <v>123.254</v>
      </c>
      <c r="Z855">
        <v>0.13100000000000001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0.24099999999999999</v>
      </c>
      <c r="AG855">
        <v>0.12</v>
      </c>
      <c r="AH855">
        <v>132.054</v>
      </c>
      <c r="AI855" t="s">
        <v>22</v>
      </c>
      <c r="AJ855">
        <v>277.5</v>
      </c>
      <c r="AK855">
        <v>562.5</v>
      </c>
      <c r="AL855">
        <v>207.5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5</v>
      </c>
      <c r="AS855">
        <v>5</v>
      </c>
      <c r="AT855">
        <v>1057.5</v>
      </c>
      <c r="AU855" t="s">
        <v>34</v>
      </c>
    </row>
    <row r="856" spans="1:47" x14ac:dyDescent="0.2">
      <c r="A856">
        <v>953</v>
      </c>
      <c r="B856" t="s">
        <v>399</v>
      </c>
      <c r="C856">
        <v>35</v>
      </c>
      <c r="D856" t="s">
        <v>413</v>
      </c>
      <c r="G856" t="str">
        <f t="shared" si="13"/>
        <v>PSEA100135CDF</v>
      </c>
      <c r="H856">
        <v>62.934333000000002</v>
      </c>
      <c r="I856">
        <v>-170.928167</v>
      </c>
      <c r="J856" s="3">
        <v>20100323</v>
      </c>
      <c r="K856">
        <v>2010</v>
      </c>
      <c r="L856">
        <v>1.54366</v>
      </c>
      <c r="M856">
        <v>1.3354900000000001</v>
      </c>
      <c r="N856">
        <v>0.57796999999999998</v>
      </c>
      <c r="O856">
        <v>0</v>
      </c>
      <c r="P856">
        <v>0</v>
      </c>
      <c r="Q856">
        <v>0</v>
      </c>
      <c r="R856">
        <v>5.5000000000000003E-4</v>
      </c>
      <c r="S856">
        <v>0.18809999999999999</v>
      </c>
      <c r="T856">
        <v>8.2580000000000001E-2</v>
      </c>
      <c r="U856">
        <v>5.3800000000000002E-3</v>
      </c>
      <c r="V856">
        <v>3.73373</v>
      </c>
      <c r="W856" t="s">
        <v>9</v>
      </c>
      <c r="X856">
        <v>22.396999999999998</v>
      </c>
      <c r="Y856">
        <v>36.537999999999997</v>
      </c>
      <c r="Z856">
        <v>8.4139999999999997</v>
      </c>
      <c r="AA856">
        <v>0</v>
      </c>
      <c r="AB856">
        <v>0</v>
      </c>
      <c r="AC856">
        <v>0</v>
      </c>
      <c r="AD856">
        <v>8.9999999999999993E-3</v>
      </c>
      <c r="AE856">
        <v>13.436</v>
      </c>
      <c r="AF856">
        <v>0.88800000000000001</v>
      </c>
      <c r="AG856">
        <v>0.25700000000000001</v>
      </c>
      <c r="AH856">
        <v>81.938999999999993</v>
      </c>
      <c r="AI856" t="s">
        <v>22</v>
      </c>
      <c r="AJ856">
        <v>2220</v>
      </c>
      <c r="AK856">
        <v>975</v>
      </c>
      <c r="AL856">
        <v>16037.5</v>
      </c>
      <c r="AM856">
        <v>0</v>
      </c>
      <c r="AN856">
        <v>0</v>
      </c>
      <c r="AO856">
        <v>0</v>
      </c>
      <c r="AP856">
        <v>2.5</v>
      </c>
      <c r="AQ856">
        <v>10</v>
      </c>
      <c r="AR856">
        <v>5</v>
      </c>
      <c r="AS856">
        <v>10</v>
      </c>
      <c r="AT856">
        <v>19260</v>
      </c>
      <c r="AU856" t="s">
        <v>35</v>
      </c>
    </row>
    <row r="857" spans="1:47" x14ac:dyDescent="0.2">
      <c r="A857">
        <v>954</v>
      </c>
      <c r="B857" t="s">
        <v>399</v>
      </c>
      <c r="C857">
        <v>35</v>
      </c>
      <c r="D857" t="s">
        <v>414</v>
      </c>
      <c r="G857" t="str">
        <f t="shared" si="13"/>
        <v>PSEA100135CDF1.1</v>
      </c>
      <c r="H857">
        <v>62.918799999999997</v>
      </c>
      <c r="I857">
        <v>-170.95</v>
      </c>
      <c r="J857" s="3">
        <v>20100323</v>
      </c>
      <c r="K857">
        <v>2010</v>
      </c>
      <c r="L857">
        <v>1.2016500000000001</v>
      </c>
      <c r="M857">
        <v>0.84855000000000003</v>
      </c>
      <c r="N857">
        <v>0.56049000000000004</v>
      </c>
      <c r="O857">
        <v>0</v>
      </c>
      <c r="P857">
        <v>0</v>
      </c>
      <c r="Q857">
        <v>0</v>
      </c>
      <c r="R857">
        <v>0.89902000000000004</v>
      </c>
      <c r="S857">
        <v>0.18348</v>
      </c>
      <c r="T857">
        <v>0</v>
      </c>
      <c r="U857">
        <v>5.3659999999999999E-2</v>
      </c>
      <c r="V857">
        <v>3.7468499999999998</v>
      </c>
      <c r="W857" t="s">
        <v>9</v>
      </c>
      <c r="X857">
        <v>17.998999999999999</v>
      </c>
      <c r="Y857">
        <v>23.539000000000001</v>
      </c>
      <c r="Z857">
        <v>8.125</v>
      </c>
      <c r="AA857">
        <v>0</v>
      </c>
      <c r="AB857">
        <v>0</v>
      </c>
      <c r="AC857">
        <v>0</v>
      </c>
      <c r="AD857">
        <v>14.738</v>
      </c>
      <c r="AE857">
        <v>13.106</v>
      </c>
      <c r="AF857">
        <v>0</v>
      </c>
      <c r="AG857">
        <v>1.19</v>
      </c>
      <c r="AH857">
        <v>78.697000000000003</v>
      </c>
      <c r="AI857" t="s">
        <v>22</v>
      </c>
      <c r="AJ857">
        <v>1830</v>
      </c>
      <c r="AK857">
        <v>1255</v>
      </c>
      <c r="AL857">
        <v>12430</v>
      </c>
      <c r="AM857">
        <v>0</v>
      </c>
      <c r="AN857">
        <v>0</v>
      </c>
      <c r="AO857">
        <v>0</v>
      </c>
      <c r="AP857">
        <v>15</v>
      </c>
      <c r="AQ857">
        <v>25</v>
      </c>
      <c r="AR857">
        <v>0</v>
      </c>
      <c r="AS857">
        <v>45</v>
      </c>
      <c r="AT857">
        <v>15600</v>
      </c>
      <c r="AU857" t="s">
        <v>35</v>
      </c>
    </row>
    <row r="858" spans="1:47" x14ac:dyDescent="0.2">
      <c r="A858">
        <v>955</v>
      </c>
      <c r="B858" t="s">
        <v>399</v>
      </c>
      <c r="C858">
        <v>35</v>
      </c>
      <c r="D858" t="s">
        <v>415</v>
      </c>
      <c r="G858" t="str">
        <f t="shared" si="13"/>
        <v>PSEA100135CDF1.2</v>
      </c>
      <c r="H858">
        <v>62.903300000000002</v>
      </c>
      <c r="I858">
        <v>-170.977</v>
      </c>
      <c r="J858" s="3">
        <v>20100323</v>
      </c>
      <c r="K858">
        <v>2010</v>
      </c>
      <c r="L858">
        <v>1.4700299999999999</v>
      </c>
      <c r="M858">
        <v>1.4912700000000001</v>
      </c>
      <c r="N858">
        <v>0.36823</v>
      </c>
      <c r="O858">
        <v>0</v>
      </c>
      <c r="P858">
        <v>2.0699999999999998E-3</v>
      </c>
      <c r="Q858">
        <v>0</v>
      </c>
      <c r="R858">
        <v>0</v>
      </c>
      <c r="S858">
        <v>0.15007000000000001</v>
      </c>
      <c r="T858">
        <v>1.9000000000000001E-4</v>
      </c>
      <c r="U858">
        <v>3.5499999999999997E-2</v>
      </c>
      <c r="V858">
        <v>3.51736</v>
      </c>
      <c r="W858" t="s">
        <v>10</v>
      </c>
      <c r="X858">
        <v>25.125</v>
      </c>
      <c r="Y858">
        <v>45.226999999999997</v>
      </c>
      <c r="Z858">
        <v>5.343</v>
      </c>
      <c r="AA858">
        <v>0</v>
      </c>
      <c r="AB858">
        <v>0.14799999999999999</v>
      </c>
      <c r="AC858">
        <v>0</v>
      </c>
      <c r="AD858">
        <v>0</v>
      </c>
      <c r="AE858">
        <v>10.718999999999999</v>
      </c>
      <c r="AF858">
        <v>2E-3</v>
      </c>
      <c r="AG858">
        <v>0.92300000000000004</v>
      </c>
      <c r="AH858">
        <v>87.486999999999995</v>
      </c>
      <c r="AI858" t="s">
        <v>22</v>
      </c>
      <c r="AJ858">
        <v>1305</v>
      </c>
      <c r="AK858">
        <v>960</v>
      </c>
      <c r="AL858">
        <v>5630</v>
      </c>
      <c r="AM858">
        <v>0</v>
      </c>
      <c r="AN858">
        <v>0</v>
      </c>
      <c r="AO858">
        <v>0</v>
      </c>
      <c r="AP858">
        <v>0</v>
      </c>
      <c r="AQ858">
        <v>30</v>
      </c>
      <c r="AR858">
        <v>10</v>
      </c>
      <c r="AS858">
        <v>35</v>
      </c>
      <c r="AT858">
        <v>7970</v>
      </c>
      <c r="AU858" t="s">
        <v>35</v>
      </c>
    </row>
    <row r="859" spans="1:47" x14ac:dyDescent="0.2">
      <c r="A859">
        <v>956</v>
      </c>
      <c r="B859" t="s">
        <v>399</v>
      </c>
      <c r="C859">
        <v>35</v>
      </c>
      <c r="D859" t="s">
        <v>416</v>
      </c>
      <c r="G859" t="str">
        <f t="shared" si="13"/>
        <v>PSEA100135CDF1.3</v>
      </c>
      <c r="H859">
        <v>62.903300000000002</v>
      </c>
      <c r="I859">
        <v>-170.977</v>
      </c>
      <c r="J859" s="3">
        <v>20100323</v>
      </c>
      <c r="K859">
        <v>2010</v>
      </c>
      <c r="L859">
        <v>1.0785100000000001</v>
      </c>
      <c r="M859">
        <v>1.0424100000000001</v>
      </c>
      <c r="N859">
        <v>0.60607999999999995</v>
      </c>
      <c r="O859">
        <v>0</v>
      </c>
      <c r="P859">
        <v>0</v>
      </c>
      <c r="Q859">
        <v>0</v>
      </c>
      <c r="R859">
        <v>0</v>
      </c>
      <c r="S859">
        <v>8.6840000000000001E-2</v>
      </c>
      <c r="T859">
        <v>6.1010000000000002E-2</v>
      </c>
      <c r="U859">
        <v>0.10975</v>
      </c>
      <c r="V859">
        <v>2.9845999999999999</v>
      </c>
      <c r="W859" t="s">
        <v>9</v>
      </c>
      <c r="X859">
        <v>15.939</v>
      </c>
      <c r="Y859">
        <v>33.125999999999998</v>
      </c>
      <c r="Z859">
        <v>8.8000000000000007</v>
      </c>
      <c r="AA859">
        <v>0</v>
      </c>
      <c r="AB859">
        <v>0</v>
      </c>
      <c r="AC859">
        <v>0</v>
      </c>
      <c r="AD859">
        <v>0</v>
      </c>
      <c r="AE859">
        <v>6.2030000000000003</v>
      </c>
      <c r="AF859">
        <v>0.65600000000000003</v>
      </c>
      <c r="AG859">
        <v>1.9410000000000001</v>
      </c>
      <c r="AH859">
        <v>66.665000000000006</v>
      </c>
      <c r="AI859" t="s">
        <v>22</v>
      </c>
      <c r="AJ859">
        <v>1320</v>
      </c>
      <c r="AK859">
        <v>1450</v>
      </c>
      <c r="AL859">
        <v>14100</v>
      </c>
      <c r="AM859">
        <v>0</v>
      </c>
      <c r="AN859">
        <v>0</v>
      </c>
      <c r="AO859">
        <v>0</v>
      </c>
      <c r="AP859">
        <v>0</v>
      </c>
      <c r="AQ859">
        <v>10</v>
      </c>
      <c r="AR859">
        <v>5</v>
      </c>
      <c r="AS859">
        <v>50</v>
      </c>
      <c r="AT859">
        <v>16935</v>
      </c>
      <c r="AU859" t="s">
        <v>35</v>
      </c>
    </row>
    <row r="860" spans="1:47" x14ac:dyDescent="0.2">
      <c r="A860">
        <v>957</v>
      </c>
      <c r="B860" t="s">
        <v>399</v>
      </c>
      <c r="C860">
        <v>36</v>
      </c>
      <c r="D860" t="s">
        <v>417</v>
      </c>
      <c r="G860" t="str">
        <f t="shared" si="13"/>
        <v>PSEA100136CD1.4</v>
      </c>
      <c r="H860">
        <v>62.860169999999997</v>
      </c>
      <c r="I860">
        <v>-171.03</v>
      </c>
      <c r="J860" s="3">
        <v>20100323</v>
      </c>
      <c r="K860">
        <v>2010</v>
      </c>
      <c r="L860">
        <v>0.74582999999999999</v>
      </c>
      <c r="M860">
        <v>1.27094</v>
      </c>
      <c r="N860">
        <v>0.18168000000000001</v>
      </c>
      <c r="O860">
        <v>0</v>
      </c>
      <c r="P860">
        <v>0</v>
      </c>
      <c r="Q860">
        <v>0</v>
      </c>
      <c r="R860">
        <v>0</v>
      </c>
      <c r="S860">
        <v>0.22134999999999999</v>
      </c>
      <c r="T860">
        <v>0</v>
      </c>
      <c r="U860">
        <v>0.1062</v>
      </c>
      <c r="V860">
        <v>2.5259999999999998</v>
      </c>
      <c r="W860" t="s">
        <v>10</v>
      </c>
      <c r="X860">
        <v>10.977</v>
      </c>
      <c r="Y860">
        <v>33.521000000000001</v>
      </c>
      <c r="Z860">
        <v>2.58</v>
      </c>
      <c r="AA860">
        <v>0</v>
      </c>
      <c r="AB860">
        <v>0</v>
      </c>
      <c r="AC860">
        <v>0</v>
      </c>
      <c r="AD860">
        <v>0</v>
      </c>
      <c r="AE860">
        <v>15.811</v>
      </c>
      <c r="AF860">
        <v>0</v>
      </c>
      <c r="AG860">
        <v>1.8340000000000001</v>
      </c>
      <c r="AH860">
        <v>64.722999999999999</v>
      </c>
      <c r="AI860" t="s">
        <v>22</v>
      </c>
      <c r="AJ860">
        <v>797.5</v>
      </c>
      <c r="AK860">
        <v>1560</v>
      </c>
      <c r="AL860">
        <v>3585</v>
      </c>
      <c r="AM860">
        <v>0</v>
      </c>
      <c r="AN860">
        <v>0</v>
      </c>
      <c r="AO860">
        <v>0</v>
      </c>
      <c r="AP860">
        <v>0</v>
      </c>
      <c r="AQ860">
        <v>35</v>
      </c>
      <c r="AR860">
        <v>0</v>
      </c>
      <c r="AS860">
        <v>12.5</v>
      </c>
      <c r="AT860">
        <v>5990</v>
      </c>
      <c r="AU860" t="s">
        <v>35</v>
      </c>
    </row>
    <row r="861" spans="1:47" x14ac:dyDescent="0.2">
      <c r="A861">
        <v>958</v>
      </c>
      <c r="B861" t="s">
        <v>399</v>
      </c>
      <c r="C861">
        <v>37</v>
      </c>
      <c r="D861" t="s">
        <v>418</v>
      </c>
      <c r="G861" t="str">
        <f t="shared" si="13"/>
        <v>PSEA100137CD10D</v>
      </c>
      <c r="H861">
        <v>62.613833</v>
      </c>
      <c r="I861">
        <v>-171.385333</v>
      </c>
      <c r="J861" s="3">
        <v>20100323</v>
      </c>
      <c r="K861">
        <v>2010</v>
      </c>
      <c r="L861">
        <v>0.52324999999999999</v>
      </c>
      <c r="M861">
        <v>9.6339699999999997</v>
      </c>
      <c r="N861">
        <v>0.11464000000000001</v>
      </c>
      <c r="O861">
        <v>0</v>
      </c>
      <c r="P861">
        <v>0</v>
      </c>
      <c r="Q861">
        <v>0</v>
      </c>
      <c r="R861">
        <v>1.8000000000000001E-4</v>
      </c>
      <c r="S861">
        <v>0.2235</v>
      </c>
      <c r="T861">
        <v>1.1199999999999999E-3</v>
      </c>
      <c r="U861">
        <v>3.32E-3</v>
      </c>
      <c r="V861">
        <v>10.499980000000001</v>
      </c>
      <c r="W861" t="s">
        <v>10</v>
      </c>
      <c r="X861">
        <v>7.4089999999999998</v>
      </c>
      <c r="Y861">
        <v>252.30600000000001</v>
      </c>
      <c r="Z861">
        <v>1.591</v>
      </c>
      <c r="AA861">
        <v>0</v>
      </c>
      <c r="AB861">
        <v>0</v>
      </c>
      <c r="AC861">
        <v>0</v>
      </c>
      <c r="AD861">
        <v>3.0000000000000001E-3</v>
      </c>
      <c r="AE861">
        <v>15.964</v>
      </c>
      <c r="AF861">
        <v>1.2E-2</v>
      </c>
      <c r="AG861">
        <v>0.17399999999999999</v>
      </c>
      <c r="AH861">
        <v>277.459</v>
      </c>
      <c r="AI861" t="s">
        <v>22</v>
      </c>
      <c r="AJ861">
        <v>387.5</v>
      </c>
      <c r="AK861">
        <v>1115</v>
      </c>
      <c r="AL861">
        <v>1357.5</v>
      </c>
      <c r="AM861">
        <v>0</v>
      </c>
      <c r="AN861">
        <v>0</v>
      </c>
      <c r="AO861">
        <v>0</v>
      </c>
      <c r="AP861">
        <v>0</v>
      </c>
      <c r="AQ861">
        <v>30</v>
      </c>
      <c r="AR861">
        <v>2.5</v>
      </c>
      <c r="AS861">
        <v>30</v>
      </c>
      <c r="AT861">
        <v>2922.5</v>
      </c>
      <c r="AU861" t="s">
        <v>35</v>
      </c>
    </row>
    <row r="862" spans="1:47" x14ac:dyDescent="0.2">
      <c r="A862">
        <v>959</v>
      </c>
      <c r="B862" t="s">
        <v>399</v>
      </c>
      <c r="C862">
        <v>37</v>
      </c>
      <c r="D862" t="s">
        <v>419</v>
      </c>
      <c r="G862" t="str">
        <f t="shared" si="13"/>
        <v>PSEA100137CDD1.1</v>
      </c>
      <c r="H862">
        <v>62.603999999999999</v>
      </c>
      <c r="I862">
        <v>-171.4051</v>
      </c>
      <c r="J862" s="3">
        <v>20100324</v>
      </c>
      <c r="K862">
        <v>2010</v>
      </c>
      <c r="L862">
        <v>0.54844000000000004</v>
      </c>
      <c r="M862">
        <v>12.53749</v>
      </c>
      <c r="N862">
        <v>9.3340000000000006E-2</v>
      </c>
      <c r="O862">
        <v>0</v>
      </c>
      <c r="P862">
        <v>2.538E-2</v>
      </c>
      <c r="Q862">
        <v>0</v>
      </c>
      <c r="R862">
        <v>3.1099999999999999E-3</v>
      </c>
      <c r="S862">
        <v>1.7066300000000001</v>
      </c>
      <c r="T862">
        <v>1.9000000000000001E-4</v>
      </c>
      <c r="U862">
        <v>7.6999999999999996E-4</v>
      </c>
      <c r="V862">
        <v>14.91535</v>
      </c>
      <c r="W862" t="s">
        <v>10</v>
      </c>
      <c r="X862">
        <v>8.1739999999999995</v>
      </c>
      <c r="Y862">
        <v>332.755</v>
      </c>
      <c r="Z862">
        <v>1.2789999999999999</v>
      </c>
      <c r="AA862">
        <v>0</v>
      </c>
      <c r="AB862">
        <v>1.8129999999999999</v>
      </c>
      <c r="AC862">
        <v>0</v>
      </c>
      <c r="AD862">
        <v>5.0999999999999997E-2</v>
      </c>
      <c r="AE862">
        <v>121.902</v>
      </c>
      <c r="AF862">
        <v>2E-3</v>
      </c>
      <c r="AG862">
        <v>1.0999999999999999E-2</v>
      </c>
      <c r="AH862">
        <v>465.98700000000002</v>
      </c>
      <c r="AI862" t="s">
        <v>22</v>
      </c>
      <c r="AJ862">
        <v>245</v>
      </c>
      <c r="AK862">
        <v>1095</v>
      </c>
      <c r="AL862">
        <v>1210</v>
      </c>
      <c r="AM862">
        <v>0</v>
      </c>
      <c r="AN862">
        <v>5</v>
      </c>
      <c r="AO862">
        <v>0</v>
      </c>
      <c r="AP862">
        <v>0</v>
      </c>
      <c r="AQ862">
        <v>145</v>
      </c>
      <c r="AR862">
        <v>15</v>
      </c>
      <c r="AS862">
        <v>10</v>
      </c>
      <c r="AT862">
        <v>2725</v>
      </c>
      <c r="AU862" t="s">
        <v>35</v>
      </c>
    </row>
    <row r="863" spans="1:47" x14ac:dyDescent="0.2">
      <c r="A863">
        <v>960</v>
      </c>
      <c r="B863" t="s">
        <v>399</v>
      </c>
      <c r="C863">
        <v>37</v>
      </c>
      <c r="D863" t="s">
        <v>420</v>
      </c>
      <c r="G863" t="str">
        <f t="shared" si="13"/>
        <v>PSEA100137CDD1.2</v>
      </c>
      <c r="H863">
        <v>62.598799999999997</v>
      </c>
      <c r="I863">
        <v>-171.4376</v>
      </c>
      <c r="J863" s="3">
        <v>20100323</v>
      </c>
      <c r="K863">
        <v>2010</v>
      </c>
      <c r="L863">
        <v>1.1110899999999999</v>
      </c>
      <c r="M863">
        <v>18.209610000000001</v>
      </c>
      <c r="N863">
        <v>0.18145</v>
      </c>
      <c r="O863">
        <v>0</v>
      </c>
      <c r="P863">
        <v>4.3819999999999998E-2</v>
      </c>
      <c r="Q863">
        <v>0</v>
      </c>
      <c r="R863">
        <v>1.8000000000000001E-4</v>
      </c>
      <c r="S863">
        <v>2.2900100000000001</v>
      </c>
      <c r="T863">
        <v>1.49E-3</v>
      </c>
      <c r="U863">
        <v>1.2E-4</v>
      </c>
      <c r="V863">
        <v>21.837769999999999</v>
      </c>
      <c r="W863" t="s">
        <v>10</v>
      </c>
      <c r="X863">
        <v>17.001999999999999</v>
      </c>
      <c r="Y863">
        <v>595.60699999999997</v>
      </c>
      <c r="Z863">
        <v>2.5539999999999998</v>
      </c>
      <c r="AA863">
        <v>0</v>
      </c>
      <c r="AB863">
        <v>3.13</v>
      </c>
      <c r="AC863">
        <v>0</v>
      </c>
      <c r="AD863">
        <v>3.0000000000000001E-3</v>
      </c>
      <c r="AE863">
        <v>163.572</v>
      </c>
      <c r="AF863">
        <v>1.6E-2</v>
      </c>
      <c r="AG863">
        <v>2E-3</v>
      </c>
      <c r="AH863">
        <v>781.88599999999997</v>
      </c>
      <c r="AI863" t="s">
        <v>22</v>
      </c>
      <c r="AJ863">
        <v>480</v>
      </c>
      <c r="AK863">
        <v>1530</v>
      </c>
      <c r="AL863">
        <v>1865</v>
      </c>
      <c r="AM863">
        <v>0</v>
      </c>
      <c r="AN863">
        <v>5</v>
      </c>
      <c r="AO863">
        <v>0</v>
      </c>
      <c r="AP863">
        <v>0</v>
      </c>
      <c r="AQ863">
        <v>95</v>
      </c>
      <c r="AR863">
        <v>30</v>
      </c>
      <c r="AS863">
        <v>10</v>
      </c>
      <c r="AT863">
        <v>4015</v>
      </c>
      <c r="AU863" t="s">
        <v>35</v>
      </c>
    </row>
    <row r="864" spans="1:47" x14ac:dyDescent="0.2">
      <c r="A864">
        <v>961</v>
      </c>
      <c r="B864" t="s">
        <v>399</v>
      </c>
      <c r="C864">
        <v>37</v>
      </c>
      <c r="D864" t="s">
        <v>421</v>
      </c>
      <c r="G864" t="str">
        <f t="shared" si="13"/>
        <v>PSEA100137CDD1.3</v>
      </c>
      <c r="H864">
        <v>62.586300000000001</v>
      </c>
      <c r="I864">
        <v>-171.4606</v>
      </c>
      <c r="J864" s="3">
        <v>20100323</v>
      </c>
      <c r="K864">
        <v>2010</v>
      </c>
      <c r="L864">
        <v>0.43067</v>
      </c>
      <c r="M864">
        <v>12.622120000000001</v>
      </c>
      <c r="N864">
        <v>0.26867999999999997</v>
      </c>
      <c r="O864">
        <v>0</v>
      </c>
      <c r="P864">
        <v>0</v>
      </c>
      <c r="Q864">
        <v>0</v>
      </c>
      <c r="R864">
        <v>1.16E-3</v>
      </c>
      <c r="S864">
        <v>1.15835</v>
      </c>
      <c r="T864">
        <v>2.009E-2</v>
      </c>
      <c r="U864">
        <v>1.0659999999999999E-2</v>
      </c>
      <c r="V864">
        <v>14.51173</v>
      </c>
      <c r="W864" t="s">
        <v>10</v>
      </c>
      <c r="X864">
        <v>6.2460000000000004</v>
      </c>
      <c r="Y864">
        <v>339.38400000000001</v>
      </c>
      <c r="Z864">
        <v>3.7930000000000001</v>
      </c>
      <c r="AA864">
        <v>0</v>
      </c>
      <c r="AB864">
        <v>0</v>
      </c>
      <c r="AC864">
        <v>0</v>
      </c>
      <c r="AD864">
        <v>1.9E-2</v>
      </c>
      <c r="AE864">
        <v>82.739000000000004</v>
      </c>
      <c r="AF864">
        <v>0.216</v>
      </c>
      <c r="AG864">
        <v>0.23499999999999999</v>
      </c>
      <c r="AH864">
        <v>432.63200000000001</v>
      </c>
      <c r="AI864" t="s">
        <v>22</v>
      </c>
      <c r="AJ864">
        <v>715</v>
      </c>
      <c r="AK864">
        <v>1390</v>
      </c>
      <c r="AL864">
        <v>2855</v>
      </c>
      <c r="AM864">
        <v>0</v>
      </c>
      <c r="AN864">
        <v>0</v>
      </c>
      <c r="AO864">
        <v>0</v>
      </c>
      <c r="AP864">
        <v>0</v>
      </c>
      <c r="AQ864">
        <v>135</v>
      </c>
      <c r="AR864">
        <v>20</v>
      </c>
      <c r="AS864">
        <v>35</v>
      </c>
      <c r="AT864">
        <v>5150</v>
      </c>
      <c r="AU864" t="s">
        <v>35</v>
      </c>
    </row>
    <row r="865" spans="1:47" x14ac:dyDescent="0.2">
      <c r="A865">
        <v>962</v>
      </c>
      <c r="B865" t="s">
        <v>399</v>
      </c>
      <c r="C865">
        <v>37</v>
      </c>
      <c r="D865" t="s">
        <v>422</v>
      </c>
      <c r="G865" t="str">
        <f t="shared" si="13"/>
        <v>PSEA100137CDD1.4</v>
      </c>
      <c r="H865">
        <v>62.569800000000001</v>
      </c>
      <c r="I865">
        <v>-171.49959999999999</v>
      </c>
      <c r="J865" s="3">
        <v>20100323</v>
      </c>
      <c r="K865">
        <v>2010</v>
      </c>
      <c r="L865">
        <v>0.64454</v>
      </c>
      <c r="M865">
        <v>15.704420000000001</v>
      </c>
      <c r="N865">
        <v>0.36164000000000002</v>
      </c>
      <c r="O865">
        <v>0</v>
      </c>
      <c r="P865">
        <v>7.0099999999999996E-2</v>
      </c>
      <c r="Q865">
        <v>0</v>
      </c>
      <c r="R865">
        <v>0</v>
      </c>
      <c r="S865">
        <v>0.82555000000000001</v>
      </c>
      <c r="T865">
        <v>2.5999999999999999E-3</v>
      </c>
      <c r="U865">
        <v>3.4840000000000003E-2</v>
      </c>
      <c r="V865">
        <v>17.643689999999999</v>
      </c>
      <c r="W865" t="s">
        <v>10</v>
      </c>
      <c r="X865">
        <v>10.234999999999999</v>
      </c>
      <c r="Y865">
        <v>499.80599999999998</v>
      </c>
      <c r="Z865">
        <v>5.1550000000000002</v>
      </c>
      <c r="AA865">
        <v>0</v>
      </c>
      <c r="AB865">
        <v>5.0069999999999997</v>
      </c>
      <c r="AC865">
        <v>0</v>
      </c>
      <c r="AD865">
        <v>0</v>
      </c>
      <c r="AE865">
        <v>58.968000000000004</v>
      </c>
      <c r="AF865">
        <v>2.8000000000000001E-2</v>
      </c>
      <c r="AG865">
        <v>0.56200000000000006</v>
      </c>
      <c r="AH865">
        <v>579.76099999999997</v>
      </c>
      <c r="AI865" t="s">
        <v>22</v>
      </c>
      <c r="AJ865">
        <v>595</v>
      </c>
      <c r="AK865">
        <v>1705</v>
      </c>
      <c r="AL865">
        <v>3065</v>
      </c>
      <c r="AM865">
        <v>0</v>
      </c>
      <c r="AN865">
        <v>5</v>
      </c>
      <c r="AO865">
        <v>0</v>
      </c>
      <c r="AP865">
        <v>0</v>
      </c>
      <c r="AQ865">
        <v>100</v>
      </c>
      <c r="AR865">
        <v>10</v>
      </c>
      <c r="AS865">
        <v>50</v>
      </c>
      <c r="AT865">
        <v>5530</v>
      </c>
      <c r="AU865" t="s">
        <v>35</v>
      </c>
    </row>
    <row r="866" spans="1:47" x14ac:dyDescent="0.2">
      <c r="A866">
        <v>963</v>
      </c>
      <c r="B866" t="s">
        <v>399</v>
      </c>
      <c r="C866">
        <v>38</v>
      </c>
      <c r="D866" t="s">
        <v>236</v>
      </c>
      <c r="G866" t="str">
        <f t="shared" si="13"/>
        <v>PSEA100138POP4</v>
      </c>
      <c r="H866">
        <v>62.399166999999998</v>
      </c>
      <c r="I866">
        <v>-172.68549999999999</v>
      </c>
      <c r="J866" s="3">
        <v>20100324</v>
      </c>
      <c r="K866">
        <v>2010</v>
      </c>
      <c r="L866">
        <v>3.4074800000000001</v>
      </c>
      <c r="M866">
        <v>7.8696299999999999</v>
      </c>
      <c r="N866">
        <v>7.2289999999999993E-2</v>
      </c>
      <c r="O866">
        <v>0</v>
      </c>
      <c r="P866">
        <v>0.69055</v>
      </c>
      <c r="Q866">
        <v>0</v>
      </c>
      <c r="R866">
        <v>4.2000000000000002E-4</v>
      </c>
      <c r="S866">
        <v>0</v>
      </c>
      <c r="T866">
        <v>1.7479999999999999E-2</v>
      </c>
      <c r="U866">
        <v>3.3500000000000002E-2</v>
      </c>
      <c r="V866">
        <v>12.09135</v>
      </c>
      <c r="W866" t="s">
        <v>10</v>
      </c>
      <c r="X866">
        <v>52.823</v>
      </c>
      <c r="Y866">
        <v>243.01599999999999</v>
      </c>
      <c r="Z866">
        <v>0.98399999999999999</v>
      </c>
      <c r="AA866">
        <v>0</v>
      </c>
      <c r="AB866">
        <v>49.325000000000003</v>
      </c>
      <c r="AC866">
        <v>0</v>
      </c>
      <c r="AD866">
        <v>7.0000000000000001E-3</v>
      </c>
      <c r="AE866">
        <v>0</v>
      </c>
      <c r="AF866">
        <v>0.188</v>
      </c>
      <c r="AG866">
        <v>0.54700000000000004</v>
      </c>
      <c r="AH866">
        <v>346.89</v>
      </c>
      <c r="AI866" t="s">
        <v>22</v>
      </c>
      <c r="AJ866">
        <v>1225</v>
      </c>
      <c r="AK866">
        <v>837.5</v>
      </c>
      <c r="AL866">
        <v>260</v>
      </c>
      <c r="AM866">
        <v>0</v>
      </c>
      <c r="AN866">
        <v>20</v>
      </c>
      <c r="AO866">
        <v>0</v>
      </c>
      <c r="AP866">
        <v>5</v>
      </c>
      <c r="AQ866">
        <v>0</v>
      </c>
      <c r="AR866">
        <v>37.5</v>
      </c>
      <c r="AS866">
        <v>77.5</v>
      </c>
      <c r="AT866">
        <v>2462.5</v>
      </c>
      <c r="AU866" t="s">
        <v>33</v>
      </c>
    </row>
    <row r="867" spans="1:47" x14ac:dyDescent="0.2">
      <c r="A867">
        <v>964</v>
      </c>
      <c r="B867" t="s">
        <v>399</v>
      </c>
      <c r="C867">
        <v>39</v>
      </c>
      <c r="D867" t="s">
        <v>231</v>
      </c>
      <c r="G867" t="str">
        <f t="shared" si="13"/>
        <v>PSEA100139SWC4</v>
      </c>
      <c r="H867">
        <v>62.223832999999999</v>
      </c>
      <c r="I867">
        <v>-173.77600000000001</v>
      </c>
      <c r="J867" s="3">
        <v>20100324</v>
      </c>
      <c r="K867">
        <v>2010</v>
      </c>
      <c r="L867">
        <v>5.4169799999999997</v>
      </c>
      <c r="M867">
        <v>0.94250999999999996</v>
      </c>
      <c r="N867">
        <v>0.97023999999999999</v>
      </c>
      <c r="O867">
        <v>1.67E-3</v>
      </c>
      <c r="P867">
        <v>0</v>
      </c>
      <c r="Q867">
        <v>0</v>
      </c>
      <c r="R867">
        <v>3.6999999999999999E-4</v>
      </c>
      <c r="S867">
        <v>3.0000000000000001E-5</v>
      </c>
      <c r="T867">
        <v>4.1759999999999999E-2</v>
      </c>
      <c r="U867">
        <v>0.15520999999999999</v>
      </c>
      <c r="V867">
        <v>7.5287699999999997</v>
      </c>
      <c r="W867" t="s">
        <v>9</v>
      </c>
      <c r="X867">
        <v>75.393000000000001</v>
      </c>
      <c r="Y867">
        <v>26.925999999999998</v>
      </c>
      <c r="Z867">
        <v>12.648999999999999</v>
      </c>
      <c r="AA867">
        <v>3.6999999999999998E-2</v>
      </c>
      <c r="AB867">
        <v>0</v>
      </c>
      <c r="AC867">
        <v>0</v>
      </c>
      <c r="AD867">
        <v>6.0000000000000001E-3</v>
      </c>
      <c r="AE867">
        <v>2E-3</v>
      </c>
      <c r="AF867">
        <v>0.44900000000000001</v>
      </c>
      <c r="AG867">
        <v>2.6019999999999999</v>
      </c>
      <c r="AH867">
        <v>118.06399999999999</v>
      </c>
      <c r="AI867" t="s">
        <v>21</v>
      </c>
      <c r="AJ867">
        <v>1680</v>
      </c>
      <c r="AK867">
        <v>425</v>
      </c>
      <c r="AL867">
        <v>687.5</v>
      </c>
      <c r="AM867">
        <v>5</v>
      </c>
      <c r="AN867">
        <v>0</v>
      </c>
      <c r="AO867">
        <v>0</v>
      </c>
      <c r="AP867">
        <v>0</v>
      </c>
      <c r="AQ867">
        <v>2.5</v>
      </c>
      <c r="AR867">
        <v>15</v>
      </c>
      <c r="AS867">
        <v>92.5</v>
      </c>
      <c r="AT867">
        <v>2907.5</v>
      </c>
      <c r="AU867" t="s">
        <v>33</v>
      </c>
    </row>
    <row r="868" spans="1:47" x14ac:dyDescent="0.2">
      <c r="A868">
        <v>965</v>
      </c>
      <c r="B868" t="s">
        <v>399</v>
      </c>
      <c r="C868">
        <v>4</v>
      </c>
      <c r="D868" t="s">
        <v>308</v>
      </c>
      <c r="G868" t="str">
        <f t="shared" si="13"/>
        <v>PSEA10014NWC4A</v>
      </c>
      <c r="H868">
        <v>62.561500000000002</v>
      </c>
      <c r="I868">
        <v>-174.209667</v>
      </c>
      <c r="J868" s="3">
        <v>20100315</v>
      </c>
      <c r="K868">
        <v>2010</v>
      </c>
      <c r="L868">
        <v>6.0427799999999996</v>
      </c>
      <c r="M868">
        <v>11.78585</v>
      </c>
      <c r="N868">
        <v>0.10277</v>
      </c>
      <c r="O868">
        <v>1.17E-3</v>
      </c>
      <c r="P868">
        <v>0.86</v>
      </c>
      <c r="Q868">
        <v>0</v>
      </c>
      <c r="R868">
        <v>4.2999999999999999E-4</v>
      </c>
      <c r="S868">
        <v>2.8989999999999998E-2</v>
      </c>
      <c r="T868">
        <v>1.1591499999999999</v>
      </c>
      <c r="U868">
        <v>0.21690000000000001</v>
      </c>
      <c r="V868">
        <v>20.198039999999999</v>
      </c>
      <c r="W868" t="s">
        <v>10</v>
      </c>
      <c r="X868">
        <v>98.096999999999994</v>
      </c>
      <c r="Y868">
        <v>348.64400000000001</v>
      </c>
      <c r="Z868">
        <v>1.256</v>
      </c>
      <c r="AA868">
        <v>2.5999999999999999E-2</v>
      </c>
      <c r="AB868">
        <v>61.429000000000002</v>
      </c>
      <c r="AC868">
        <v>0</v>
      </c>
      <c r="AD868">
        <v>7.0000000000000001E-3</v>
      </c>
      <c r="AE868">
        <v>0.70699999999999996</v>
      </c>
      <c r="AF868">
        <v>12.464</v>
      </c>
      <c r="AG868">
        <v>5.742</v>
      </c>
      <c r="AH868">
        <v>528.37199999999996</v>
      </c>
      <c r="AI868" t="s">
        <v>22</v>
      </c>
      <c r="AJ868">
        <v>1472.5</v>
      </c>
      <c r="AK868">
        <v>1152.5</v>
      </c>
      <c r="AL868">
        <v>162.5</v>
      </c>
      <c r="AM868">
        <v>2.5</v>
      </c>
      <c r="AN868">
        <v>117.5</v>
      </c>
      <c r="AO868">
        <v>0</v>
      </c>
      <c r="AP868">
        <v>0</v>
      </c>
      <c r="AQ868">
        <v>2.5</v>
      </c>
      <c r="AR868">
        <v>47.5</v>
      </c>
      <c r="AS868">
        <v>292.5</v>
      </c>
      <c r="AT868">
        <v>3250</v>
      </c>
      <c r="AU868" t="s">
        <v>33</v>
      </c>
    </row>
    <row r="869" spans="1:47" x14ac:dyDescent="0.2">
      <c r="A869">
        <v>966</v>
      </c>
      <c r="B869" t="s">
        <v>399</v>
      </c>
      <c r="C869">
        <v>40</v>
      </c>
      <c r="D869" t="s">
        <v>237</v>
      </c>
      <c r="G869" t="str">
        <f t="shared" si="13"/>
        <v>PSEA100140SWC4A</v>
      </c>
      <c r="H869">
        <v>62.418166999999997</v>
      </c>
      <c r="I869">
        <v>-173.41133300000001</v>
      </c>
      <c r="J869" s="3">
        <v>20100325</v>
      </c>
      <c r="K869">
        <v>2010</v>
      </c>
      <c r="L869">
        <v>4.4036499999999998</v>
      </c>
      <c r="M869">
        <v>9.2132000000000005</v>
      </c>
      <c r="N869">
        <v>0.66227999999999998</v>
      </c>
      <c r="O869">
        <v>2.6099999999999999E-3</v>
      </c>
      <c r="P869">
        <v>0.54383999999999999</v>
      </c>
      <c r="Q869">
        <v>0</v>
      </c>
      <c r="R869">
        <v>0</v>
      </c>
      <c r="S869">
        <v>9.3030000000000002E-2</v>
      </c>
      <c r="T869">
        <v>2.0279999999999999E-2</v>
      </c>
      <c r="U869">
        <v>0.12074</v>
      </c>
      <c r="V869">
        <v>15.05963</v>
      </c>
      <c r="W869" t="s">
        <v>10</v>
      </c>
      <c r="X869">
        <v>75.835999999999999</v>
      </c>
      <c r="Y869">
        <v>252.41300000000001</v>
      </c>
      <c r="Z869">
        <v>8.7690000000000001</v>
      </c>
      <c r="AA869">
        <v>5.8000000000000003E-2</v>
      </c>
      <c r="AB869">
        <v>38.845999999999997</v>
      </c>
      <c r="AC869">
        <v>0</v>
      </c>
      <c r="AD869">
        <v>0</v>
      </c>
      <c r="AE869">
        <v>6.6449999999999996</v>
      </c>
      <c r="AF869">
        <v>0.218</v>
      </c>
      <c r="AG869">
        <v>2.8279999999999998</v>
      </c>
      <c r="AH869">
        <v>385.613</v>
      </c>
      <c r="AI869" t="s">
        <v>22</v>
      </c>
      <c r="AJ869">
        <v>1937.5</v>
      </c>
      <c r="AK869">
        <v>637.5</v>
      </c>
      <c r="AL869">
        <v>392.5</v>
      </c>
      <c r="AM869">
        <v>12.5</v>
      </c>
      <c r="AN869">
        <v>82.5</v>
      </c>
      <c r="AO869">
        <v>0</v>
      </c>
      <c r="AP869">
        <v>0</v>
      </c>
      <c r="AQ869">
        <v>2.5</v>
      </c>
      <c r="AR869">
        <v>17.5</v>
      </c>
      <c r="AS869">
        <v>60</v>
      </c>
      <c r="AT869">
        <v>3142.5</v>
      </c>
      <c r="AU869" t="s">
        <v>33</v>
      </c>
    </row>
    <row r="870" spans="1:47" x14ac:dyDescent="0.2">
      <c r="A870">
        <v>967</v>
      </c>
      <c r="B870" t="s">
        <v>399</v>
      </c>
      <c r="C870">
        <v>41</v>
      </c>
      <c r="D870" t="s">
        <v>243</v>
      </c>
      <c r="G870" t="str">
        <f t="shared" si="13"/>
        <v>PSEA100141NWC3</v>
      </c>
      <c r="H870">
        <v>62.747667</v>
      </c>
      <c r="I870">
        <v>-173.870833</v>
      </c>
      <c r="J870" s="3">
        <v>20100325</v>
      </c>
      <c r="K870">
        <v>2010</v>
      </c>
      <c r="L870">
        <v>2.6571199999999999</v>
      </c>
      <c r="M870">
        <v>23.281510000000001</v>
      </c>
      <c r="N870">
        <v>0.46468999999999999</v>
      </c>
      <c r="O870">
        <v>0</v>
      </c>
      <c r="P870">
        <v>0.26795999999999998</v>
      </c>
      <c r="Q870">
        <v>0</v>
      </c>
      <c r="R870">
        <v>1.2E-4</v>
      </c>
      <c r="S870">
        <v>0</v>
      </c>
      <c r="T870">
        <v>2.3260299999999998</v>
      </c>
      <c r="U870">
        <v>0.12595000000000001</v>
      </c>
      <c r="V870">
        <v>29.123380000000001</v>
      </c>
      <c r="W870" t="s">
        <v>10</v>
      </c>
      <c r="X870">
        <v>43.36</v>
      </c>
      <c r="Y870">
        <v>646.71100000000001</v>
      </c>
      <c r="Z870">
        <v>5.1630000000000003</v>
      </c>
      <c r="AA870">
        <v>0</v>
      </c>
      <c r="AB870">
        <v>19.14</v>
      </c>
      <c r="AC870">
        <v>0</v>
      </c>
      <c r="AD870">
        <v>2E-3</v>
      </c>
      <c r="AE870">
        <v>0</v>
      </c>
      <c r="AF870">
        <v>25.010999999999999</v>
      </c>
      <c r="AG870">
        <v>2.7519999999999998</v>
      </c>
      <c r="AH870">
        <v>742.13900000000001</v>
      </c>
      <c r="AI870" t="s">
        <v>22</v>
      </c>
      <c r="AJ870">
        <v>747.5</v>
      </c>
      <c r="AK870">
        <v>1162.5</v>
      </c>
      <c r="AL870">
        <v>337.5</v>
      </c>
      <c r="AM870">
        <v>0</v>
      </c>
      <c r="AN870">
        <v>30</v>
      </c>
      <c r="AO870">
        <v>0</v>
      </c>
      <c r="AP870">
        <v>2.5</v>
      </c>
      <c r="AQ870">
        <v>0</v>
      </c>
      <c r="AR870">
        <v>40</v>
      </c>
      <c r="AS870">
        <v>102.5</v>
      </c>
      <c r="AT870">
        <v>2422.5</v>
      </c>
      <c r="AU870" t="s">
        <v>34</v>
      </c>
    </row>
    <row r="871" spans="1:47" x14ac:dyDescent="0.2">
      <c r="A871">
        <v>968</v>
      </c>
      <c r="B871" t="s">
        <v>399</v>
      </c>
      <c r="C871">
        <v>42</v>
      </c>
      <c r="D871" t="s">
        <v>244</v>
      </c>
      <c r="G871" t="str">
        <f t="shared" si="13"/>
        <v>PSEA100142DLN3</v>
      </c>
      <c r="H871">
        <v>62.893999999999998</v>
      </c>
      <c r="I871">
        <v>-174.51483300000001</v>
      </c>
      <c r="J871" s="3">
        <v>20100326</v>
      </c>
      <c r="K871">
        <v>2010</v>
      </c>
      <c r="L871">
        <v>5.2187099999999997</v>
      </c>
      <c r="M871">
        <v>17.48498</v>
      </c>
      <c r="N871">
        <v>8.4779999999999994E-2</v>
      </c>
      <c r="O871">
        <v>0</v>
      </c>
      <c r="P871">
        <v>0.75070999999999999</v>
      </c>
      <c r="Q871">
        <v>0</v>
      </c>
      <c r="R871">
        <v>5.5000000000000003E-4</v>
      </c>
      <c r="S871">
        <v>0</v>
      </c>
      <c r="T871">
        <v>2.1489999999999999E-2</v>
      </c>
      <c r="U871">
        <v>0.18931000000000001</v>
      </c>
      <c r="V871">
        <v>23.750530000000001</v>
      </c>
      <c r="W871" t="s">
        <v>10</v>
      </c>
      <c r="X871">
        <v>86.346000000000004</v>
      </c>
      <c r="Y871">
        <v>482.214</v>
      </c>
      <c r="Z871">
        <v>0.99299999999999999</v>
      </c>
      <c r="AA871">
        <v>0</v>
      </c>
      <c r="AB871">
        <v>53.622</v>
      </c>
      <c r="AC871">
        <v>0</v>
      </c>
      <c r="AD871">
        <v>8.9999999999999993E-3</v>
      </c>
      <c r="AE871">
        <v>0</v>
      </c>
      <c r="AF871">
        <v>0.23100000000000001</v>
      </c>
      <c r="AG871">
        <v>5.556</v>
      </c>
      <c r="AH871">
        <v>628.971</v>
      </c>
      <c r="AI871" t="s">
        <v>22</v>
      </c>
      <c r="AJ871">
        <v>1650</v>
      </c>
      <c r="AK871">
        <v>700</v>
      </c>
      <c r="AL871">
        <v>167.5</v>
      </c>
      <c r="AM871">
        <v>2.5</v>
      </c>
      <c r="AN871">
        <v>67.5</v>
      </c>
      <c r="AO871">
        <v>0</v>
      </c>
      <c r="AP871">
        <v>7.5</v>
      </c>
      <c r="AQ871">
        <v>0</v>
      </c>
      <c r="AR871">
        <v>2.5</v>
      </c>
      <c r="AS871">
        <v>215</v>
      </c>
      <c r="AT871">
        <v>2812.5</v>
      </c>
      <c r="AU871" t="s">
        <v>33</v>
      </c>
    </row>
    <row r="872" spans="1:47" x14ac:dyDescent="0.2">
      <c r="A872">
        <v>969</v>
      </c>
      <c r="B872" t="s">
        <v>399</v>
      </c>
      <c r="C872">
        <v>43</v>
      </c>
      <c r="D872" t="s">
        <v>248</v>
      </c>
      <c r="G872" t="str">
        <f t="shared" si="13"/>
        <v>PSEA100143DLN2</v>
      </c>
      <c r="H872">
        <v>63.263832999999998</v>
      </c>
      <c r="I872">
        <v>-173.73500000000001</v>
      </c>
      <c r="J872" s="3">
        <v>20100327</v>
      </c>
      <c r="K872">
        <v>2010</v>
      </c>
      <c r="L872">
        <v>5.4553099999999999</v>
      </c>
      <c r="M872">
        <v>9.3280700000000003</v>
      </c>
      <c r="N872">
        <v>2.1800899999999999</v>
      </c>
      <c r="O872">
        <v>1.4400000000000001E-3</v>
      </c>
      <c r="P872">
        <v>0.97175999999999996</v>
      </c>
      <c r="Q872">
        <v>0</v>
      </c>
      <c r="R872">
        <v>0</v>
      </c>
      <c r="S872">
        <v>0</v>
      </c>
      <c r="T872">
        <v>0.26718999999999998</v>
      </c>
      <c r="U872">
        <v>9.6110000000000001E-2</v>
      </c>
      <c r="V872">
        <v>18.299969999999998</v>
      </c>
      <c r="W872" t="s">
        <v>10</v>
      </c>
      <c r="X872">
        <v>80.100999999999999</v>
      </c>
      <c r="Y872">
        <v>250.06299999999999</v>
      </c>
      <c r="Z872">
        <v>28.513000000000002</v>
      </c>
      <c r="AA872">
        <v>3.2000000000000001E-2</v>
      </c>
      <c r="AB872">
        <v>69.411000000000001</v>
      </c>
      <c r="AC872">
        <v>0</v>
      </c>
      <c r="AD872">
        <v>0</v>
      </c>
      <c r="AE872">
        <v>0</v>
      </c>
      <c r="AF872">
        <v>2.8730000000000002</v>
      </c>
      <c r="AG872">
        <v>2.234</v>
      </c>
      <c r="AH872">
        <v>433.22699999999998</v>
      </c>
      <c r="AI872" t="s">
        <v>22</v>
      </c>
      <c r="AJ872">
        <v>2375</v>
      </c>
      <c r="AK872">
        <v>335</v>
      </c>
      <c r="AL872">
        <v>2272.5</v>
      </c>
      <c r="AM872">
        <v>5</v>
      </c>
      <c r="AN872">
        <v>90</v>
      </c>
      <c r="AO872">
        <v>0</v>
      </c>
      <c r="AP872">
        <v>0</v>
      </c>
      <c r="AQ872">
        <v>0</v>
      </c>
      <c r="AR872">
        <v>50</v>
      </c>
      <c r="AS872">
        <v>257.5</v>
      </c>
      <c r="AT872">
        <v>5385</v>
      </c>
      <c r="AU872" t="s">
        <v>33</v>
      </c>
    </row>
    <row r="873" spans="1:47" x14ac:dyDescent="0.2">
      <c r="A873">
        <v>970</v>
      </c>
      <c r="B873" t="s">
        <v>399</v>
      </c>
      <c r="C873">
        <v>44</v>
      </c>
      <c r="D873" t="s">
        <v>423</v>
      </c>
      <c r="G873" t="str">
        <f t="shared" si="13"/>
        <v>PSEA100144CD81.1</v>
      </c>
      <c r="H873">
        <v>62.632167000000003</v>
      </c>
      <c r="I873">
        <v>-172.2655</v>
      </c>
      <c r="J873" s="3">
        <v>20100328</v>
      </c>
      <c r="K873">
        <v>2010</v>
      </c>
      <c r="L873">
        <v>2.3035299999999999</v>
      </c>
      <c r="M873">
        <v>5.6066799999999999</v>
      </c>
      <c r="N873">
        <v>0.28159000000000001</v>
      </c>
      <c r="O873">
        <v>0</v>
      </c>
      <c r="P873">
        <v>0.16577</v>
      </c>
      <c r="Q873">
        <v>0</v>
      </c>
      <c r="R873">
        <v>1.2E-4</v>
      </c>
      <c r="S873">
        <v>0.1148</v>
      </c>
      <c r="T873">
        <v>3.2599999999999999E-3</v>
      </c>
      <c r="U873">
        <v>5.9300000000000004E-3</v>
      </c>
      <c r="V873">
        <v>8.4816800000000008</v>
      </c>
      <c r="W873" t="s">
        <v>10</v>
      </c>
      <c r="X873">
        <v>32.276000000000003</v>
      </c>
      <c r="Y873">
        <v>173.65199999999999</v>
      </c>
      <c r="Z873">
        <v>3.9929999999999999</v>
      </c>
      <c r="AA873">
        <v>0</v>
      </c>
      <c r="AB873">
        <v>11.840999999999999</v>
      </c>
      <c r="AC873">
        <v>0</v>
      </c>
      <c r="AD873">
        <v>2E-3</v>
      </c>
      <c r="AE873">
        <v>8.1999999999999993</v>
      </c>
      <c r="AF873">
        <v>3.5000000000000003E-2</v>
      </c>
      <c r="AG873">
        <v>0.115</v>
      </c>
      <c r="AH873">
        <v>230.114</v>
      </c>
      <c r="AI873" t="s">
        <v>22</v>
      </c>
      <c r="AJ873">
        <v>697.5</v>
      </c>
      <c r="AK873">
        <v>837.5</v>
      </c>
      <c r="AL873">
        <v>1112.5</v>
      </c>
      <c r="AM873">
        <v>0</v>
      </c>
      <c r="AN873">
        <v>2.5</v>
      </c>
      <c r="AO873">
        <v>0</v>
      </c>
      <c r="AP873">
        <v>0</v>
      </c>
      <c r="AQ873">
        <v>10</v>
      </c>
      <c r="AR873">
        <v>2.5</v>
      </c>
      <c r="AS873">
        <v>87.5</v>
      </c>
      <c r="AT873">
        <v>2750</v>
      </c>
      <c r="AU873" t="s">
        <v>35</v>
      </c>
    </row>
    <row r="874" spans="1:47" x14ac:dyDescent="0.2">
      <c r="A874">
        <v>971</v>
      </c>
      <c r="B874" t="s">
        <v>399</v>
      </c>
      <c r="C874">
        <v>44</v>
      </c>
      <c r="D874" t="s">
        <v>424</v>
      </c>
      <c r="G874" t="str">
        <f t="shared" si="13"/>
        <v>PSEA100144CD81.2</v>
      </c>
      <c r="H874">
        <v>62.630099999999999</v>
      </c>
      <c r="I874">
        <v>-172.12700000000001</v>
      </c>
      <c r="J874" s="3">
        <v>20100328</v>
      </c>
      <c r="K874">
        <v>2010</v>
      </c>
      <c r="L874">
        <v>1.20628</v>
      </c>
      <c r="M874">
        <v>10.06622</v>
      </c>
      <c r="N874">
        <v>0.25917000000000001</v>
      </c>
      <c r="O874">
        <v>0</v>
      </c>
      <c r="P874">
        <v>0.92278000000000004</v>
      </c>
      <c r="Q874">
        <v>0</v>
      </c>
      <c r="R874">
        <v>0</v>
      </c>
      <c r="S874">
        <v>1.41161</v>
      </c>
      <c r="T874">
        <v>1.49E-3</v>
      </c>
      <c r="U874">
        <v>2.0100000000000001E-3</v>
      </c>
      <c r="V874">
        <v>13.86956</v>
      </c>
      <c r="W874" t="s">
        <v>10</v>
      </c>
      <c r="X874">
        <v>16.398</v>
      </c>
      <c r="Y874">
        <v>331.00299999999999</v>
      </c>
      <c r="Z874">
        <v>3.742</v>
      </c>
      <c r="AA874">
        <v>0</v>
      </c>
      <c r="AB874">
        <v>65.912999999999997</v>
      </c>
      <c r="AC874">
        <v>0</v>
      </c>
      <c r="AD874">
        <v>0</v>
      </c>
      <c r="AE874">
        <v>100.82899999999999</v>
      </c>
      <c r="AF874">
        <v>1.6E-2</v>
      </c>
      <c r="AG874">
        <v>7.5999999999999998E-2</v>
      </c>
      <c r="AH874">
        <v>517.97699999999998</v>
      </c>
      <c r="AI874" t="s">
        <v>22</v>
      </c>
      <c r="AJ874">
        <v>900</v>
      </c>
      <c r="AK874">
        <v>1040</v>
      </c>
      <c r="AL874">
        <v>1980</v>
      </c>
      <c r="AM874">
        <v>0</v>
      </c>
      <c r="AN874">
        <v>25</v>
      </c>
      <c r="AO874">
        <v>0</v>
      </c>
      <c r="AP874">
        <v>0</v>
      </c>
      <c r="AQ874">
        <v>75</v>
      </c>
      <c r="AR874">
        <v>25</v>
      </c>
      <c r="AS874">
        <v>25</v>
      </c>
      <c r="AT874">
        <v>4070</v>
      </c>
      <c r="AU874" t="s">
        <v>35</v>
      </c>
    </row>
    <row r="875" spans="1:47" x14ac:dyDescent="0.2">
      <c r="A875">
        <v>972</v>
      </c>
      <c r="B875" t="s">
        <v>399</v>
      </c>
      <c r="C875">
        <v>44</v>
      </c>
      <c r="D875" t="s">
        <v>425</v>
      </c>
      <c r="G875" t="str">
        <f t="shared" si="13"/>
        <v>PSEA100144CD81.3</v>
      </c>
      <c r="H875">
        <v>62.6858</v>
      </c>
      <c r="I875">
        <v>-172.0917</v>
      </c>
      <c r="J875" s="3">
        <v>20100328</v>
      </c>
      <c r="K875">
        <v>2010</v>
      </c>
      <c r="L875">
        <v>0.99939</v>
      </c>
      <c r="M875">
        <v>10.89099</v>
      </c>
      <c r="N875">
        <v>0.15234</v>
      </c>
      <c r="O875">
        <v>0</v>
      </c>
      <c r="P875">
        <v>0</v>
      </c>
      <c r="Q875">
        <v>0</v>
      </c>
      <c r="R875">
        <v>0</v>
      </c>
      <c r="S875">
        <v>1.5719799999999999</v>
      </c>
      <c r="T875">
        <v>1.9000000000000001E-4</v>
      </c>
      <c r="U875">
        <v>5.5900000000000004E-3</v>
      </c>
      <c r="V875">
        <v>13.620480000000001</v>
      </c>
      <c r="W875" t="s">
        <v>10</v>
      </c>
      <c r="X875">
        <v>14.413</v>
      </c>
      <c r="Y875">
        <v>344.24</v>
      </c>
      <c r="Z875">
        <v>2.2090000000000001</v>
      </c>
      <c r="AA875">
        <v>0</v>
      </c>
      <c r="AB875">
        <v>0</v>
      </c>
      <c r="AC875">
        <v>0</v>
      </c>
      <c r="AD875">
        <v>0</v>
      </c>
      <c r="AE875">
        <v>112.28400000000001</v>
      </c>
      <c r="AF875">
        <v>2E-3</v>
      </c>
      <c r="AG875">
        <v>0.112</v>
      </c>
      <c r="AH875">
        <v>473.26</v>
      </c>
      <c r="AI875" t="s">
        <v>22</v>
      </c>
      <c r="AJ875">
        <v>1585</v>
      </c>
      <c r="AK875">
        <v>1435</v>
      </c>
      <c r="AL875">
        <v>845</v>
      </c>
      <c r="AM875">
        <v>0</v>
      </c>
      <c r="AN875">
        <v>0</v>
      </c>
      <c r="AO875">
        <v>0</v>
      </c>
      <c r="AP875">
        <v>0</v>
      </c>
      <c r="AQ875">
        <v>65</v>
      </c>
      <c r="AR875">
        <v>5</v>
      </c>
      <c r="AS875">
        <v>100</v>
      </c>
      <c r="AT875">
        <v>4035</v>
      </c>
      <c r="AU875" t="s">
        <v>33</v>
      </c>
    </row>
    <row r="876" spans="1:47" x14ac:dyDescent="0.2">
      <c r="A876">
        <v>973</v>
      </c>
      <c r="B876" t="s">
        <v>399</v>
      </c>
      <c r="C876">
        <v>44</v>
      </c>
      <c r="D876" t="s">
        <v>426</v>
      </c>
      <c r="G876" t="str">
        <f t="shared" si="13"/>
        <v>PSEA100144CD81.4</v>
      </c>
      <c r="H876">
        <v>62.704900000000002</v>
      </c>
      <c r="I876">
        <v>-171.79900000000001</v>
      </c>
      <c r="J876" s="3">
        <v>20100328</v>
      </c>
      <c r="K876">
        <v>2010</v>
      </c>
      <c r="L876">
        <v>1.8100700000000001</v>
      </c>
      <c r="M876">
        <v>13.7399</v>
      </c>
      <c r="N876">
        <v>6.615E-2</v>
      </c>
      <c r="O876">
        <v>0</v>
      </c>
      <c r="P876">
        <v>2.0000000000000001E-4</v>
      </c>
      <c r="Q876">
        <v>0</v>
      </c>
      <c r="R876">
        <v>0</v>
      </c>
      <c r="S876">
        <v>6.8909999999999999E-2</v>
      </c>
      <c r="T876">
        <v>4.0000000000000001E-3</v>
      </c>
      <c r="U876">
        <v>1.188E-2</v>
      </c>
      <c r="V876">
        <v>15.70111</v>
      </c>
      <c r="W876" t="s">
        <v>10</v>
      </c>
      <c r="X876">
        <v>29.146999999999998</v>
      </c>
      <c r="Y876">
        <v>370.15600000000001</v>
      </c>
      <c r="Z876">
        <v>0.86299999999999999</v>
      </c>
      <c r="AA876">
        <v>0</v>
      </c>
      <c r="AB876">
        <v>1.4E-2</v>
      </c>
      <c r="AC876">
        <v>0</v>
      </c>
      <c r="AD876">
        <v>0</v>
      </c>
      <c r="AE876">
        <v>4.9219999999999997</v>
      </c>
      <c r="AF876">
        <v>4.2999999999999997E-2</v>
      </c>
      <c r="AG876">
        <v>0.27700000000000002</v>
      </c>
      <c r="AH876">
        <v>405.42200000000003</v>
      </c>
      <c r="AI876" t="s">
        <v>22</v>
      </c>
      <c r="AJ876">
        <v>1340</v>
      </c>
      <c r="AK876">
        <v>1185</v>
      </c>
      <c r="AL876">
        <v>440</v>
      </c>
      <c r="AM876">
        <v>0</v>
      </c>
      <c r="AN876">
        <v>0</v>
      </c>
      <c r="AO876">
        <v>0</v>
      </c>
      <c r="AP876">
        <v>0</v>
      </c>
      <c r="AQ876">
        <v>5</v>
      </c>
      <c r="AR876">
        <v>0</v>
      </c>
      <c r="AS876">
        <v>35</v>
      </c>
      <c r="AT876">
        <v>3005</v>
      </c>
      <c r="AU876" t="s">
        <v>33</v>
      </c>
    </row>
    <row r="877" spans="1:47" x14ac:dyDescent="0.2">
      <c r="A877">
        <v>974</v>
      </c>
      <c r="B877" t="s">
        <v>399</v>
      </c>
      <c r="C877">
        <v>45</v>
      </c>
      <c r="D877" t="s">
        <v>427</v>
      </c>
      <c r="G877" t="str">
        <f t="shared" si="13"/>
        <v>PSEA100145CD81.5</v>
      </c>
      <c r="H877">
        <v>62.719166999999999</v>
      </c>
      <c r="I877">
        <v>-171.83883299999999</v>
      </c>
      <c r="J877" s="3">
        <v>20100328</v>
      </c>
      <c r="K877">
        <v>2010</v>
      </c>
      <c r="L877">
        <v>1.3912800000000001</v>
      </c>
      <c r="M877">
        <v>5.9015599999999999</v>
      </c>
      <c r="N877">
        <v>7.6149999999999995E-2</v>
      </c>
      <c r="O877">
        <v>0</v>
      </c>
      <c r="P877">
        <v>0</v>
      </c>
      <c r="Q877">
        <v>0</v>
      </c>
      <c r="R877">
        <v>7.2999999999999996E-4</v>
      </c>
      <c r="S877">
        <v>0.2429</v>
      </c>
      <c r="T877">
        <v>1.1199999999999999E-3</v>
      </c>
      <c r="U877">
        <v>4.1200000000000004E-3</v>
      </c>
      <c r="V877">
        <v>7.6178600000000003</v>
      </c>
      <c r="W877" t="s">
        <v>10</v>
      </c>
      <c r="X877">
        <v>18.286999999999999</v>
      </c>
      <c r="Y877">
        <v>181.21899999999999</v>
      </c>
      <c r="Z877">
        <v>1.046</v>
      </c>
      <c r="AA877">
        <v>0</v>
      </c>
      <c r="AB877">
        <v>0</v>
      </c>
      <c r="AC877">
        <v>0</v>
      </c>
      <c r="AD877">
        <v>1.2E-2</v>
      </c>
      <c r="AE877">
        <v>17.350000000000001</v>
      </c>
      <c r="AF877">
        <v>1.2E-2</v>
      </c>
      <c r="AG877">
        <v>6.7000000000000004E-2</v>
      </c>
      <c r="AH877">
        <v>217.99299999999999</v>
      </c>
      <c r="AI877" t="s">
        <v>22</v>
      </c>
      <c r="AJ877">
        <v>547.5</v>
      </c>
      <c r="AK877">
        <v>652.5</v>
      </c>
      <c r="AL877">
        <v>497.5</v>
      </c>
      <c r="AM877">
        <v>0</v>
      </c>
      <c r="AN877">
        <v>0</v>
      </c>
      <c r="AO877">
        <v>0</v>
      </c>
      <c r="AP877">
        <v>0</v>
      </c>
      <c r="AQ877">
        <v>22.5</v>
      </c>
      <c r="AR877">
        <v>10</v>
      </c>
      <c r="AS877">
        <v>10</v>
      </c>
      <c r="AT877">
        <v>1740</v>
      </c>
      <c r="AU877" t="s">
        <v>34</v>
      </c>
    </row>
    <row r="878" spans="1:47" x14ac:dyDescent="0.2">
      <c r="A878">
        <v>975</v>
      </c>
      <c r="B878" t="s">
        <v>399</v>
      </c>
      <c r="C878">
        <v>45</v>
      </c>
      <c r="D878" t="s">
        <v>428</v>
      </c>
      <c r="G878" t="str">
        <f t="shared" si="13"/>
        <v>PSEA100145CD81.6</v>
      </c>
      <c r="H878">
        <v>62.626300000000001</v>
      </c>
      <c r="I878">
        <v>-171.83619999999999</v>
      </c>
      <c r="J878" s="3">
        <v>20100328</v>
      </c>
      <c r="K878">
        <v>2010</v>
      </c>
      <c r="L878">
        <v>1.19594</v>
      </c>
      <c r="M878">
        <v>7.7410100000000002</v>
      </c>
      <c r="N878">
        <v>0.31241000000000002</v>
      </c>
      <c r="O878">
        <v>0</v>
      </c>
      <c r="P878">
        <v>0</v>
      </c>
      <c r="Q878">
        <v>0</v>
      </c>
      <c r="R878">
        <v>0</v>
      </c>
      <c r="S878">
        <v>0.29032000000000002</v>
      </c>
      <c r="T878">
        <v>2.5100000000000001E-3</v>
      </c>
      <c r="U878">
        <v>5.8400000000000001E-2</v>
      </c>
      <c r="V878">
        <v>9.6005900000000004</v>
      </c>
      <c r="W878" t="s">
        <v>10</v>
      </c>
      <c r="X878">
        <v>17.009</v>
      </c>
      <c r="Y878">
        <v>307.15199999999999</v>
      </c>
      <c r="Z878">
        <v>4.47</v>
      </c>
      <c r="AA878">
        <v>0</v>
      </c>
      <c r="AB878">
        <v>0</v>
      </c>
      <c r="AC878">
        <v>0</v>
      </c>
      <c r="AD878">
        <v>0</v>
      </c>
      <c r="AE878">
        <v>20.736999999999998</v>
      </c>
      <c r="AF878">
        <v>2.7E-2</v>
      </c>
      <c r="AG878">
        <v>0.94199999999999995</v>
      </c>
      <c r="AH878">
        <v>350.33699999999999</v>
      </c>
      <c r="AI878" t="s">
        <v>22</v>
      </c>
      <c r="AJ878">
        <v>440</v>
      </c>
      <c r="AK878">
        <v>850</v>
      </c>
      <c r="AL878">
        <v>1735</v>
      </c>
      <c r="AM878">
        <v>0</v>
      </c>
      <c r="AN878">
        <v>0</v>
      </c>
      <c r="AO878">
        <v>0</v>
      </c>
      <c r="AP878">
        <v>0</v>
      </c>
      <c r="AQ878">
        <v>15</v>
      </c>
      <c r="AR878">
        <v>15</v>
      </c>
      <c r="AS878">
        <v>50</v>
      </c>
      <c r="AT878">
        <v>3105</v>
      </c>
      <c r="AU878" t="s">
        <v>35</v>
      </c>
    </row>
    <row r="879" spans="1:47" x14ac:dyDescent="0.2">
      <c r="A879">
        <v>976</v>
      </c>
      <c r="B879" t="s">
        <v>399</v>
      </c>
      <c r="C879">
        <v>46</v>
      </c>
      <c r="D879" t="s">
        <v>260</v>
      </c>
      <c r="G879" t="str">
        <f t="shared" si="13"/>
        <v>PSEA100146SWC2</v>
      </c>
      <c r="H879">
        <v>62.908332999999999</v>
      </c>
      <c r="I879">
        <v>-172.27449999999999</v>
      </c>
      <c r="J879" s="3">
        <v>20100328</v>
      </c>
      <c r="K879">
        <v>2010</v>
      </c>
      <c r="L879">
        <v>6.7070600000000002</v>
      </c>
      <c r="M879">
        <v>4.5962899999999998</v>
      </c>
      <c r="N879">
        <v>0.46771000000000001</v>
      </c>
      <c r="O879">
        <v>7.3400000000000002E-3</v>
      </c>
      <c r="P879">
        <v>0.34366999999999998</v>
      </c>
      <c r="Q879">
        <v>0</v>
      </c>
      <c r="R879">
        <v>1.8000000000000001E-4</v>
      </c>
      <c r="S879">
        <v>1.84579</v>
      </c>
      <c r="T879">
        <v>1.89683</v>
      </c>
      <c r="U879">
        <v>5.8399999999999997E-3</v>
      </c>
      <c r="V879">
        <v>15.870710000000001</v>
      </c>
      <c r="W879" t="s">
        <v>9</v>
      </c>
      <c r="X879">
        <v>115.372</v>
      </c>
      <c r="Y879">
        <v>135.364</v>
      </c>
      <c r="Z879">
        <v>5.6619999999999999</v>
      </c>
      <c r="AA879">
        <v>0.16300000000000001</v>
      </c>
      <c r="AB879">
        <v>24.547999999999998</v>
      </c>
      <c r="AC879">
        <v>0</v>
      </c>
      <c r="AD879">
        <v>3.0000000000000001E-3</v>
      </c>
      <c r="AE879">
        <v>131.84200000000001</v>
      </c>
      <c r="AF879">
        <v>20.396000000000001</v>
      </c>
      <c r="AG879">
        <v>0.13900000000000001</v>
      </c>
      <c r="AH879">
        <v>433.48899999999998</v>
      </c>
      <c r="AI879" t="s">
        <v>22</v>
      </c>
      <c r="AJ879">
        <v>2475</v>
      </c>
      <c r="AK879">
        <v>937.5</v>
      </c>
      <c r="AL879">
        <v>565</v>
      </c>
      <c r="AM879">
        <v>27.5</v>
      </c>
      <c r="AN879">
        <v>10</v>
      </c>
      <c r="AO879">
        <v>0</v>
      </c>
      <c r="AP879">
        <v>2.5</v>
      </c>
      <c r="AQ879">
        <v>32.5</v>
      </c>
      <c r="AR879">
        <v>25</v>
      </c>
      <c r="AS879">
        <v>25</v>
      </c>
      <c r="AT879">
        <v>4100</v>
      </c>
      <c r="AU879" t="s">
        <v>33</v>
      </c>
    </row>
    <row r="880" spans="1:47" x14ac:dyDescent="0.2">
      <c r="A880">
        <v>977</v>
      </c>
      <c r="B880" t="s">
        <v>399</v>
      </c>
      <c r="C880">
        <v>47</v>
      </c>
      <c r="D880" t="s">
        <v>247</v>
      </c>
      <c r="G880" t="str">
        <f t="shared" si="13"/>
        <v>PSEA100147NWC2</v>
      </c>
      <c r="H880">
        <v>63.130667000000003</v>
      </c>
      <c r="I880">
        <v>-173.1225</v>
      </c>
      <c r="J880" s="3">
        <v>20100329</v>
      </c>
      <c r="K880">
        <v>2010</v>
      </c>
      <c r="L880">
        <v>1.18973</v>
      </c>
      <c r="M880">
        <v>17.27291</v>
      </c>
      <c r="N880">
        <v>1.29539</v>
      </c>
      <c r="O880">
        <v>0</v>
      </c>
      <c r="P880">
        <v>0.48719000000000001</v>
      </c>
      <c r="Q880">
        <v>0</v>
      </c>
      <c r="R880">
        <v>6.0999999999999997E-4</v>
      </c>
      <c r="S880">
        <v>0</v>
      </c>
      <c r="T880">
        <v>6.2300000000000003E-3</v>
      </c>
      <c r="U880">
        <v>5.4629999999999998E-2</v>
      </c>
      <c r="V880">
        <v>20.30669</v>
      </c>
      <c r="W880" t="s">
        <v>10</v>
      </c>
      <c r="X880">
        <v>20.937000000000001</v>
      </c>
      <c r="Y880">
        <v>511.37900000000002</v>
      </c>
      <c r="Z880">
        <v>15.085000000000001</v>
      </c>
      <c r="AA880">
        <v>0</v>
      </c>
      <c r="AB880">
        <v>34.798999999999999</v>
      </c>
      <c r="AC880">
        <v>0</v>
      </c>
      <c r="AD880">
        <v>0.01</v>
      </c>
      <c r="AE880">
        <v>0</v>
      </c>
      <c r="AF880">
        <v>6.7000000000000004E-2</v>
      </c>
      <c r="AG880">
        <v>1.2090000000000001</v>
      </c>
      <c r="AH880">
        <v>583.48599999999999</v>
      </c>
      <c r="AI880" t="s">
        <v>22</v>
      </c>
      <c r="AJ880">
        <v>540</v>
      </c>
      <c r="AK880">
        <v>1517.5</v>
      </c>
      <c r="AL880">
        <v>1417.5</v>
      </c>
      <c r="AM880">
        <v>0</v>
      </c>
      <c r="AN880">
        <v>17.5</v>
      </c>
      <c r="AO880">
        <v>0</v>
      </c>
      <c r="AP880">
        <v>0</v>
      </c>
      <c r="AQ880">
        <v>0</v>
      </c>
      <c r="AR880">
        <v>12.5</v>
      </c>
      <c r="AS880">
        <v>47.5</v>
      </c>
      <c r="AT880">
        <v>3552.5</v>
      </c>
      <c r="AU880" t="s">
        <v>34</v>
      </c>
    </row>
    <row r="881" spans="1:47" x14ac:dyDescent="0.2">
      <c r="A881">
        <v>978</v>
      </c>
      <c r="B881" t="s">
        <v>399</v>
      </c>
      <c r="C881">
        <v>5</v>
      </c>
      <c r="D881" t="s">
        <v>229</v>
      </c>
      <c r="G881" t="str">
        <f t="shared" si="13"/>
        <v>PSEA10015VNG3</v>
      </c>
      <c r="H881">
        <v>62.554833000000002</v>
      </c>
      <c r="I881">
        <v>-173.840833</v>
      </c>
      <c r="J881" s="3">
        <v>20100315</v>
      </c>
      <c r="K881">
        <v>2010</v>
      </c>
      <c r="L881">
        <v>4.0927100000000003</v>
      </c>
      <c r="M881">
        <v>8.9739100000000001</v>
      </c>
      <c r="N881">
        <v>1.01508</v>
      </c>
      <c r="O881">
        <v>3.6450000000000003E-2</v>
      </c>
      <c r="P881">
        <v>1.03054</v>
      </c>
      <c r="Q881">
        <v>0</v>
      </c>
      <c r="R881">
        <v>0</v>
      </c>
      <c r="S881">
        <v>0</v>
      </c>
      <c r="T881">
        <v>0.52488999999999997</v>
      </c>
      <c r="U881">
        <v>0.16597000000000001</v>
      </c>
      <c r="V881">
        <v>15.839549999999999</v>
      </c>
      <c r="W881" t="s">
        <v>10</v>
      </c>
      <c r="X881">
        <v>66.885000000000005</v>
      </c>
      <c r="Y881">
        <v>248.46</v>
      </c>
      <c r="Z881">
        <v>13.061</v>
      </c>
      <c r="AA881">
        <v>0.81</v>
      </c>
      <c r="AB881">
        <v>73.61</v>
      </c>
      <c r="AC881">
        <v>0</v>
      </c>
      <c r="AD881">
        <v>0</v>
      </c>
      <c r="AE881">
        <v>0</v>
      </c>
      <c r="AF881">
        <v>5.6440000000000001</v>
      </c>
      <c r="AG881">
        <v>3.5619999999999998</v>
      </c>
      <c r="AH881">
        <v>412.03199999999998</v>
      </c>
      <c r="AI881" t="s">
        <v>22</v>
      </c>
      <c r="AJ881">
        <v>1467.5</v>
      </c>
      <c r="AK881">
        <v>670</v>
      </c>
      <c r="AL881">
        <v>222.5</v>
      </c>
      <c r="AM881">
        <v>17.5</v>
      </c>
      <c r="AN881">
        <v>67.5</v>
      </c>
      <c r="AO881">
        <v>0</v>
      </c>
      <c r="AP881">
        <v>0</v>
      </c>
      <c r="AQ881">
        <v>0</v>
      </c>
      <c r="AR881">
        <v>5</v>
      </c>
      <c r="AS881">
        <v>90</v>
      </c>
      <c r="AT881">
        <v>2540</v>
      </c>
      <c r="AU881" t="s">
        <v>33</v>
      </c>
    </row>
    <row r="882" spans="1:47" x14ac:dyDescent="0.2">
      <c r="A882">
        <v>979</v>
      </c>
      <c r="B882" t="s">
        <v>399</v>
      </c>
      <c r="C882">
        <v>6</v>
      </c>
      <c r="D882" t="s">
        <v>239</v>
      </c>
      <c r="G882" t="str">
        <f t="shared" si="13"/>
        <v>PSEA10016VNG3.5</v>
      </c>
      <c r="H882">
        <v>62.576999999999998</v>
      </c>
      <c r="I882">
        <v>-173.62366700000001</v>
      </c>
      <c r="J882" s="3">
        <v>20100316</v>
      </c>
      <c r="K882">
        <v>2010</v>
      </c>
      <c r="L882">
        <v>4.43147</v>
      </c>
      <c r="M882">
        <v>22.7576</v>
      </c>
      <c r="N882">
        <v>0.32595000000000002</v>
      </c>
      <c r="O882">
        <v>9.9500000000000005E-3</v>
      </c>
      <c r="P882">
        <v>0.53581999999999996</v>
      </c>
      <c r="Q882">
        <v>0</v>
      </c>
      <c r="R882">
        <v>0</v>
      </c>
      <c r="S882">
        <v>0</v>
      </c>
      <c r="T882">
        <v>9.3900000000000008E-3</v>
      </c>
      <c r="U882">
        <v>0.36354999999999998</v>
      </c>
      <c r="V882">
        <v>28.433730000000001</v>
      </c>
      <c r="W882" t="s">
        <v>10</v>
      </c>
      <c r="X882">
        <v>74.224000000000004</v>
      </c>
      <c r="Y882">
        <v>662.51700000000005</v>
      </c>
      <c r="Z882">
        <v>4.0880000000000001</v>
      </c>
      <c r="AA882">
        <v>0.221</v>
      </c>
      <c r="AB882">
        <v>38.273000000000003</v>
      </c>
      <c r="AC882">
        <v>0</v>
      </c>
      <c r="AD882">
        <v>0</v>
      </c>
      <c r="AE882">
        <v>0</v>
      </c>
      <c r="AF882">
        <v>0.10100000000000001</v>
      </c>
      <c r="AG882">
        <v>8.0730000000000004</v>
      </c>
      <c r="AH882">
        <v>787.49699999999996</v>
      </c>
      <c r="AI882" t="s">
        <v>22</v>
      </c>
      <c r="AJ882">
        <v>960</v>
      </c>
      <c r="AK882">
        <v>1537.5</v>
      </c>
      <c r="AL882">
        <v>187.5</v>
      </c>
      <c r="AM882">
        <v>10</v>
      </c>
      <c r="AN882">
        <v>25</v>
      </c>
      <c r="AO882">
        <v>0</v>
      </c>
      <c r="AP882">
        <v>0</v>
      </c>
      <c r="AQ882">
        <v>0</v>
      </c>
      <c r="AR882">
        <v>22.5</v>
      </c>
      <c r="AS882">
        <v>62.5</v>
      </c>
      <c r="AT882">
        <v>2805</v>
      </c>
      <c r="AU882" t="s">
        <v>34</v>
      </c>
    </row>
    <row r="883" spans="1:47" x14ac:dyDescent="0.2">
      <c r="A883">
        <v>980</v>
      </c>
      <c r="B883" t="s">
        <v>399</v>
      </c>
      <c r="C883">
        <v>7</v>
      </c>
      <c r="D883" t="s">
        <v>241</v>
      </c>
      <c r="G883" t="str">
        <f t="shared" si="13"/>
        <v>PSEA10017CD1</v>
      </c>
      <c r="H883">
        <v>62.676333</v>
      </c>
      <c r="I883">
        <v>-173.36666700000001</v>
      </c>
      <c r="J883" s="3">
        <v>20100316</v>
      </c>
      <c r="K883">
        <v>2010</v>
      </c>
      <c r="L883">
        <v>2.1811099999999999</v>
      </c>
      <c r="M883">
        <v>15.59319</v>
      </c>
      <c r="N883">
        <v>0.54535</v>
      </c>
      <c r="O883">
        <v>0</v>
      </c>
      <c r="P883">
        <v>0.25520999999999999</v>
      </c>
      <c r="Q883">
        <v>0</v>
      </c>
      <c r="R883">
        <v>9.1E-4</v>
      </c>
      <c r="S883">
        <v>0</v>
      </c>
      <c r="T883">
        <v>4.9300000000000004E-3</v>
      </c>
      <c r="U883">
        <v>9.2939999999999995E-2</v>
      </c>
      <c r="V883">
        <v>18.673639999999999</v>
      </c>
      <c r="W883" t="s">
        <v>10</v>
      </c>
      <c r="X883">
        <v>30.831</v>
      </c>
      <c r="Y883">
        <v>528.07799999999997</v>
      </c>
      <c r="Z883">
        <v>6.3209999999999997</v>
      </c>
      <c r="AA883">
        <v>0</v>
      </c>
      <c r="AB883">
        <v>18.228999999999999</v>
      </c>
      <c r="AC883">
        <v>0</v>
      </c>
      <c r="AD883">
        <v>1.4999999999999999E-2</v>
      </c>
      <c r="AE883">
        <v>0</v>
      </c>
      <c r="AF883">
        <v>5.2999999999999999E-2</v>
      </c>
      <c r="AG883">
        <v>2.0670000000000002</v>
      </c>
      <c r="AH883">
        <v>585.59400000000005</v>
      </c>
      <c r="AI883" t="s">
        <v>22</v>
      </c>
      <c r="AJ883">
        <v>445</v>
      </c>
      <c r="AK883">
        <v>647.5</v>
      </c>
      <c r="AL883">
        <v>622.5</v>
      </c>
      <c r="AM883">
        <v>0</v>
      </c>
      <c r="AN883">
        <v>12.5</v>
      </c>
      <c r="AO883">
        <v>0</v>
      </c>
      <c r="AP883">
        <v>0</v>
      </c>
      <c r="AQ883">
        <v>0</v>
      </c>
      <c r="AR883">
        <v>12.5</v>
      </c>
      <c r="AS883">
        <v>10</v>
      </c>
      <c r="AT883">
        <v>1750</v>
      </c>
      <c r="AU883" t="s">
        <v>34</v>
      </c>
    </row>
    <row r="884" spans="1:47" x14ac:dyDescent="0.2">
      <c r="A884">
        <v>981</v>
      </c>
      <c r="B884" t="s">
        <v>399</v>
      </c>
      <c r="C884">
        <v>8</v>
      </c>
      <c r="D884" t="s">
        <v>242</v>
      </c>
      <c r="G884" t="str">
        <f t="shared" si="13"/>
        <v>PSEA10018VNG4</v>
      </c>
      <c r="H884">
        <v>62.761667000000003</v>
      </c>
      <c r="I884">
        <v>-173.43466699999999</v>
      </c>
      <c r="J884" s="3">
        <v>20100316</v>
      </c>
      <c r="K884">
        <v>2010</v>
      </c>
      <c r="L884">
        <v>2.4528599999999998</v>
      </c>
      <c r="M884">
        <v>20.630690000000001</v>
      </c>
      <c r="N884">
        <v>0.94643999999999995</v>
      </c>
      <c r="O884">
        <v>7.4340000000000003E-2</v>
      </c>
      <c r="P884">
        <v>0.77812000000000003</v>
      </c>
      <c r="Q884">
        <v>0</v>
      </c>
      <c r="R884">
        <v>0</v>
      </c>
      <c r="S884">
        <v>0</v>
      </c>
      <c r="T884">
        <v>0.14080000000000001</v>
      </c>
      <c r="U884">
        <v>5.6660000000000002E-2</v>
      </c>
      <c r="V884">
        <v>25.079910000000002</v>
      </c>
      <c r="W884" t="s">
        <v>10</v>
      </c>
      <c r="X884">
        <v>35.628999999999998</v>
      </c>
      <c r="Y884">
        <v>640.60199999999998</v>
      </c>
      <c r="Z884">
        <v>10.577</v>
      </c>
      <c r="AA884">
        <v>1.6519999999999999</v>
      </c>
      <c r="AB884">
        <v>55.58</v>
      </c>
      <c r="AC884">
        <v>0</v>
      </c>
      <c r="AD884">
        <v>0</v>
      </c>
      <c r="AE884">
        <v>0</v>
      </c>
      <c r="AF884">
        <v>1.514</v>
      </c>
      <c r="AG884">
        <v>1.2589999999999999</v>
      </c>
      <c r="AH884">
        <v>746.81299999999999</v>
      </c>
      <c r="AI884" t="s">
        <v>22</v>
      </c>
      <c r="AJ884">
        <v>607.5</v>
      </c>
      <c r="AK884">
        <v>687.5</v>
      </c>
      <c r="AL884">
        <v>857.5</v>
      </c>
      <c r="AM884">
        <v>25</v>
      </c>
      <c r="AN884">
        <v>30</v>
      </c>
      <c r="AO884">
        <v>0</v>
      </c>
      <c r="AP884">
        <v>0</v>
      </c>
      <c r="AQ884">
        <v>0</v>
      </c>
      <c r="AR884">
        <v>12.5</v>
      </c>
      <c r="AS884">
        <v>22.5</v>
      </c>
      <c r="AT884">
        <v>2242.5</v>
      </c>
      <c r="AU884" t="s">
        <v>35</v>
      </c>
    </row>
    <row r="885" spans="1:47" x14ac:dyDescent="0.2">
      <c r="A885">
        <v>982</v>
      </c>
      <c r="B885" t="s">
        <v>399</v>
      </c>
      <c r="C885">
        <v>9</v>
      </c>
      <c r="D885" t="s">
        <v>246</v>
      </c>
      <c r="G885" t="str">
        <f t="shared" si="13"/>
        <v>PSEA10019NWC2.5</v>
      </c>
      <c r="H885">
        <v>63.033166999999999</v>
      </c>
      <c r="I885">
        <v>-173.42250000000001</v>
      </c>
      <c r="J885" s="3">
        <v>20100317</v>
      </c>
      <c r="K885">
        <v>2010</v>
      </c>
      <c r="L885">
        <v>3.00617</v>
      </c>
      <c r="M885">
        <v>23.073609999999999</v>
      </c>
      <c r="N885">
        <v>1.01135</v>
      </c>
      <c r="O885">
        <v>0</v>
      </c>
      <c r="P885">
        <v>0.53879999999999995</v>
      </c>
      <c r="Q885">
        <v>0</v>
      </c>
      <c r="R885">
        <v>0</v>
      </c>
      <c r="S885">
        <v>0</v>
      </c>
      <c r="T885">
        <v>2.1576900000000001</v>
      </c>
      <c r="U885">
        <v>0.22863</v>
      </c>
      <c r="V885">
        <v>30.016249999999999</v>
      </c>
      <c r="W885" t="s">
        <v>10</v>
      </c>
      <c r="X885">
        <v>52.701999999999998</v>
      </c>
      <c r="Y885">
        <v>674.79300000000001</v>
      </c>
      <c r="Z885">
        <v>13.097</v>
      </c>
      <c r="AA885">
        <v>0</v>
      </c>
      <c r="AB885">
        <v>38.485999999999997</v>
      </c>
      <c r="AC885">
        <v>0</v>
      </c>
      <c r="AD885">
        <v>0</v>
      </c>
      <c r="AE885">
        <v>0</v>
      </c>
      <c r="AF885">
        <v>23.201000000000001</v>
      </c>
      <c r="AG885">
        <v>5.0720000000000001</v>
      </c>
      <c r="AH885">
        <v>807.351</v>
      </c>
      <c r="AI885" t="s">
        <v>22</v>
      </c>
      <c r="AJ885">
        <v>952.5</v>
      </c>
      <c r="AK885">
        <v>1282.5</v>
      </c>
      <c r="AL885">
        <v>257.5</v>
      </c>
      <c r="AM885">
        <v>0</v>
      </c>
      <c r="AN885">
        <v>32.5</v>
      </c>
      <c r="AO885">
        <v>0</v>
      </c>
      <c r="AP885">
        <v>0</v>
      </c>
      <c r="AQ885">
        <v>0</v>
      </c>
      <c r="AR885">
        <v>40</v>
      </c>
      <c r="AS885">
        <v>180</v>
      </c>
      <c r="AT885">
        <v>2745</v>
      </c>
      <c r="AU885" t="s">
        <v>34</v>
      </c>
    </row>
    <row r="886" spans="1:47" x14ac:dyDescent="0.2">
      <c r="A886">
        <v>1074</v>
      </c>
      <c r="B886" t="s">
        <v>928</v>
      </c>
      <c r="C886">
        <v>1</v>
      </c>
      <c r="D886" t="s">
        <v>517</v>
      </c>
      <c r="G886" t="str">
        <f t="shared" si="13"/>
        <v>SHELL101HR1</v>
      </c>
      <c r="H886">
        <v>71.099999999999994</v>
      </c>
      <c r="I886">
        <v>-166.815</v>
      </c>
      <c r="J886" s="3">
        <v>20100813</v>
      </c>
      <c r="K886">
        <v>2010</v>
      </c>
      <c r="L886">
        <v>0.71480999999999995</v>
      </c>
      <c r="M886">
        <v>1.13672</v>
      </c>
      <c r="N886">
        <v>2.4570000000000002E-2</v>
      </c>
      <c r="O886">
        <v>0</v>
      </c>
      <c r="P886">
        <v>1.3999999999999999E-4</v>
      </c>
      <c r="Q886">
        <v>0</v>
      </c>
      <c r="R886">
        <v>4.2999999999999999E-4</v>
      </c>
      <c r="S886">
        <v>0</v>
      </c>
      <c r="T886">
        <v>0</v>
      </c>
      <c r="U886">
        <v>1.061E-2</v>
      </c>
      <c r="V886">
        <v>1.8872800000000001</v>
      </c>
      <c r="W886" t="s">
        <v>10</v>
      </c>
      <c r="X886">
        <v>11.526</v>
      </c>
      <c r="Y886">
        <v>45.972000000000001</v>
      </c>
      <c r="Z886">
        <v>0.33700000000000002</v>
      </c>
      <c r="AA886">
        <v>0</v>
      </c>
      <c r="AB886">
        <v>0.01</v>
      </c>
      <c r="AC886">
        <v>0</v>
      </c>
      <c r="AD886">
        <v>7.0000000000000001E-3</v>
      </c>
      <c r="AE886">
        <v>0</v>
      </c>
      <c r="AF886">
        <v>0</v>
      </c>
      <c r="AG886">
        <v>0.31</v>
      </c>
      <c r="AH886">
        <v>58.161999999999999</v>
      </c>
      <c r="AI886" t="s">
        <v>22</v>
      </c>
      <c r="AJ886">
        <v>192.5</v>
      </c>
      <c r="AK886">
        <v>392.5</v>
      </c>
      <c r="AL886">
        <v>35</v>
      </c>
      <c r="AM886">
        <v>0</v>
      </c>
      <c r="AN886">
        <v>2.5</v>
      </c>
      <c r="AO886">
        <v>0</v>
      </c>
      <c r="AP886">
        <v>0</v>
      </c>
      <c r="AQ886">
        <v>0</v>
      </c>
      <c r="AR886">
        <v>0</v>
      </c>
      <c r="AS886">
        <v>15</v>
      </c>
      <c r="AT886">
        <v>637.5</v>
      </c>
      <c r="AU886" t="s">
        <v>34</v>
      </c>
    </row>
    <row r="887" spans="1:47" x14ac:dyDescent="0.2">
      <c r="A887">
        <v>1075</v>
      </c>
      <c r="B887" t="s">
        <v>928</v>
      </c>
      <c r="C887">
        <v>10</v>
      </c>
      <c r="D887" t="s">
        <v>518</v>
      </c>
      <c r="G887" t="str">
        <f t="shared" si="13"/>
        <v>SHELL1010HG2</v>
      </c>
      <c r="H887">
        <v>71.113500000000002</v>
      </c>
      <c r="I887">
        <v>-168.279167</v>
      </c>
      <c r="J887" s="3">
        <v>20100814</v>
      </c>
      <c r="K887">
        <v>2010</v>
      </c>
      <c r="L887">
        <v>0.84160000000000001</v>
      </c>
      <c r="M887">
        <v>9.4779400000000003</v>
      </c>
      <c r="N887">
        <v>4.6609999999999999E-2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10.366149999999999</v>
      </c>
      <c r="W887" t="s">
        <v>10</v>
      </c>
      <c r="X887">
        <v>12.569000000000001</v>
      </c>
      <c r="Y887">
        <v>460.726</v>
      </c>
      <c r="Z887">
        <v>0.63300000000000001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473.928</v>
      </c>
      <c r="AI887" t="s">
        <v>22</v>
      </c>
      <c r="AJ887">
        <v>310</v>
      </c>
      <c r="AK887">
        <v>610</v>
      </c>
      <c r="AL887">
        <v>30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950</v>
      </c>
      <c r="AU887" t="s">
        <v>34</v>
      </c>
    </row>
    <row r="888" spans="1:47" x14ac:dyDescent="0.2">
      <c r="A888">
        <v>1076</v>
      </c>
      <c r="B888" t="s">
        <v>928</v>
      </c>
      <c r="C888">
        <v>11</v>
      </c>
      <c r="D888" t="s">
        <v>519</v>
      </c>
      <c r="G888" t="str">
        <f t="shared" si="13"/>
        <v>SHELL1011HG3</v>
      </c>
      <c r="H888">
        <v>71.109499999999997</v>
      </c>
      <c r="I888">
        <v>-168.28399999999999</v>
      </c>
      <c r="J888" s="3">
        <v>20100814</v>
      </c>
      <c r="K888">
        <v>2010</v>
      </c>
      <c r="L888">
        <v>5.3122800000000003</v>
      </c>
      <c r="M888">
        <v>4.2354200000000004</v>
      </c>
      <c r="N888">
        <v>3.6130000000000002E-2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9.5838300000000007</v>
      </c>
      <c r="W888" t="s">
        <v>9</v>
      </c>
      <c r="X888">
        <v>78.843000000000004</v>
      </c>
      <c r="Y888">
        <v>206.57</v>
      </c>
      <c r="Z888">
        <v>0.44600000000000001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285.85899999999998</v>
      </c>
      <c r="AI888" t="s">
        <v>22</v>
      </c>
      <c r="AJ888">
        <v>190</v>
      </c>
      <c r="AK888">
        <v>240</v>
      </c>
      <c r="AL888">
        <v>30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460</v>
      </c>
      <c r="AU888" t="s">
        <v>34</v>
      </c>
    </row>
    <row r="889" spans="1:47" x14ac:dyDescent="0.2">
      <c r="A889">
        <v>1077</v>
      </c>
      <c r="B889" t="s">
        <v>928</v>
      </c>
      <c r="C889">
        <v>12</v>
      </c>
      <c r="D889" t="s">
        <v>520</v>
      </c>
      <c r="G889" t="str">
        <f t="shared" si="13"/>
        <v>SHELL1012HG4</v>
      </c>
      <c r="H889">
        <v>71.109516999999997</v>
      </c>
      <c r="I889">
        <v>-168.28456700000001</v>
      </c>
      <c r="J889" s="3">
        <v>20100814</v>
      </c>
      <c r="K889">
        <v>2010</v>
      </c>
      <c r="L889">
        <v>1.7274499999999999</v>
      </c>
      <c r="M889">
        <v>6.3438699999999999</v>
      </c>
      <c r="N889">
        <v>1.2070000000000001E-2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8.0099999999999998E-3</v>
      </c>
      <c r="V889">
        <v>8.0914000000000001</v>
      </c>
      <c r="W889" t="s">
        <v>10</v>
      </c>
      <c r="X889">
        <v>27.427</v>
      </c>
      <c r="Y889">
        <v>300.66300000000001</v>
      </c>
      <c r="Z889">
        <v>0.14899999999999999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0.17799999999999999</v>
      </c>
      <c r="AH889">
        <v>328.41699999999997</v>
      </c>
      <c r="AI889" t="s">
        <v>22</v>
      </c>
      <c r="AJ889">
        <v>140</v>
      </c>
      <c r="AK889">
        <v>410</v>
      </c>
      <c r="AL889">
        <v>10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560</v>
      </c>
      <c r="AU889" t="s">
        <v>34</v>
      </c>
    </row>
    <row r="890" spans="1:47" x14ac:dyDescent="0.2">
      <c r="A890">
        <v>1078</v>
      </c>
      <c r="B890" t="s">
        <v>928</v>
      </c>
      <c r="C890">
        <v>13</v>
      </c>
      <c r="D890" t="s">
        <v>521</v>
      </c>
      <c r="G890" t="str">
        <f t="shared" si="13"/>
        <v>SHELL1013HG5</v>
      </c>
      <c r="H890">
        <v>71.109066999999996</v>
      </c>
      <c r="I890">
        <v>-168.27686700000001</v>
      </c>
      <c r="J890" s="3">
        <v>20100814</v>
      </c>
      <c r="K890">
        <v>2010</v>
      </c>
      <c r="L890">
        <v>1.66469</v>
      </c>
      <c r="M890">
        <v>8.1392799999999994</v>
      </c>
      <c r="N890">
        <v>0.24493000000000001</v>
      </c>
      <c r="O890">
        <v>0</v>
      </c>
      <c r="P890">
        <v>0</v>
      </c>
      <c r="Q890">
        <v>0</v>
      </c>
      <c r="R890">
        <v>0</v>
      </c>
      <c r="S890">
        <v>0.28022000000000002</v>
      </c>
      <c r="T890">
        <v>0</v>
      </c>
      <c r="U890">
        <v>1.47E-3</v>
      </c>
      <c r="V890">
        <v>10.330590000000001</v>
      </c>
      <c r="W890" t="s">
        <v>10</v>
      </c>
      <c r="X890">
        <v>25.645</v>
      </c>
      <c r="Y890">
        <v>366.38299999999998</v>
      </c>
      <c r="Z890">
        <v>3.0619999999999998</v>
      </c>
      <c r="AA890">
        <v>0</v>
      </c>
      <c r="AB890">
        <v>0</v>
      </c>
      <c r="AC890">
        <v>0</v>
      </c>
      <c r="AD890">
        <v>0</v>
      </c>
      <c r="AE890">
        <v>20.015999999999998</v>
      </c>
      <c r="AF890">
        <v>0</v>
      </c>
      <c r="AG890">
        <v>3.2000000000000001E-2</v>
      </c>
      <c r="AH890">
        <v>415.13799999999998</v>
      </c>
      <c r="AI890" t="s">
        <v>22</v>
      </c>
      <c r="AJ890">
        <v>390</v>
      </c>
      <c r="AK890">
        <v>610</v>
      </c>
      <c r="AL890">
        <v>410</v>
      </c>
      <c r="AM890">
        <v>0</v>
      </c>
      <c r="AN890">
        <v>0</v>
      </c>
      <c r="AO890">
        <v>0</v>
      </c>
      <c r="AP890">
        <v>0</v>
      </c>
      <c r="AQ890">
        <v>10</v>
      </c>
      <c r="AR890">
        <v>0</v>
      </c>
      <c r="AS890">
        <v>20</v>
      </c>
      <c r="AT890">
        <v>1440</v>
      </c>
      <c r="AU890" t="s">
        <v>34</v>
      </c>
    </row>
    <row r="891" spans="1:47" x14ac:dyDescent="0.2">
      <c r="A891">
        <v>1079</v>
      </c>
      <c r="B891" t="s">
        <v>928</v>
      </c>
      <c r="C891">
        <v>14</v>
      </c>
      <c r="D891" t="s">
        <v>522</v>
      </c>
      <c r="G891" t="str">
        <f t="shared" si="13"/>
        <v>SHELL1014HG6</v>
      </c>
      <c r="H891">
        <v>71.110167000000004</v>
      </c>
      <c r="I891">
        <v>-168.26913300000001</v>
      </c>
      <c r="J891" s="3">
        <v>20100814</v>
      </c>
      <c r="K891">
        <v>2010</v>
      </c>
      <c r="L891">
        <v>2.6539600000000001</v>
      </c>
      <c r="M891">
        <v>4.61592</v>
      </c>
      <c r="N891">
        <v>0.20179</v>
      </c>
      <c r="O891">
        <v>0</v>
      </c>
      <c r="P891">
        <v>0</v>
      </c>
      <c r="Q891">
        <v>0</v>
      </c>
      <c r="R891">
        <v>1.5299999999999999E-3</v>
      </c>
      <c r="S891">
        <v>0</v>
      </c>
      <c r="T891">
        <v>0</v>
      </c>
      <c r="U891">
        <v>1.2019999999999999E-2</v>
      </c>
      <c r="V891">
        <v>7.48522</v>
      </c>
      <c r="W891" t="s">
        <v>10</v>
      </c>
      <c r="X891">
        <v>37.865000000000002</v>
      </c>
      <c r="Y891">
        <v>203.08699999999999</v>
      </c>
      <c r="Z891">
        <v>2.7759999999999998</v>
      </c>
      <c r="AA891">
        <v>0</v>
      </c>
      <c r="AB891">
        <v>0</v>
      </c>
      <c r="AC891">
        <v>0</v>
      </c>
      <c r="AD891">
        <v>2.5000000000000001E-2</v>
      </c>
      <c r="AE891">
        <v>0</v>
      </c>
      <c r="AF891">
        <v>0</v>
      </c>
      <c r="AG891">
        <v>0.84799999999999998</v>
      </c>
      <c r="AH891">
        <v>244.601</v>
      </c>
      <c r="AI891" t="s">
        <v>22</v>
      </c>
      <c r="AJ891">
        <v>200</v>
      </c>
      <c r="AK891">
        <v>370</v>
      </c>
      <c r="AL891">
        <v>50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30</v>
      </c>
      <c r="AT891">
        <v>650</v>
      </c>
      <c r="AU891" t="s">
        <v>34</v>
      </c>
    </row>
    <row r="892" spans="1:47" x14ac:dyDescent="0.2">
      <c r="A892">
        <v>1080</v>
      </c>
      <c r="B892" t="s">
        <v>928</v>
      </c>
      <c r="C892">
        <v>15</v>
      </c>
      <c r="D892" t="s">
        <v>523</v>
      </c>
      <c r="G892" t="str">
        <f t="shared" si="13"/>
        <v>SHELL1015HG7</v>
      </c>
      <c r="H892">
        <v>71.111582999999996</v>
      </c>
      <c r="I892">
        <v>-168.26275000000001</v>
      </c>
      <c r="J892" s="3">
        <v>20100814</v>
      </c>
      <c r="K892">
        <v>2010</v>
      </c>
      <c r="L892">
        <v>1.2950900000000001</v>
      </c>
      <c r="M892">
        <v>5.1368999999999998</v>
      </c>
      <c r="N892">
        <v>4.9369999999999997E-2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1.5499999999999999E-3</v>
      </c>
      <c r="V892">
        <v>6.4829100000000004</v>
      </c>
      <c r="W892" t="s">
        <v>10</v>
      </c>
      <c r="X892">
        <v>20.21</v>
      </c>
      <c r="Y892">
        <v>254.98500000000001</v>
      </c>
      <c r="Z892">
        <v>0.69199999999999995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2.5000000000000001E-2</v>
      </c>
      <c r="AH892">
        <v>275.91199999999998</v>
      </c>
      <c r="AI892" t="s">
        <v>22</v>
      </c>
      <c r="AJ892">
        <v>160</v>
      </c>
      <c r="AK892">
        <v>260</v>
      </c>
      <c r="AL892">
        <v>20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20</v>
      </c>
      <c r="AT892">
        <v>460</v>
      </c>
      <c r="AU892" t="s">
        <v>34</v>
      </c>
    </row>
    <row r="893" spans="1:47" x14ac:dyDescent="0.2">
      <c r="A893">
        <v>1081</v>
      </c>
      <c r="B893" t="s">
        <v>928</v>
      </c>
      <c r="C893">
        <v>16</v>
      </c>
      <c r="D893" t="s">
        <v>524</v>
      </c>
      <c r="G893" t="str">
        <f t="shared" si="13"/>
        <v>SHELL1016HG8</v>
      </c>
      <c r="H893">
        <v>71.107266999999993</v>
      </c>
      <c r="I893">
        <v>-168.269733</v>
      </c>
      <c r="J893" s="3">
        <v>20100814</v>
      </c>
      <c r="K893">
        <v>2010</v>
      </c>
      <c r="L893">
        <v>0.18867999999999999</v>
      </c>
      <c r="M893">
        <v>7.3964999999999996</v>
      </c>
      <c r="N893">
        <v>0.32435999999999998</v>
      </c>
      <c r="O893">
        <v>0</v>
      </c>
      <c r="P893">
        <v>0</v>
      </c>
      <c r="Q893">
        <v>0</v>
      </c>
      <c r="R893">
        <v>1.2800000000000001E-3</v>
      </c>
      <c r="S893">
        <v>0</v>
      </c>
      <c r="T893">
        <v>0</v>
      </c>
      <c r="U893">
        <v>1.0000000000000001E-5</v>
      </c>
      <c r="V893">
        <v>7.9108299999999998</v>
      </c>
      <c r="W893" t="s">
        <v>10</v>
      </c>
      <c r="X893">
        <v>3.2440000000000002</v>
      </c>
      <c r="Y893">
        <v>335.358</v>
      </c>
      <c r="Z893">
        <v>3.9630000000000001</v>
      </c>
      <c r="AA893">
        <v>0</v>
      </c>
      <c r="AB893">
        <v>0</v>
      </c>
      <c r="AC893">
        <v>0</v>
      </c>
      <c r="AD893">
        <v>2.1000000000000001E-2</v>
      </c>
      <c r="AE893">
        <v>0</v>
      </c>
      <c r="AF893">
        <v>0</v>
      </c>
      <c r="AG893">
        <v>1E-3</v>
      </c>
      <c r="AH893">
        <v>342.58699999999999</v>
      </c>
      <c r="AI893" t="s">
        <v>22</v>
      </c>
      <c r="AJ893">
        <v>110</v>
      </c>
      <c r="AK893">
        <v>310</v>
      </c>
      <c r="AL893">
        <v>60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480</v>
      </c>
      <c r="AU893" t="s">
        <v>34</v>
      </c>
    </row>
    <row r="894" spans="1:47" x14ac:dyDescent="0.2">
      <c r="A894">
        <v>1082</v>
      </c>
      <c r="B894" t="s">
        <v>928</v>
      </c>
      <c r="C894">
        <v>17</v>
      </c>
      <c r="D894" t="s">
        <v>525</v>
      </c>
      <c r="G894" t="str">
        <f t="shared" si="13"/>
        <v>SHELL1017EA</v>
      </c>
      <c r="H894">
        <v>71.002066999999997</v>
      </c>
      <c r="I894">
        <v>-167.233633</v>
      </c>
      <c r="J894" s="3">
        <v>20100814</v>
      </c>
      <c r="K894">
        <v>2010</v>
      </c>
      <c r="L894">
        <v>0.23783000000000001</v>
      </c>
      <c r="M894">
        <v>0.59453</v>
      </c>
      <c r="N894">
        <v>1.2919999999999999E-2</v>
      </c>
      <c r="O894">
        <v>8.4029399999999992</v>
      </c>
      <c r="P894">
        <v>0</v>
      </c>
      <c r="Q894">
        <v>0</v>
      </c>
      <c r="R894">
        <v>1.8000000000000001E-4</v>
      </c>
      <c r="S894">
        <v>0</v>
      </c>
      <c r="T894">
        <v>0</v>
      </c>
      <c r="U894">
        <v>0</v>
      </c>
      <c r="V894">
        <v>9.2484000000000002</v>
      </c>
      <c r="W894" t="s">
        <v>12</v>
      </c>
      <c r="X894">
        <v>4.3390000000000004</v>
      </c>
      <c r="Y894">
        <v>25.187000000000001</v>
      </c>
      <c r="Z894">
        <v>0.19</v>
      </c>
      <c r="AA894">
        <v>186.732</v>
      </c>
      <c r="AB894">
        <v>0</v>
      </c>
      <c r="AC894">
        <v>0</v>
      </c>
      <c r="AD894">
        <v>3.0000000000000001E-3</v>
      </c>
      <c r="AE894">
        <v>0</v>
      </c>
      <c r="AF894">
        <v>0</v>
      </c>
      <c r="AG894">
        <v>0</v>
      </c>
      <c r="AH894">
        <v>216.45099999999999</v>
      </c>
      <c r="AI894" t="s">
        <v>24</v>
      </c>
      <c r="AJ894">
        <v>340</v>
      </c>
      <c r="AK894">
        <v>370</v>
      </c>
      <c r="AL894">
        <v>10</v>
      </c>
      <c r="AM894">
        <v>10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730</v>
      </c>
      <c r="AU894" t="s">
        <v>34</v>
      </c>
    </row>
    <row r="895" spans="1:47" x14ac:dyDescent="0.2">
      <c r="A895">
        <v>1083</v>
      </c>
      <c r="B895" t="s">
        <v>928</v>
      </c>
      <c r="C895">
        <v>18</v>
      </c>
      <c r="D895" t="s">
        <v>526</v>
      </c>
      <c r="G895" t="str">
        <f t="shared" si="13"/>
        <v>SHELL1018EA1</v>
      </c>
      <c r="H895">
        <v>71.003666999999993</v>
      </c>
      <c r="I895">
        <v>-167.229883</v>
      </c>
      <c r="J895" s="3">
        <v>20100814</v>
      </c>
      <c r="K895">
        <v>2010</v>
      </c>
      <c r="L895">
        <v>3.1300000000000001E-2</v>
      </c>
      <c r="M895">
        <v>0.45861000000000002</v>
      </c>
      <c r="N895">
        <v>0.10271</v>
      </c>
      <c r="O895">
        <v>7.2429300000000003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2.5739999999999999E-2</v>
      </c>
      <c r="V895">
        <v>7.8612900000000003</v>
      </c>
      <c r="W895" t="s">
        <v>12</v>
      </c>
      <c r="X895">
        <v>0.36</v>
      </c>
      <c r="Y895">
        <v>23.172999999999998</v>
      </c>
      <c r="Z895">
        <v>1.3080000000000001</v>
      </c>
      <c r="AA895">
        <v>160.95400000000001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2.496</v>
      </c>
      <c r="AH895">
        <v>188.291</v>
      </c>
      <c r="AI895" t="s">
        <v>24</v>
      </c>
      <c r="AJ895">
        <v>10</v>
      </c>
      <c r="AK895">
        <v>370</v>
      </c>
      <c r="AL895">
        <v>90</v>
      </c>
      <c r="AM895">
        <v>10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20</v>
      </c>
      <c r="AT895">
        <v>500</v>
      </c>
      <c r="AU895" t="s">
        <v>34</v>
      </c>
    </row>
    <row r="896" spans="1:47" x14ac:dyDescent="0.2">
      <c r="A896">
        <v>1084</v>
      </c>
      <c r="B896" t="s">
        <v>928</v>
      </c>
      <c r="C896">
        <v>19</v>
      </c>
      <c r="D896" t="s">
        <v>527</v>
      </c>
      <c r="G896" t="str">
        <f t="shared" si="13"/>
        <v>SHELL1019EA2</v>
      </c>
      <c r="H896">
        <v>71.003483000000003</v>
      </c>
      <c r="I896">
        <v>-167.23691700000001</v>
      </c>
      <c r="J896" s="3">
        <v>20100814</v>
      </c>
      <c r="K896">
        <v>2010</v>
      </c>
      <c r="L896">
        <v>5.5109999999999999E-2</v>
      </c>
      <c r="M896">
        <v>0.40173999999999999</v>
      </c>
      <c r="N896">
        <v>1.1800000000000001E-3</v>
      </c>
      <c r="O896">
        <v>0</v>
      </c>
      <c r="P896">
        <v>1.4999999999999999E-4</v>
      </c>
      <c r="Q896">
        <v>0</v>
      </c>
      <c r="R896">
        <v>2.2599999999999999E-3</v>
      </c>
      <c r="S896">
        <v>0</v>
      </c>
      <c r="T896">
        <v>0</v>
      </c>
      <c r="U896">
        <v>0</v>
      </c>
      <c r="V896">
        <v>0.46044000000000002</v>
      </c>
      <c r="W896" t="s">
        <v>10</v>
      </c>
      <c r="X896">
        <v>0.99299999999999999</v>
      </c>
      <c r="Y896">
        <v>18.161000000000001</v>
      </c>
      <c r="Z896">
        <v>1.6E-2</v>
      </c>
      <c r="AA896">
        <v>0</v>
      </c>
      <c r="AB896">
        <v>1.0999999999999999E-2</v>
      </c>
      <c r="AC896">
        <v>0</v>
      </c>
      <c r="AD896">
        <v>3.6999999999999998E-2</v>
      </c>
      <c r="AE896">
        <v>0</v>
      </c>
      <c r="AF896">
        <v>0</v>
      </c>
      <c r="AG896">
        <v>0</v>
      </c>
      <c r="AH896">
        <v>19.218</v>
      </c>
      <c r="AI896" t="s">
        <v>22</v>
      </c>
      <c r="AJ896">
        <v>190</v>
      </c>
      <c r="AK896">
        <v>290</v>
      </c>
      <c r="AL896">
        <v>20</v>
      </c>
      <c r="AM896">
        <v>0</v>
      </c>
      <c r="AN896">
        <v>10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510</v>
      </c>
      <c r="AU896" t="s">
        <v>34</v>
      </c>
    </row>
    <row r="897" spans="1:47" x14ac:dyDescent="0.2">
      <c r="A897">
        <v>1085</v>
      </c>
      <c r="B897" t="s">
        <v>928</v>
      </c>
      <c r="C897">
        <v>2</v>
      </c>
      <c r="D897" t="s">
        <v>528</v>
      </c>
      <c r="G897" t="str">
        <f t="shared" si="13"/>
        <v>SHELL102WA</v>
      </c>
      <c r="H897">
        <v>71.093132999999995</v>
      </c>
      <c r="I897">
        <v>-167.25986700000001</v>
      </c>
      <c r="J897" s="3">
        <v>20100813</v>
      </c>
      <c r="K897">
        <v>2010</v>
      </c>
      <c r="L897">
        <v>1.16449</v>
      </c>
      <c r="M897">
        <v>2.5462199999999999</v>
      </c>
      <c r="N897">
        <v>0.18357999999999999</v>
      </c>
      <c r="O897">
        <v>0</v>
      </c>
      <c r="P897">
        <v>6.5500000000000003E-3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3.9008400000000001</v>
      </c>
      <c r="W897" t="s">
        <v>10</v>
      </c>
      <c r="X897">
        <v>16.638000000000002</v>
      </c>
      <c r="Y897">
        <v>160.40899999999999</v>
      </c>
      <c r="Z897">
        <v>2.56</v>
      </c>
      <c r="AA897">
        <v>0</v>
      </c>
      <c r="AB897">
        <v>0.46800000000000003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180.07499999999999</v>
      </c>
      <c r="AI897" t="s">
        <v>22</v>
      </c>
      <c r="AJ897">
        <v>70</v>
      </c>
      <c r="AK897">
        <v>450</v>
      </c>
      <c r="AL897">
        <v>50</v>
      </c>
      <c r="AM897">
        <v>0</v>
      </c>
      <c r="AN897">
        <v>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580</v>
      </c>
      <c r="AU897" t="s">
        <v>34</v>
      </c>
    </row>
    <row r="898" spans="1:47" x14ac:dyDescent="0.2">
      <c r="A898">
        <v>1086</v>
      </c>
      <c r="B898" t="s">
        <v>928</v>
      </c>
      <c r="C898">
        <v>20</v>
      </c>
      <c r="D898" t="s">
        <v>529</v>
      </c>
      <c r="G898" t="str">
        <f t="shared" si="13"/>
        <v>SHELL1020EA3</v>
      </c>
      <c r="H898">
        <v>71.001132999999996</v>
      </c>
      <c r="I898">
        <v>-167.23801700000001</v>
      </c>
      <c r="J898" s="3">
        <v>20100814</v>
      </c>
      <c r="K898">
        <v>2010</v>
      </c>
      <c r="L898">
        <v>8.0759999999999998E-2</v>
      </c>
      <c r="M898">
        <v>2.7000299999999999</v>
      </c>
      <c r="N898">
        <v>4.7200000000000002E-3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1.038E-2</v>
      </c>
      <c r="V898">
        <v>2.79589</v>
      </c>
      <c r="W898" t="s">
        <v>10</v>
      </c>
      <c r="X898">
        <v>1.56</v>
      </c>
      <c r="Y898">
        <v>83.570999999999998</v>
      </c>
      <c r="Z898">
        <v>6.5000000000000002E-2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0.34599999999999997</v>
      </c>
      <c r="AH898">
        <v>85.542000000000002</v>
      </c>
      <c r="AI898" t="s">
        <v>22</v>
      </c>
      <c r="AJ898">
        <v>180</v>
      </c>
      <c r="AK898">
        <v>400</v>
      </c>
      <c r="AL898">
        <v>30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10</v>
      </c>
      <c r="AT898">
        <v>620</v>
      </c>
      <c r="AU898" t="s">
        <v>34</v>
      </c>
    </row>
    <row r="899" spans="1:47" x14ac:dyDescent="0.2">
      <c r="A899">
        <v>1087</v>
      </c>
      <c r="B899" t="s">
        <v>928</v>
      </c>
      <c r="C899">
        <v>21</v>
      </c>
      <c r="D899" t="s">
        <v>530</v>
      </c>
      <c r="G899" t="str">
        <f t="shared" ref="G899:G962" si="14">CONCATENATE(B899,C899,D899)</f>
        <v>SHELL1021EA4</v>
      </c>
      <c r="H899">
        <v>71.000217000000006</v>
      </c>
      <c r="I899">
        <v>-167.23253299999999</v>
      </c>
      <c r="J899" s="3">
        <v>20100814</v>
      </c>
      <c r="K899">
        <v>2010</v>
      </c>
      <c r="L899">
        <v>0.12973999999999999</v>
      </c>
      <c r="M899">
        <v>0.57069000000000003</v>
      </c>
      <c r="N899">
        <v>2.2939999999999999E-2</v>
      </c>
      <c r="O899">
        <v>0</v>
      </c>
      <c r="P899">
        <v>3.0000000000000001E-5</v>
      </c>
      <c r="Q899">
        <v>0</v>
      </c>
      <c r="R899">
        <v>0</v>
      </c>
      <c r="S899">
        <v>0</v>
      </c>
      <c r="T899">
        <v>0</v>
      </c>
      <c r="U899">
        <v>2.0000000000000002E-5</v>
      </c>
      <c r="V899">
        <v>0.72341999999999995</v>
      </c>
      <c r="W899" t="s">
        <v>10</v>
      </c>
      <c r="X899">
        <v>1.915</v>
      </c>
      <c r="Y899">
        <v>28.396000000000001</v>
      </c>
      <c r="Z899">
        <v>0.28999999999999998</v>
      </c>
      <c r="AA899">
        <v>0</v>
      </c>
      <c r="AB899">
        <v>2E-3</v>
      </c>
      <c r="AC899">
        <v>0</v>
      </c>
      <c r="AD899">
        <v>0</v>
      </c>
      <c r="AE899">
        <v>0</v>
      </c>
      <c r="AF899">
        <v>0</v>
      </c>
      <c r="AG899">
        <v>2E-3</v>
      </c>
      <c r="AH899">
        <v>30.605</v>
      </c>
      <c r="AI899" t="s">
        <v>22</v>
      </c>
      <c r="AJ899">
        <v>120</v>
      </c>
      <c r="AK899">
        <v>580</v>
      </c>
      <c r="AL899">
        <v>30</v>
      </c>
      <c r="AM899">
        <v>0</v>
      </c>
      <c r="AN899">
        <v>10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740</v>
      </c>
      <c r="AU899" t="s">
        <v>34</v>
      </c>
    </row>
    <row r="900" spans="1:47" x14ac:dyDescent="0.2">
      <c r="A900">
        <v>1088</v>
      </c>
      <c r="B900" t="s">
        <v>928</v>
      </c>
      <c r="C900">
        <v>22</v>
      </c>
      <c r="D900" t="s">
        <v>531</v>
      </c>
      <c r="G900" t="str">
        <f t="shared" si="14"/>
        <v>SHELL1022EA5</v>
      </c>
      <c r="H900">
        <v>70.997667000000007</v>
      </c>
      <c r="I900">
        <v>-167.235333</v>
      </c>
      <c r="J900" s="3">
        <v>20100814</v>
      </c>
      <c r="K900">
        <v>2010</v>
      </c>
      <c r="L900">
        <v>0.26333000000000001</v>
      </c>
      <c r="M900">
        <v>0.71426000000000001</v>
      </c>
      <c r="N900">
        <v>8.0999999999999996E-4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1.7010000000000001E-2</v>
      </c>
      <c r="V900">
        <v>0.99541000000000002</v>
      </c>
      <c r="W900" t="s">
        <v>10</v>
      </c>
      <c r="X900">
        <v>5.6950000000000003</v>
      </c>
      <c r="Y900">
        <v>21.376000000000001</v>
      </c>
      <c r="Z900">
        <v>1.0999999999999999E-2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0.56699999999999995</v>
      </c>
      <c r="AH900">
        <v>27.649000000000001</v>
      </c>
      <c r="AI900" t="s">
        <v>22</v>
      </c>
      <c r="AJ900">
        <v>170</v>
      </c>
      <c r="AK900">
        <v>420</v>
      </c>
      <c r="AL900">
        <v>20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10</v>
      </c>
      <c r="AT900">
        <v>620</v>
      </c>
      <c r="AU900" t="s">
        <v>34</v>
      </c>
    </row>
    <row r="901" spans="1:47" x14ac:dyDescent="0.2">
      <c r="A901">
        <v>1089</v>
      </c>
      <c r="B901" t="s">
        <v>928</v>
      </c>
      <c r="C901">
        <v>23</v>
      </c>
      <c r="D901" t="s">
        <v>532</v>
      </c>
      <c r="G901" t="str">
        <f t="shared" si="14"/>
        <v>SHELL1023EA6</v>
      </c>
      <c r="H901">
        <v>71.001666999999998</v>
      </c>
      <c r="I901">
        <v>-167.22191699999999</v>
      </c>
      <c r="J901" s="3">
        <v>20100814</v>
      </c>
      <c r="K901">
        <v>2010</v>
      </c>
      <c r="L901">
        <v>1.86652</v>
      </c>
      <c r="M901">
        <v>0.37541000000000002</v>
      </c>
      <c r="N901">
        <v>4.6800000000000001E-3</v>
      </c>
      <c r="O901">
        <v>0</v>
      </c>
      <c r="P901">
        <v>2.4000000000000001E-4</v>
      </c>
      <c r="Q901">
        <v>0</v>
      </c>
      <c r="R901">
        <v>0</v>
      </c>
      <c r="S901">
        <v>0</v>
      </c>
      <c r="T901">
        <v>0</v>
      </c>
      <c r="U901">
        <v>3.2719999999999999E-2</v>
      </c>
      <c r="V901">
        <v>2.2795700000000001</v>
      </c>
      <c r="W901" t="s">
        <v>9</v>
      </c>
      <c r="X901">
        <v>27.396000000000001</v>
      </c>
      <c r="Y901">
        <v>13.811</v>
      </c>
      <c r="Z901">
        <v>6.8000000000000005E-2</v>
      </c>
      <c r="AA901">
        <v>0</v>
      </c>
      <c r="AB901">
        <v>1.7000000000000001E-2</v>
      </c>
      <c r="AC901">
        <v>0</v>
      </c>
      <c r="AD901">
        <v>0</v>
      </c>
      <c r="AE901">
        <v>0</v>
      </c>
      <c r="AF901">
        <v>0</v>
      </c>
      <c r="AG901">
        <v>0.72699999999999998</v>
      </c>
      <c r="AH901">
        <v>42.018999999999998</v>
      </c>
      <c r="AI901" t="s">
        <v>21</v>
      </c>
      <c r="AJ901">
        <v>210</v>
      </c>
      <c r="AK901">
        <v>120</v>
      </c>
      <c r="AL901">
        <v>20</v>
      </c>
      <c r="AM901">
        <v>0</v>
      </c>
      <c r="AN901">
        <v>10</v>
      </c>
      <c r="AO901">
        <v>0</v>
      </c>
      <c r="AP901">
        <v>0</v>
      </c>
      <c r="AQ901">
        <v>0</v>
      </c>
      <c r="AR901">
        <v>0</v>
      </c>
      <c r="AS901">
        <v>10</v>
      </c>
      <c r="AT901">
        <v>370</v>
      </c>
      <c r="AU901" t="s">
        <v>33</v>
      </c>
    </row>
    <row r="902" spans="1:47" x14ac:dyDescent="0.2">
      <c r="A902">
        <v>1090</v>
      </c>
      <c r="B902" t="s">
        <v>928</v>
      </c>
      <c r="C902">
        <v>24</v>
      </c>
      <c r="D902" t="s">
        <v>533</v>
      </c>
      <c r="G902" t="str">
        <f t="shared" si="14"/>
        <v>SHELL1024EA7</v>
      </c>
      <c r="H902">
        <v>71.005583000000001</v>
      </c>
      <c r="I902">
        <v>-167.23665</v>
      </c>
      <c r="J902" s="3">
        <v>20100814</v>
      </c>
      <c r="K902">
        <v>2010</v>
      </c>
      <c r="L902">
        <v>4.9520000000000002E-2</v>
      </c>
      <c r="M902">
        <v>0.67922000000000005</v>
      </c>
      <c r="N902">
        <v>5.3899999999999998E-3</v>
      </c>
      <c r="O902">
        <v>0</v>
      </c>
      <c r="P902">
        <v>0</v>
      </c>
      <c r="Q902">
        <v>0</v>
      </c>
      <c r="R902">
        <v>2.9999999999999997E-4</v>
      </c>
      <c r="S902">
        <v>0</v>
      </c>
      <c r="T902">
        <v>0</v>
      </c>
      <c r="U902">
        <v>1.6449999999999999E-2</v>
      </c>
      <c r="V902">
        <v>0.75087999999999999</v>
      </c>
      <c r="W902" t="s">
        <v>10</v>
      </c>
      <c r="X902">
        <v>1.1859999999999999</v>
      </c>
      <c r="Y902">
        <v>32.015000000000001</v>
      </c>
      <c r="Z902">
        <v>7.1999999999999995E-2</v>
      </c>
      <c r="AA902">
        <v>0</v>
      </c>
      <c r="AB902">
        <v>0</v>
      </c>
      <c r="AC902">
        <v>0</v>
      </c>
      <c r="AD902">
        <v>5.0000000000000001E-3</v>
      </c>
      <c r="AE902">
        <v>0</v>
      </c>
      <c r="AF902">
        <v>0</v>
      </c>
      <c r="AG902">
        <v>0.54100000000000004</v>
      </c>
      <c r="AH902">
        <v>33.819000000000003</v>
      </c>
      <c r="AI902" t="s">
        <v>22</v>
      </c>
      <c r="AJ902">
        <v>110</v>
      </c>
      <c r="AK902">
        <v>640</v>
      </c>
      <c r="AL902">
        <v>20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20</v>
      </c>
      <c r="AT902">
        <v>790</v>
      </c>
      <c r="AU902" t="s">
        <v>34</v>
      </c>
    </row>
    <row r="903" spans="1:47" x14ac:dyDescent="0.2">
      <c r="A903">
        <v>1091</v>
      </c>
      <c r="B903" t="s">
        <v>928</v>
      </c>
      <c r="C903">
        <v>25</v>
      </c>
      <c r="D903" t="s">
        <v>534</v>
      </c>
      <c r="G903" t="str">
        <f t="shared" si="14"/>
        <v>SHELL1025EA8</v>
      </c>
      <c r="H903">
        <v>71.002449999999996</v>
      </c>
      <c r="I903">
        <v>-167.24578299999999</v>
      </c>
      <c r="J903" s="3">
        <v>20100814</v>
      </c>
      <c r="K903">
        <v>2010</v>
      </c>
      <c r="L903">
        <v>1.2345999999999999</v>
      </c>
      <c r="M903">
        <v>0.51729999999999998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1.7519</v>
      </c>
      <c r="W903" t="s">
        <v>9</v>
      </c>
      <c r="X903">
        <v>20.111000000000001</v>
      </c>
      <c r="Y903">
        <v>14.683999999999999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34.795000000000002</v>
      </c>
      <c r="AI903" t="s">
        <v>21</v>
      </c>
      <c r="AJ903">
        <v>180</v>
      </c>
      <c r="AK903">
        <v>230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410</v>
      </c>
      <c r="AU903" t="s">
        <v>34</v>
      </c>
    </row>
    <row r="904" spans="1:47" x14ac:dyDescent="0.2">
      <c r="A904">
        <v>1092</v>
      </c>
      <c r="B904" t="s">
        <v>928</v>
      </c>
      <c r="C904">
        <v>26</v>
      </c>
      <c r="D904" t="s">
        <v>535</v>
      </c>
      <c r="G904" t="str">
        <f t="shared" si="14"/>
        <v>SHELL1026WC</v>
      </c>
      <c r="H904">
        <v>71.072699999999998</v>
      </c>
      <c r="I904">
        <v>-167.22454999999999</v>
      </c>
      <c r="J904" s="3">
        <v>20100815</v>
      </c>
      <c r="K904">
        <v>2010</v>
      </c>
      <c r="L904">
        <v>1.16449</v>
      </c>
      <c r="M904">
        <v>2.5462199999999999</v>
      </c>
      <c r="N904">
        <v>0.18357999999999999</v>
      </c>
      <c r="O904">
        <v>0</v>
      </c>
      <c r="P904">
        <v>6.5500000000000003E-3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3.9008400000000001</v>
      </c>
      <c r="W904" t="s">
        <v>10</v>
      </c>
      <c r="X904">
        <v>6.9669999999999996</v>
      </c>
      <c r="Y904">
        <v>7.5869999999999997</v>
      </c>
      <c r="Z904">
        <v>1.1639999999999999</v>
      </c>
      <c r="AA904">
        <v>0</v>
      </c>
      <c r="AB904">
        <v>0</v>
      </c>
      <c r="AC904">
        <v>0</v>
      </c>
      <c r="AD904">
        <v>8.9999999999999993E-3</v>
      </c>
      <c r="AE904">
        <v>0</v>
      </c>
      <c r="AF904">
        <v>0</v>
      </c>
      <c r="AG904">
        <v>4.8000000000000001E-2</v>
      </c>
      <c r="AH904">
        <v>15.775</v>
      </c>
      <c r="AI904" t="s">
        <v>22</v>
      </c>
      <c r="AJ904">
        <v>180</v>
      </c>
      <c r="AK904">
        <v>280</v>
      </c>
      <c r="AL904">
        <v>30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10</v>
      </c>
      <c r="AT904">
        <v>500</v>
      </c>
      <c r="AU904" t="s">
        <v>34</v>
      </c>
    </row>
    <row r="905" spans="1:47" x14ac:dyDescent="0.2">
      <c r="A905">
        <v>1093</v>
      </c>
      <c r="B905" t="s">
        <v>928</v>
      </c>
      <c r="C905">
        <v>27</v>
      </c>
      <c r="D905" t="s">
        <v>536</v>
      </c>
      <c r="G905" t="str">
        <f t="shared" si="14"/>
        <v>SHELL1027WC1</v>
      </c>
      <c r="H905">
        <v>71.070949999999996</v>
      </c>
      <c r="I905">
        <v>-167.23458299999999</v>
      </c>
      <c r="J905" s="3">
        <v>20100815</v>
      </c>
      <c r="K905">
        <v>2010</v>
      </c>
      <c r="L905">
        <v>1.5081500000000001</v>
      </c>
      <c r="M905">
        <v>0.36429</v>
      </c>
      <c r="N905">
        <v>1.051E-2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6.79E-3</v>
      </c>
      <c r="V905">
        <v>1.88974</v>
      </c>
      <c r="W905" t="s">
        <v>9</v>
      </c>
      <c r="X905">
        <v>62.953000000000003</v>
      </c>
      <c r="Y905">
        <v>17.094999999999999</v>
      </c>
      <c r="Z905">
        <v>0</v>
      </c>
      <c r="AA905">
        <v>0</v>
      </c>
      <c r="AB905">
        <v>0</v>
      </c>
      <c r="AC905">
        <v>0</v>
      </c>
      <c r="AD905">
        <v>3.0000000000000001E-3</v>
      </c>
      <c r="AE905">
        <v>0</v>
      </c>
      <c r="AF905">
        <v>0</v>
      </c>
      <c r="AG905">
        <v>0</v>
      </c>
      <c r="AH905">
        <v>80.051000000000002</v>
      </c>
      <c r="AI905" t="s">
        <v>21</v>
      </c>
      <c r="AJ905">
        <v>80</v>
      </c>
      <c r="AK905">
        <v>330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410</v>
      </c>
      <c r="AU905" t="s">
        <v>34</v>
      </c>
    </row>
    <row r="906" spans="1:47" x14ac:dyDescent="0.2">
      <c r="A906">
        <v>1094</v>
      </c>
      <c r="B906" t="s">
        <v>928</v>
      </c>
      <c r="C906">
        <v>28</v>
      </c>
      <c r="D906" t="s">
        <v>537</v>
      </c>
      <c r="G906" t="str">
        <f t="shared" si="14"/>
        <v>SHELL1028WC2</v>
      </c>
      <c r="H906">
        <v>71.071100000000001</v>
      </c>
      <c r="I906">
        <v>-167.22206700000001</v>
      </c>
      <c r="J906" s="3">
        <v>20100815</v>
      </c>
      <c r="K906">
        <v>2010</v>
      </c>
      <c r="L906">
        <v>1.84487</v>
      </c>
      <c r="M906">
        <v>0.25706000000000001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2.1019299999999999</v>
      </c>
      <c r="W906" t="s">
        <v>9</v>
      </c>
      <c r="X906">
        <v>2.1160000000000001</v>
      </c>
      <c r="Y906">
        <v>15.888</v>
      </c>
      <c r="Z906">
        <v>1.8129999999999999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19.817</v>
      </c>
      <c r="AI906" t="s">
        <v>22</v>
      </c>
      <c r="AJ906">
        <v>110</v>
      </c>
      <c r="AK906">
        <v>420</v>
      </c>
      <c r="AL906">
        <v>20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550</v>
      </c>
      <c r="AU906" t="s">
        <v>34</v>
      </c>
    </row>
    <row r="907" spans="1:47" x14ac:dyDescent="0.2">
      <c r="A907">
        <v>1095</v>
      </c>
      <c r="B907" t="s">
        <v>928</v>
      </c>
      <c r="C907">
        <v>29</v>
      </c>
      <c r="D907" t="s">
        <v>538</v>
      </c>
      <c r="G907" t="str">
        <f t="shared" si="14"/>
        <v>SHELL1029WC3</v>
      </c>
      <c r="H907">
        <v>71.075316999999998</v>
      </c>
      <c r="I907">
        <v>-167.214867</v>
      </c>
      <c r="J907" s="3">
        <v>20100815</v>
      </c>
      <c r="K907">
        <v>2010</v>
      </c>
      <c r="L907">
        <v>0.63893</v>
      </c>
      <c r="M907">
        <v>0.41054000000000002</v>
      </c>
      <c r="N907">
        <v>7.3999999999999999E-4</v>
      </c>
      <c r="O907">
        <v>0</v>
      </c>
      <c r="P907">
        <v>4.0000000000000003E-5</v>
      </c>
      <c r="Q907">
        <v>0</v>
      </c>
      <c r="R907">
        <v>0</v>
      </c>
      <c r="S907">
        <v>0</v>
      </c>
      <c r="T907">
        <v>0</v>
      </c>
      <c r="U907">
        <v>7.1000000000000002E-4</v>
      </c>
      <c r="V907">
        <v>1.0509599999999999</v>
      </c>
      <c r="W907" t="s">
        <v>9</v>
      </c>
      <c r="X907">
        <v>20.111000000000001</v>
      </c>
      <c r="Y907">
        <v>23.468</v>
      </c>
      <c r="Z907">
        <v>1.7000000000000001E-2</v>
      </c>
      <c r="AA907">
        <v>0</v>
      </c>
      <c r="AB907">
        <v>0</v>
      </c>
      <c r="AC907">
        <v>0</v>
      </c>
      <c r="AD907">
        <v>3.0000000000000001E-3</v>
      </c>
      <c r="AE907">
        <v>0</v>
      </c>
      <c r="AF907">
        <v>0</v>
      </c>
      <c r="AG907">
        <v>0</v>
      </c>
      <c r="AH907">
        <v>43.598999999999997</v>
      </c>
      <c r="AI907" t="s">
        <v>22</v>
      </c>
      <c r="AJ907">
        <v>140</v>
      </c>
      <c r="AK907">
        <v>450</v>
      </c>
      <c r="AL907">
        <v>20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610</v>
      </c>
      <c r="AU907" t="s">
        <v>34</v>
      </c>
    </row>
    <row r="908" spans="1:47" x14ac:dyDescent="0.2">
      <c r="A908">
        <v>1096</v>
      </c>
      <c r="B908" t="s">
        <v>928</v>
      </c>
      <c r="C908">
        <v>3</v>
      </c>
      <c r="D908" t="s">
        <v>539</v>
      </c>
      <c r="G908" t="str">
        <f t="shared" si="14"/>
        <v>SHELL103WA1</v>
      </c>
      <c r="H908">
        <v>71.095600000000005</v>
      </c>
      <c r="I908">
        <v>-167.260583</v>
      </c>
      <c r="J908" s="3">
        <v>20100813</v>
      </c>
      <c r="K908">
        <v>2010</v>
      </c>
      <c r="L908">
        <v>1.5081500000000001</v>
      </c>
      <c r="M908">
        <v>0.36429</v>
      </c>
      <c r="N908">
        <v>1.051E-2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6.79E-3</v>
      </c>
      <c r="V908">
        <v>1.88974</v>
      </c>
      <c r="W908" t="s">
        <v>9</v>
      </c>
      <c r="X908">
        <v>23.806999999999999</v>
      </c>
      <c r="Y908">
        <v>18.439</v>
      </c>
      <c r="Z908">
        <v>0.14199999999999999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0.20699999999999999</v>
      </c>
      <c r="AH908">
        <v>42.594999999999999</v>
      </c>
      <c r="AI908" t="s">
        <v>21</v>
      </c>
      <c r="AJ908">
        <v>110</v>
      </c>
      <c r="AK908">
        <v>360</v>
      </c>
      <c r="AL908">
        <v>30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20</v>
      </c>
      <c r="AT908">
        <v>520</v>
      </c>
      <c r="AU908" t="s">
        <v>34</v>
      </c>
    </row>
    <row r="909" spans="1:47" x14ac:dyDescent="0.2">
      <c r="A909">
        <v>1097</v>
      </c>
      <c r="B909" t="s">
        <v>928</v>
      </c>
      <c r="C909">
        <v>30</v>
      </c>
      <c r="D909" t="s">
        <v>540</v>
      </c>
      <c r="G909" t="str">
        <f t="shared" si="14"/>
        <v>SHELL1030WC4</v>
      </c>
      <c r="H909">
        <v>71.074883</v>
      </c>
      <c r="I909">
        <v>-167.228883</v>
      </c>
      <c r="J909" s="3">
        <v>20100815</v>
      </c>
      <c r="K909">
        <v>2010</v>
      </c>
      <c r="L909">
        <v>2.13626</v>
      </c>
      <c r="M909">
        <v>0.19198999999999999</v>
      </c>
      <c r="N909">
        <v>0.26629999999999998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1.09E-3</v>
      </c>
      <c r="V909">
        <v>2.5956399999999999</v>
      </c>
      <c r="W909" t="s">
        <v>9</v>
      </c>
      <c r="X909">
        <v>14.175000000000001</v>
      </c>
      <c r="Y909">
        <v>137.91499999999999</v>
      </c>
      <c r="Z909">
        <v>2.8000000000000001E-2</v>
      </c>
      <c r="AA909">
        <v>0</v>
      </c>
      <c r="AB909">
        <v>0</v>
      </c>
      <c r="AC909">
        <v>0</v>
      </c>
      <c r="AD909">
        <v>0.30599999999999999</v>
      </c>
      <c r="AE909">
        <v>0</v>
      </c>
      <c r="AF909">
        <v>0</v>
      </c>
      <c r="AG909">
        <v>2E-3</v>
      </c>
      <c r="AH909">
        <v>152.42599999999999</v>
      </c>
      <c r="AI909" t="s">
        <v>22</v>
      </c>
      <c r="AJ909">
        <v>210</v>
      </c>
      <c r="AK909">
        <v>310</v>
      </c>
      <c r="AL909">
        <v>30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10</v>
      </c>
      <c r="AT909">
        <v>560</v>
      </c>
      <c r="AU909" t="s">
        <v>34</v>
      </c>
    </row>
    <row r="910" spans="1:47" x14ac:dyDescent="0.2">
      <c r="A910">
        <v>1098</v>
      </c>
      <c r="B910" t="s">
        <v>928</v>
      </c>
      <c r="C910">
        <v>31</v>
      </c>
      <c r="D910" t="s">
        <v>541</v>
      </c>
      <c r="G910" t="str">
        <f t="shared" si="14"/>
        <v>SHELL1031HR6</v>
      </c>
      <c r="H910">
        <v>71.033332999999999</v>
      </c>
      <c r="I910">
        <v>-167.806667</v>
      </c>
      <c r="J910" s="3">
        <v>20100815</v>
      </c>
      <c r="K910">
        <v>2010</v>
      </c>
      <c r="L910">
        <v>6.4196299999999997</v>
      </c>
      <c r="M910">
        <v>1.04514</v>
      </c>
      <c r="N910">
        <v>0.17465</v>
      </c>
      <c r="O910">
        <v>5.0000000000000001E-4</v>
      </c>
      <c r="P910">
        <v>0</v>
      </c>
      <c r="Q910">
        <v>0</v>
      </c>
      <c r="R910">
        <v>1.1000000000000001E-3</v>
      </c>
      <c r="S910">
        <v>0</v>
      </c>
      <c r="T910">
        <v>0</v>
      </c>
      <c r="U910">
        <v>1.5299999999999999E-3</v>
      </c>
      <c r="V910">
        <v>7.64255</v>
      </c>
      <c r="W910" t="s">
        <v>9</v>
      </c>
      <c r="X910">
        <v>37.865000000000002</v>
      </c>
      <c r="Y910">
        <v>203.08699999999999</v>
      </c>
      <c r="Z910">
        <v>2.7759999999999998</v>
      </c>
      <c r="AA910">
        <v>0</v>
      </c>
      <c r="AB910">
        <v>0</v>
      </c>
      <c r="AC910">
        <v>0</v>
      </c>
      <c r="AD910">
        <v>2.5000000000000001E-2</v>
      </c>
      <c r="AE910">
        <v>0</v>
      </c>
      <c r="AF910">
        <v>0</v>
      </c>
      <c r="AG910">
        <v>0.84799999999999998</v>
      </c>
      <c r="AH910">
        <v>244.601</v>
      </c>
      <c r="AI910" t="s">
        <v>22</v>
      </c>
      <c r="AJ910">
        <v>390</v>
      </c>
      <c r="AK910">
        <v>275</v>
      </c>
      <c r="AL910">
        <v>142.5</v>
      </c>
      <c r="AM910">
        <v>5</v>
      </c>
      <c r="AN910">
        <v>2.5</v>
      </c>
      <c r="AO910">
        <v>0</v>
      </c>
      <c r="AP910">
        <v>0</v>
      </c>
      <c r="AQ910">
        <v>0</v>
      </c>
      <c r="AR910">
        <v>0</v>
      </c>
      <c r="AS910">
        <v>17.5</v>
      </c>
      <c r="AT910">
        <v>832.5</v>
      </c>
      <c r="AU910" t="s">
        <v>33</v>
      </c>
    </row>
    <row r="911" spans="1:47" x14ac:dyDescent="0.2">
      <c r="A911">
        <v>1099</v>
      </c>
      <c r="B911" t="s">
        <v>928</v>
      </c>
      <c r="C911">
        <v>32</v>
      </c>
      <c r="D911" t="s">
        <v>542</v>
      </c>
      <c r="G911" t="str">
        <f t="shared" si="14"/>
        <v>SHELL1032HR4</v>
      </c>
      <c r="H911">
        <v>70.883332999999993</v>
      </c>
      <c r="I911">
        <v>-167.181667</v>
      </c>
      <c r="J911" s="3">
        <v>20100815</v>
      </c>
      <c r="K911">
        <v>2010</v>
      </c>
      <c r="L911">
        <v>2.03749</v>
      </c>
      <c r="M911">
        <v>1.5292600000000001</v>
      </c>
      <c r="N911">
        <v>9.9599999999999994E-2</v>
      </c>
      <c r="O911">
        <v>3.7865199999999999</v>
      </c>
      <c r="P911">
        <v>6.0000000000000002E-5</v>
      </c>
      <c r="Q911">
        <v>0</v>
      </c>
      <c r="R911">
        <v>2.1299999999999999E-3</v>
      </c>
      <c r="S911">
        <v>0</v>
      </c>
      <c r="T911">
        <v>0</v>
      </c>
      <c r="U911">
        <v>1.291E-2</v>
      </c>
      <c r="V911">
        <v>7.4679700000000002</v>
      </c>
      <c r="W911" t="s">
        <v>12</v>
      </c>
      <c r="X911">
        <v>27.427</v>
      </c>
      <c r="Y911">
        <v>300.66300000000001</v>
      </c>
      <c r="Z911">
        <v>0.14899999999999999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0.17799999999999999</v>
      </c>
      <c r="AH911">
        <v>328.41699999999997</v>
      </c>
      <c r="AI911" t="s">
        <v>22</v>
      </c>
      <c r="AJ911">
        <v>255</v>
      </c>
      <c r="AK911">
        <v>285</v>
      </c>
      <c r="AL911">
        <v>135</v>
      </c>
      <c r="AM911">
        <v>7.5</v>
      </c>
      <c r="AN911">
        <v>5</v>
      </c>
      <c r="AO911">
        <v>0</v>
      </c>
      <c r="AP911">
        <v>0</v>
      </c>
      <c r="AQ911">
        <v>0</v>
      </c>
      <c r="AR911">
        <v>0</v>
      </c>
      <c r="AS911">
        <v>17.5</v>
      </c>
      <c r="AT911">
        <v>705</v>
      </c>
      <c r="AU911" t="s">
        <v>34</v>
      </c>
    </row>
    <row r="912" spans="1:47" x14ac:dyDescent="0.2">
      <c r="A912">
        <v>1100</v>
      </c>
      <c r="B912" t="s">
        <v>928</v>
      </c>
      <c r="C912">
        <v>4</v>
      </c>
      <c r="D912" t="s">
        <v>543</v>
      </c>
      <c r="G912" t="str">
        <f t="shared" si="14"/>
        <v>SHELL104WA2</v>
      </c>
      <c r="H912">
        <v>71.092732999999996</v>
      </c>
      <c r="I912">
        <v>-167.25966700000001</v>
      </c>
      <c r="J912" s="3">
        <v>20100813</v>
      </c>
      <c r="K912">
        <v>2010</v>
      </c>
      <c r="L912">
        <v>1.84487</v>
      </c>
      <c r="M912">
        <v>0.25706000000000001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2.1019299999999999</v>
      </c>
      <c r="W912" t="s">
        <v>9</v>
      </c>
      <c r="X912">
        <v>26.41</v>
      </c>
      <c r="Y912">
        <v>12.14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38.549999999999997</v>
      </c>
      <c r="AI912" t="s">
        <v>21</v>
      </c>
      <c r="AJ912">
        <v>90</v>
      </c>
      <c r="AK912">
        <v>180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270</v>
      </c>
      <c r="AU912" t="s">
        <v>34</v>
      </c>
    </row>
    <row r="913" spans="1:47" x14ac:dyDescent="0.2">
      <c r="A913">
        <v>1101</v>
      </c>
      <c r="B913" t="s">
        <v>928</v>
      </c>
      <c r="C913">
        <v>5</v>
      </c>
      <c r="D913" t="s">
        <v>544</v>
      </c>
      <c r="G913" t="str">
        <f t="shared" si="14"/>
        <v>SHELL105WA3</v>
      </c>
      <c r="H913">
        <v>71.090999999999994</v>
      </c>
      <c r="I913">
        <v>-167.25678300000001</v>
      </c>
      <c r="J913" s="3">
        <v>20100813</v>
      </c>
      <c r="K913">
        <v>2010</v>
      </c>
      <c r="L913">
        <v>0.63893</v>
      </c>
      <c r="M913">
        <v>0.41054000000000002</v>
      </c>
      <c r="N913">
        <v>7.3999999999999999E-4</v>
      </c>
      <c r="O913">
        <v>0</v>
      </c>
      <c r="P913">
        <v>4.0000000000000003E-5</v>
      </c>
      <c r="Q913">
        <v>0</v>
      </c>
      <c r="R913">
        <v>0</v>
      </c>
      <c r="S913">
        <v>0</v>
      </c>
      <c r="T913">
        <v>0</v>
      </c>
      <c r="U913">
        <v>7.1000000000000002E-4</v>
      </c>
      <c r="V913">
        <v>1.0509599999999999</v>
      </c>
      <c r="W913" t="s">
        <v>9</v>
      </c>
      <c r="X913">
        <v>8.5920000000000005</v>
      </c>
      <c r="Y913">
        <v>19.18</v>
      </c>
      <c r="Z913">
        <v>0.01</v>
      </c>
      <c r="AA913">
        <v>0</v>
      </c>
      <c r="AB913">
        <v>3.0000000000000001E-3</v>
      </c>
      <c r="AC913">
        <v>0</v>
      </c>
      <c r="AD913">
        <v>0</v>
      </c>
      <c r="AE913">
        <v>0</v>
      </c>
      <c r="AF913">
        <v>0</v>
      </c>
      <c r="AG913">
        <v>7.0999999999999994E-2</v>
      </c>
      <c r="AH913">
        <v>27.856000000000002</v>
      </c>
      <c r="AI913" t="s">
        <v>22</v>
      </c>
      <c r="AJ913">
        <v>230</v>
      </c>
      <c r="AK913">
        <v>410</v>
      </c>
      <c r="AL913">
        <v>10</v>
      </c>
      <c r="AM913">
        <v>0</v>
      </c>
      <c r="AN913">
        <v>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660</v>
      </c>
      <c r="AU913" t="s">
        <v>34</v>
      </c>
    </row>
    <row r="914" spans="1:47" x14ac:dyDescent="0.2">
      <c r="A914">
        <v>1102</v>
      </c>
      <c r="B914" t="s">
        <v>928</v>
      </c>
      <c r="C914">
        <v>6</v>
      </c>
      <c r="D914" t="s">
        <v>545</v>
      </c>
      <c r="G914" t="str">
        <f t="shared" si="14"/>
        <v>SHELL106WA4</v>
      </c>
      <c r="H914">
        <v>71.091899999999995</v>
      </c>
      <c r="I914">
        <v>-167.27228299999999</v>
      </c>
      <c r="J914" s="3">
        <v>20100813</v>
      </c>
      <c r="K914">
        <v>2010</v>
      </c>
      <c r="L914">
        <v>2.13626</v>
      </c>
      <c r="M914">
        <v>0.19198999999999999</v>
      </c>
      <c r="N914">
        <v>0.26629999999999998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1.09E-3</v>
      </c>
      <c r="V914">
        <v>2.5956399999999999</v>
      </c>
      <c r="W914" t="s">
        <v>9</v>
      </c>
      <c r="X914">
        <v>31.036000000000001</v>
      </c>
      <c r="Y914">
        <v>9.9359999999999999</v>
      </c>
      <c r="Z914">
        <v>3.29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0.03</v>
      </c>
      <c r="AH914">
        <v>44.292000000000002</v>
      </c>
      <c r="AI914" t="s">
        <v>21</v>
      </c>
      <c r="AJ914">
        <v>80</v>
      </c>
      <c r="AK914">
        <v>250</v>
      </c>
      <c r="AL914">
        <v>70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20</v>
      </c>
      <c r="AT914">
        <v>420</v>
      </c>
      <c r="AU914" t="s">
        <v>34</v>
      </c>
    </row>
    <row r="915" spans="1:47" x14ac:dyDescent="0.2">
      <c r="A915">
        <v>1103</v>
      </c>
      <c r="B915" t="s">
        <v>928</v>
      </c>
      <c r="C915">
        <v>7</v>
      </c>
      <c r="D915" t="s">
        <v>546</v>
      </c>
      <c r="G915" t="str">
        <f t="shared" si="14"/>
        <v>SHELL107HR5</v>
      </c>
      <c r="H915">
        <v>71.194999999999993</v>
      </c>
      <c r="I915">
        <v>-167.63833299999999</v>
      </c>
      <c r="J915" s="3">
        <v>20100813</v>
      </c>
      <c r="K915">
        <v>2010</v>
      </c>
      <c r="L915">
        <v>1.0786899999999999</v>
      </c>
      <c r="M915">
        <v>0.48515999999999998</v>
      </c>
      <c r="N915">
        <v>7.3330000000000006E-2</v>
      </c>
      <c r="O915">
        <v>0</v>
      </c>
      <c r="P915">
        <v>3.2000000000000003E-4</v>
      </c>
      <c r="Q915">
        <v>0</v>
      </c>
      <c r="R915">
        <v>0</v>
      </c>
      <c r="S915">
        <v>0</v>
      </c>
      <c r="T915">
        <v>0</v>
      </c>
      <c r="U915">
        <v>4.2000000000000002E-4</v>
      </c>
      <c r="V915">
        <v>1.63792</v>
      </c>
      <c r="W915" t="s">
        <v>9</v>
      </c>
      <c r="X915">
        <v>17.265999999999998</v>
      </c>
      <c r="Y915">
        <v>24.062000000000001</v>
      </c>
      <c r="Z915">
        <v>0.93</v>
      </c>
      <c r="AA915">
        <v>0</v>
      </c>
      <c r="AB915">
        <v>2.3E-2</v>
      </c>
      <c r="AC915">
        <v>0</v>
      </c>
      <c r="AD915">
        <v>0</v>
      </c>
      <c r="AE915">
        <v>0</v>
      </c>
      <c r="AF915">
        <v>0</v>
      </c>
      <c r="AG915">
        <v>3.2000000000000001E-2</v>
      </c>
      <c r="AH915">
        <v>42.313000000000002</v>
      </c>
      <c r="AI915" t="s">
        <v>22</v>
      </c>
      <c r="AJ915">
        <v>117.5</v>
      </c>
      <c r="AK915">
        <v>65</v>
      </c>
      <c r="AL915">
        <v>32.5</v>
      </c>
      <c r="AM915">
        <v>0</v>
      </c>
      <c r="AN915">
        <v>2.5</v>
      </c>
      <c r="AO915">
        <v>0</v>
      </c>
      <c r="AP915">
        <v>0</v>
      </c>
      <c r="AQ915">
        <v>0</v>
      </c>
      <c r="AR915">
        <v>0</v>
      </c>
      <c r="AS915">
        <v>2.5</v>
      </c>
      <c r="AT915">
        <v>220</v>
      </c>
      <c r="AU915" t="s">
        <v>33</v>
      </c>
    </row>
    <row r="916" spans="1:47" x14ac:dyDescent="0.2">
      <c r="A916">
        <v>1104</v>
      </c>
      <c r="B916" t="s">
        <v>928</v>
      </c>
      <c r="C916">
        <v>8</v>
      </c>
      <c r="D916" t="s">
        <v>547</v>
      </c>
      <c r="G916" t="str">
        <f t="shared" si="14"/>
        <v>SHELL108HG</v>
      </c>
      <c r="H916">
        <v>71.110667000000007</v>
      </c>
      <c r="I916">
        <v>-168.275667</v>
      </c>
      <c r="J916" s="3">
        <v>20100814</v>
      </c>
      <c r="K916">
        <v>2010</v>
      </c>
      <c r="L916">
        <v>0.56389999999999996</v>
      </c>
      <c r="M916">
        <v>8.7302900000000001</v>
      </c>
      <c r="N916">
        <v>3.8559999999999997E-2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3.6060599999999998</v>
      </c>
      <c r="V916">
        <v>12.93881</v>
      </c>
      <c r="W916" t="s">
        <v>10</v>
      </c>
      <c r="X916">
        <v>8.7050000000000001</v>
      </c>
      <c r="Y916">
        <v>419.79700000000003</v>
      </c>
      <c r="Z916">
        <v>0.47599999999999998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58.307000000000002</v>
      </c>
      <c r="AH916">
        <v>487.28500000000003</v>
      </c>
      <c r="AI916" t="s">
        <v>22</v>
      </c>
      <c r="AJ916">
        <v>130</v>
      </c>
      <c r="AK916">
        <v>450</v>
      </c>
      <c r="AL916">
        <v>30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20</v>
      </c>
      <c r="AT916">
        <v>630</v>
      </c>
      <c r="AU916" t="s">
        <v>34</v>
      </c>
    </row>
    <row r="917" spans="1:47" x14ac:dyDescent="0.2">
      <c r="A917">
        <v>1105</v>
      </c>
      <c r="B917" t="s">
        <v>928</v>
      </c>
      <c r="C917">
        <v>9</v>
      </c>
      <c r="D917" t="s">
        <v>548</v>
      </c>
      <c r="G917" t="str">
        <f t="shared" si="14"/>
        <v>SHELL109HG1</v>
      </c>
      <c r="H917">
        <v>71.112499999999997</v>
      </c>
      <c r="I917">
        <v>-168.27333300000001</v>
      </c>
      <c r="J917" s="3">
        <v>20100814</v>
      </c>
      <c r="K917">
        <v>2010</v>
      </c>
      <c r="L917">
        <v>2.39682</v>
      </c>
      <c r="M917">
        <v>6.3944599999999996</v>
      </c>
      <c r="N917">
        <v>2.0330000000000001E-2</v>
      </c>
      <c r="O917">
        <v>0</v>
      </c>
      <c r="P917">
        <v>0</v>
      </c>
      <c r="Q917">
        <v>0</v>
      </c>
      <c r="R917">
        <v>1.8000000000000001E-4</v>
      </c>
      <c r="S917">
        <v>0</v>
      </c>
      <c r="T917">
        <v>0</v>
      </c>
      <c r="U917">
        <v>3.5599999999999998E-3</v>
      </c>
      <c r="V917">
        <v>8.8153500000000005</v>
      </c>
      <c r="W917" t="s">
        <v>10</v>
      </c>
      <c r="X917">
        <v>30.457000000000001</v>
      </c>
      <c r="Y917">
        <v>207.80699999999999</v>
      </c>
      <c r="Z917">
        <v>0.251</v>
      </c>
      <c r="AA917">
        <v>0</v>
      </c>
      <c r="AB917">
        <v>0</v>
      </c>
      <c r="AC917">
        <v>0</v>
      </c>
      <c r="AD917">
        <v>3.0000000000000001E-3</v>
      </c>
      <c r="AE917">
        <v>0</v>
      </c>
      <c r="AF917">
        <v>0</v>
      </c>
      <c r="AG917">
        <v>7.9000000000000001E-2</v>
      </c>
      <c r="AH917">
        <v>238.59700000000001</v>
      </c>
      <c r="AI917" t="s">
        <v>22</v>
      </c>
      <c r="AJ917">
        <v>210</v>
      </c>
      <c r="AK917">
        <v>230</v>
      </c>
      <c r="AL917">
        <v>10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10</v>
      </c>
      <c r="AT917">
        <v>460</v>
      </c>
      <c r="AU917" t="s">
        <v>34</v>
      </c>
    </row>
    <row r="918" spans="1:47" x14ac:dyDescent="0.2">
      <c r="A918">
        <v>1518</v>
      </c>
      <c r="B918" t="s">
        <v>572</v>
      </c>
      <c r="C918">
        <v>14</v>
      </c>
      <c r="D918" t="s">
        <v>551</v>
      </c>
      <c r="G918" t="str">
        <f t="shared" si="14"/>
        <v>SWL201014SLIP1</v>
      </c>
      <c r="H918">
        <v>62.012616999999999</v>
      </c>
      <c r="I918">
        <v>-175.04988299999999</v>
      </c>
      <c r="J918" s="3">
        <v>20100716</v>
      </c>
      <c r="K918">
        <v>2010</v>
      </c>
      <c r="L918">
        <v>8.4237900000000003</v>
      </c>
      <c r="M918">
        <v>4.8375300000000001</v>
      </c>
      <c r="N918">
        <v>0.39040999999999998</v>
      </c>
      <c r="O918">
        <v>4.2119999999999998E-2</v>
      </c>
      <c r="P918">
        <v>1.61511</v>
      </c>
      <c r="Q918">
        <v>0</v>
      </c>
      <c r="R918">
        <v>0</v>
      </c>
      <c r="S918">
        <v>0</v>
      </c>
      <c r="T918">
        <v>1.22072</v>
      </c>
      <c r="U918">
        <v>1.805E-2</v>
      </c>
      <c r="V918">
        <v>16.547730000000001</v>
      </c>
      <c r="W918" t="s">
        <v>9</v>
      </c>
      <c r="X918">
        <v>122.52800000000001</v>
      </c>
      <c r="Y918">
        <v>137.68199999999999</v>
      </c>
      <c r="Z918">
        <v>4.9640000000000004</v>
      </c>
      <c r="AA918">
        <v>0.93600000000000005</v>
      </c>
      <c r="AB918">
        <v>115.36499999999999</v>
      </c>
      <c r="AC918">
        <v>0</v>
      </c>
      <c r="AD918">
        <v>0</v>
      </c>
      <c r="AE918">
        <v>0</v>
      </c>
      <c r="AF918">
        <v>13.125999999999999</v>
      </c>
      <c r="AG918">
        <v>0.38800000000000001</v>
      </c>
      <c r="AH918">
        <v>394.98899999999998</v>
      </c>
      <c r="AI918" t="s">
        <v>22</v>
      </c>
      <c r="AJ918">
        <v>1120</v>
      </c>
      <c r="AK918">
        <v>250</v>
      </c>
      <c r="AL918">
        <v>370</v>
      </c>
      <c r="AM918">
        <v>37.5</v>
      </c>
      <c r="AN918">
        <v>987.5</v>
      </c>
      <c r="AO918">
        <v>0</v>
      </c>
      <c r="AP918">
        <v>0</v>
      </c>
      <c r="AQ918">
        <v>0</v>
      </c>
      <c r="AR918">
        <v>27.5</v>
      </c>
      <c r="AS918">
        <v>102.5</v>
      </c>
      <c r="AT918">
        <v>2895</v>
      </c>
      <c r="AU918" t="s">
        <v>33</v>
      </c>
    </row>
    <row r="919" spans="1:47" x14ac:dyDescent="0.2">
      <c r="A919">
        <v>1519</v>
      </c>
      <c r="B919" t="s">
        <v>572</v>
      </c>
      <c r="C919">
        <v>15</v>
      </c>
      <c r="D919" t="s">
        <v>552</v>
      </c>
      <c r="G919" t="str">
        <f t="shared" si="14"/>
        <v>SWL201015SLIP2</v>
      </c>
      <c r="H919">
        <v>62.048882999999996</v>
      </c>
      <c r="I919">
        <v>-175.20022299999999</v>
      </c>
      <c r="J919" s="3">
        <v>20100716</v>
      </c>
      <c r="K919">
        <v>2010</v>
      </c>
      <c r="L919">
        <v>5.9100700000000002</v>
      </c>
      <c r="M919">
        <v>4.2340999999999998</v>
      </c>
      <c r="N919">
        <v>0.17785000000000001</v>
      </c>
      <c r="O919">
        <v>3.6900000000000001E-3</v>
      </c>
      <c r="P919">
        <v>0.32118999999999998</v>
      </c>
      <c r="Q919">
        <v>0</v>
      </c>
      <c r="R919">
        <v>0</v>
      </c>
      <c r="S919">
        <v>0</v>
      </c>
      <c r="T919">
        <v>0.51502999999999999</v>
      </c>
      <c r="U919">
        <v>0.14344000000000001</v>
      </c>
      <c r="V919">
        <v>11.30537</v>
      </c>
      <c r="W919" t="s">
        <v>9</v>
      </c>
      <c r="X919">
        <v>86.486000000000004</v>
      </c>
      <c r="Y919">
        <v>117.464</v>
      </c>
      <c r="Z919">
        <v>2.2749999999999999</v>
      </c>
      <c r="AA919">
        <v>8.2000000000000003E-2</v>
      </c>
      <c r="AB919">
        <v>22.942</v>
      </c>
      <c r="AC919">
        <v>0</v>
      </c>
      <c r="AD919">
        <v>0</v>
      </c>
      <c r="AE919">
        <v>0</v>
      </c>
      <c r="AF919">
        <v>5.5380000000000003</v>
      </c>
      <c r="AG919">
        <v>2.5339999999999998</v>
      </c>
      <c r="AH919">
        <v>237.321</v>
      </c>
      <c r="AI919" t="s">
        <v>22</v>
      </c>
      <c r="AJ919">
        <v>682.5</v>
      </c>
      <c r="AK919">
        <v>207.5</v>
      </c>
      <c r="AL919">
        <v>287.5</v>
      </c>
      <c r="AM919">
        <v>20</v>
      </c>
      <c r="AN919">
        <v>17.5</v>
      </c>
      <c r="AO919">
        <v>0</v>
      </c>
      <c r="AP919">
        <v>0</v>
      </c>
      <c r="AQ919">
        <v>0</v>
      </c>
      <c r="AR919">
        <v>20</v>
      </c>
      <c r="AS919">
        <v>172.5</v>
      </c>
      <c r="AT919">
        <v>1407.5</v>
      </c>
      <c r="AU919" t="s">
        <v>33</v>
      </c>
    </row>
    <row r="920" spans="1:47" x14ac:dyDescent="0.2">
      <c r="A920">
        <v>1520</v>
      </c>
      <c r="B920" t="s">
        <v>572</v>
      </c>
      <c r="C920">
        <v>16</v>
      </c>
      <c r="D920" t="s">
        <v>553</v>
      </c>
      <c r="G920" t="str">
        <f t="shared" si="14"/>
        <v>SWL201016SLIP3</v>
      </c>
      <c r="H920">
        <v>62.393790000000003</v>
      </c>
      <c r="I920">
        <v>-174.569255</v>
      </c>
      <c r="J920" s="3">
        <v>20100716</v>
      </c>
      <c r="K920">
        <v>2010</v>
      </c>
      <c r="L920">
        <v>8.1385799999999993</v>
      </c>
      <c r="M920">
        <v>4.0916499999999996</v>
      </c>
      <c r="N920">
        <v>0.45407999999999998</v>
      </c>
      <c r="O920">
        <v>1.9400000000000001E-3</v>
      </c>
      <c r="P920">
        <v>0.48559000000000002</v>
      </c>
      <c r="Q920">
        <v>0</v>
      </c>
      <c r="R920">
        <v>0</v>
      </c>
      <c r="S920">
        <v>0</v>
      </c>
      <c r="T920">
        <v>5.9500000000000004E-3</v>
      </c>
      <c r="U920">
        <v>0.10778</v>
      </c>
      <c r="V920">
        <v>13.28557</v>
      </c>
      <c r="W920" t="s">
        <v>9</v>
      </c>
      <c r="X920">
        <v>119.155</v>
      </c>
      <c r="Y920">
        <v>137.27699999999999</v>
      </c>
      <c r="Z920">
        <v>5.5759999999999996</v>
      </c>
      <c r="AA920">
        <v>4.2999999999999997E-2</v>
      </c>
      <c r="AB920">
        <v>34.685000000000002</v>
      </c>
      <c r="AC920">
        <v>0</v>
      </c>
      <c r="AD920">
        <v>0</v>
      </c>
      <c r="AE920">
        <v>0</v>
      </c>
      <c r="AF920">
        <v>6.4000000000000001E-2</v>
      </c>
      <c r="AG920">
        <v>2.383</v>
      </c>
      <c r="AH920">
        <v>299.18299999999999</v>
      </c>
      <c r="AI920" t="s">
        <v>22</v>
      </c>
      <c r="AJ920">
        <v>1385</v>
      </c>
      <c r="AK920">
        <v>275</v>
      </c>
      <c r="AL920">
        <v>245</v>
      </c>
      <c r="AM920">
        <v>2.5</v>
      </c>
      <c r="AN920">
        <v>42.5</v>
      </c>
      <c r="AO920">
        <v>0</v>
      </c>
      <c r="AP920">
        <v>0</v>
      </c>
      <c r="AQ920">
        <v>0</v>
      </c>
      <c r="AR920">
        <v>27.5</v>
      </c>
      <c r="AS920">
        <v>155</v>
      </c>
      <c r="AT920">
        <v>2132.5</v>
      </c>
      <c r="AU920" t="s">
        <v>33</v>
      </c>
    </row>
    <row r="921" spans="1:47" x14ac:dyDescent="0.2">
      <c r="A921">
        <v>1521</v>
      </c>
      <c r="B921" t="s">
        <v>572</v>
      </c>
      <c r="C921">
        <v>17</v>
      </c>
      <c r="D921" t="s">
        <v>554</v>
      </c>
      <c r="G921" t="str">
        <f t="shared" si="14"/>
        <v>SWL201017SLIP5</v>
      </c>
      <c r="H921">
        <v>62.561602000000001</v>
      </c>
      <c r="I921">
        <v>-173.55020999999999</v>
      </c>
      <c r="J921" s="3">
        <v>20100716</v>
      </c>
      <c r="K921">
        <v>2010</v>
      </c>
      <c r="L921">
        <v>3.9960499999999999</v>
      </c>
      <c r="M921">
        <v>12.15246</v>
      </c>
      <c r="N921">
        <v>0.93844000000000005</v>
      </c>
      <c r="O921">
        <v>0</v>
      </c>
      <c r="P921">
        <v>0.72160000000000002</v>
      </c>
      <c r="Q921">
        <v>0</v>
      </c>
      <c r="R921">
        <v>0</v>
      </c>
      <c r="S921">
        <v>0</v>
      </c>
      <c r="T921">
        <v>6.4999999999999997E-4</v>
      </c>
      <c r="U921">
        <v>0.35753000000000001</v>
      </c>
      <c r="V921">
        <v>18.166730000000001</v>
      </c>
      <c r="W921" t="s">
        <v>10</v>
      </c>
      <c r="X921">
        <v>71.391999999999996</v>
      </c>
      <c r="Y921">
        <v>371.82900000000001</v>
      </c>
      <c r="Z921">
        <v>12.32</v>
      </c>
      <c r="AA921">
        <v>0</v>
      </c>
      <c r="AB921">
        <v>51.542999999999999</v>
      </c>
      <c r="AC921">
        <v>0</v>
      </c>
      <c r="AD921">
        <v>0</v>
      </c>
      <c r="AE921">
        <v>0</v>
      </c>
      <c r="AF921">
        <v>7.0000000000000001E-3</v>
      </c>
      <c r="AG921">
        <v>7.9489999999999998</v>
      </c>
      <c r="AH921">
        <v>515.04</v>
      </c>
      <c r="AI921" t="s">
        <v>22</v>
      </c>
      <c r="AJ921">
        <v>700</v>
      </c>
      <c r="AK921">
        <v>650</v>
      </c>
      <c r="AL921">
        <v>207.5</v>
      </c>
      <c r="AM921">
        <v>0</v>
      </c>
      <c r="AN921">
        <v>20</v>
      </c>
      <c r="AO921">
        <v>0</v>
      </c>
      <c r="AP921">
        <v>0</v>
      </c>
      <c r="AQ921">
        <v>0</v>
      </c>
      <c r="AR921">
        <v>2.5</v>
      </c>
      <c r="AS921">
        <v>57.5</v>
      </c>
      <c r="AT921">
        <v>1637.5</v>
      </c>
      <c r="AU921" t="s">
        <v>33</v>
      </c>
    </row>
    <row r="922" spans="1:47" x14ac:dyDescent="0.2">
      <c r="A922">
        <v>1522</v>
      </c>
      <c r="B922" t="s">
        <v>572</v>
      </c>
      <c r="C922">
        <v>18</v>
      </c>
      <c r="D922" t="s">
        <v>555</v>
      </c>
      <c r="G922" t="str">
        <f t="shared" si="14"/>
        <v>SWL201018SLIP4</v>
      </c>
      <c r="H922">
        <v>63.029359999999997</v>
      </c>
      <c r="I922">
        <v>-173.457515</v>
      </c>
      <c r="J922" s="3">
        <v>20100717</v>
      </c>
      <c r="K922">
        <v>2010</v>
      </c>
      <c r="L922">
        <v>3.13137</v>
      </c>
      <c r="M922">
        <v>27.970479999999998</v>
      </c>
      <c r="N922">
        <v>0.48169000000000001</v>
      </c>
      <c r="O922">
        <v>0</v>
      </c>
      <c r="P922">
        <v>0.47770000000000001</v>
      </c>
      <c r="Q922">
        <v>0</v>
      </c>
      <c r="R922">
        <v>0</v>
      </c>
      <c r="S922">
        <v>0</v>
      </c>
      <c r="T922">
        <v>2.66492</v>
      </c>
      <c r="U922">
        <v>0.71179999999999999</v>
      </c>
      <c r="V922">
        <v>35.437959999999997</v>
      </c>
      <c r="W922" t="s">
        <v>10</v>
      </c>
      <c r="X922">
        <v>62.670999999999999</v>
      </c>
      <c r="Y922">
        <v>835.601</v>
      </c>
      <c r="Z922">
        <v>5.9429999999999996</v>
      </c>
      <c r="AA922">
        <v>0</v>
      </c>
      <c r="AB922">
        <v>34.121000000000002</v>
      </c>
      <c r="AC922">
        <v>0</v>
      </c>
      <c r="AD922">
        <v>0</v>
      </c>
      <c r="AE922">
        <v>0</v>
      </c>
      <c r="AF922">
        <v>28.655000000000001</v>
      </c>
      <c r="AG922">
        <v>14.308999999999999</v>
      </c>
      <c r="AH922">
        <v>981.3</v>
      </c>
      <c r="AI922" t="s">
        <v>22</v>
      </c>
      <c r="AJ922">
        <v>1005</v>
      </c>
      <c r="AK922">
        <v>1662.5</v>
      </c>
      <c r="AL922">
        <v>230</v>
      </c>
      <c r="AM922">
        <v>0</v>
      </c>
      <c r="AN922">
        <v>22.5</v>
      </c>
      <c r="AO922">
        <v>0</v>
      </c>
      <c r="AP922">
        <v>0</v>
      </c>
      <c r="AQ922">
        <v>0</v>
      </c>
      <c r="AR922">
        <v>40</v>
      </c>
      <c r="AS922">
        <v>290</v>
      </c>
      <c r="AT922">
        <v>3250</v>
      </c>
      <c r="AU922" t="s">
        <v>34</v>
      </c>
    </row>
    <row r="923" spans="1:47" x14ac:dyDescent="0.2">
      <c r="A923">
        <v>1523</v>
      </c>
      <c r="B923" t="s">
        <v>572</v>
      </c>
      <c r="C923">
        <v>20</v>
      </c>
      <c r="D923" t="s">
        <v>556</v>
      </c>
      <c r="G923" t="str">
        <f t="shared" si="14"/>
        <v>SWL201020UTBS5</v>
      </c>
      <c r="H923">
        <v>64.671094999999994</v>
      </c>
      <c r="I923">
        <v>-169.92134300000001</v>
      </c>
      <c r="J923" s="3">
        <v>20100717</v>
      </c>
      <c r="K923">
        <v>2010</v>
      </c>
      <c r="L923">
        <v>14.29189</v>
      </c>
      <c r="M923">
        <v>7.6465300000000003</v>
      </c>
      <c r="N923">
        <v>0.28016999999999997</v>
      </c>
      <c r="O923">
        <v>6.1650000000000003E-2</v>
      </c>
      <c r="P923">
        <v>0</v>
      </c>
      <c r="Q923">
        <v>0</v>
      </c>
      <c r="R923">
        <v>0.96758</v>
      </c>
      <c r="S923">
        <v>3.1032000000000002</v>
      </c>
      <c r="T923">
        <v>3.7199999999999997E-2</v>
      </c>
      <c r="U923">
        <v>2.563E-2</v>
      </c>
      <c r="V923">
        <v>26.41385</v>
      </c>
      <c r="W923" t="s">
        <v>9</v>
      </c>
      <c r="X923">
        <v>205.39</v>
      </c>
      <c r="Y923">
        <v>242.154</v>
      </c>
      <c r="Z923">
        <v>3.996</v>
      </c>
      <c r="AA923">
        <v>1.37</v>
      </c>
      <c r="AB923">
        <v>0</v>
      </c>
      <c r="AC923">
        <v>0</v>
      </c>
      <c r="AD923">
        <v>15.862</v>
      </c>
      <c r="AE923">
        <v>86.173000000000002</v>
      </c>
      <c r="AF923">
        <v>0.4</v>
      </c>
      <c r="AG923">
        <v>2.4910000000000001</v>
      </c>
      <c r="AH923">
        <v>557.83600000000001</v>
      </c>
      <c r="AI923" t="s">
        <v>22</v>
      </c>
      <c r="AJ923">
        <v>842.5</v>
      </c>
      <c r="AK923">
        <v>520</v>
      </c>
      <c r="AL923">
        <v>1242.5</v>
      </c>
      <c r="AM923">
        <v>50</v>
      </c>
      <c r="AN923">
        <v>0</v>
      </c>
      <c r="AO923">
        <v>0</v>
      </c>
      <c r="AP923">
        <v>0</v>
      </c>
      <c r="AQ923">
        <v>30</v>
      </c>
      <c r="AR923">
        <v>5</v>
      </c>
      <c r="AS923">
        <v>12.5</v>
      </c>
      <c r="AT923">
        <v>2702.5</v>
      </c>
      <c r="AU923" t="s">
        <v>35</v>
      </c>
    </row>
    <row r="924" spans="1:47" x14ac:dyDescent="0.2">
      <c r="A924">
        <v>1524</v>
      </c>
      <c r="B924" t="s">
        <v>572</v>
      </c>
      <c r="C924">
        <v>21</v>
      </c>
      <c r="D924" t="s">
        <v>557</v>
      </c>
      <c r="G924" t="str">
        <f t="shared" si="14"/>
        <v>SWL201021UTBS2</v>
      </c>
      <c r="H924">
        <v>64.682261999999994</v>
      </c>
      <c r="I924">
        <v>-169.100765</v>
      </c>
      <c r="J924" s="3">
        <v>20100717</v>
      </c>
      <c r="K924">
        <v>2010</v>
      </c>
      <c r="L924">
        <v>5.1680099999999998</v>
      </c>
      <c r="M924">
        <v>3.4223400000000002</v>
      </c>
      <c r="N924">
        <v>7.9142299999999999</v>
      </c>
      <c r="O924">
        <v>5.45E-3</v>
      </c>
      <c r="P924">
        <v>0</v>
      </c>
      <c r="Q924">
        <v>0</v>
      </c>
      <c r="R924">
        <v>2.3550000000000001E-2</v>
      </c>
      <c r="S924">
        <v>0</v>
      </c>
      <c r="T924">
        <v>7.6259999999999994E-2</v>
      </c>
      <c r="U924">
        <v>4.3790000000000003E-2</v>
      </c>
      <c r="V924">
        <v>16.65363</v>
      </c>
      <c r="W924" t="s">
        <v>11</v>
      </c>
      <c r="X924">
        <v>72.98</v>
      </c>
      <c r="Y924">
        <v>157.80699999999999</v>
      </c>
      <c r="Z924">
        <v>115.812</v>
      </c>
      <c r="AA924">
        <v>0.121</v>
      </c>
      <c r="AB924">
        <v>0</v>
      </c>
      <c r="AC924">
        <v>0</v>
      </c>
      <c r="AD924">
        <v>0.38600000000000001</v>
      </c>
      <c r="AE924">
        <v>0</v>
      </c>
      <c r="AF924">
        <v>0.82</v>
      </c>
      <c r="AG924">
        <v>4.2699999999999996</v>
      </c>
      <c r="AH924">
        <v>352.19600000000003</v>
      </c>
      <c r="AI924" t="s">
        <v>22</v>
      </c>
      <c r="AJ924">
        <v>550</v>
      </c>
      <c r="AK924">
        <v>922.5</v>
      </c>
      <c r="AL924">
        <v>15652.5</v>
      </c>
      <c r="AM924">
        <v>10</v>
      </c>
      <c r="AN924">
        <v>2.5</v>
      </c>
      <c r="AO924">
        <v>0</v>
      </c>
      <c r="AP924">
        <v>0</v>
      </c>
      <c r="AQ924">
        <v>0</v>
      </c>
      <c r="AR924">
        <v>65</v>
      </c>
      <c r="AS924">
        <v>2.5</v>
      </c>
      <c r="AT924">
        <v>17205</v>
      </c>
      <c r="AU924" t="s">
        <v>35</v>
      </c>
    </row>
    <row r="925" spans="1:47" x14ac:dyDescent="0.2">
      <c r="A925">
        <v>1525</v>
      </c>
      <c r="B925" t="s">
        <v>572</v>
      </c>
      <c r="C925">
        <v>22</v>
      </c>
      <c r="D925" t="s">
        <v>558</v>
      </c>
      <c r="G925" t="str">
        <f t="shared" si="14"/>
        <v>SWL201022UTBS4</v>
      </c>
      <c r="H925">
        <v>64.957864999999998</v>
      </c>
      <c r="I925">
        <v>-169.88395199999999</v>
      </c>
      <c r="J925" s="3">
        <v>20100718</v>
      </c>
      <c r="K925">
        <v>2010</v>
      </c>
      <c r="L925">
        <v>1.7475799999999999</v>
      </c>
      <c r="M925">
        <v>2.55416</v>
      </c>
      <c r="N925">
        <v>3.4509999999999999E-2</v>
      </c>
      <c r="O925">
        <v>0</v>
      </c>
      <c r="P925">
        <v>0</v>
      </c>
      <c r="Q925">
        <v>0</v>
      </c>
      <c r="R925">
        <v>6.4780000000000004E-2</v>
      </c>
      <c r="S925">
        <v>0</v>
      </c>
      <c r="T925">
        <v>0</v>
      </c>
      <c r="U925">
        <v>7.6000000000000004E-4</v>
      </c>
      <c r="V925">
        <v>4.4017900000000001</v>
      </c>
      <c r="W925" t="s">
        <v>10</v>
      </c>
      <c r="X925">
        <v>24.332999999999998</v>
      </c>
      <c r="Y925">
        <v>88.584000000000003</v>
      </c>
      <c r="Z925">
        <v>0.48199999999999998</v>
      </c>
      <c r="AA925">
        <v>0</v>
      </c>
      <c r="AB925">
        <v>0</v>
      </c>
      <c r="AC925">
        <v>0</v>
      </c>
      <c r="AD925">
        <v>1.0620000000000001</v>
      </c>
      <c r="AE925">
        <v>0</v>
      </c>
      <c r="AF925">
        <v>0</v>
      </c>
      <c r="AG925">
        <v>7.5999999999999998E-2</v>
      </c>
      <c r="AH925">
        <v>114.53700000000001</v>
      </c>
      <c r="AI925" t="s">
        <v>22</v>
      </c>
      <c r="AJ925">
        <v>155</v>
      </c>
      <c r="AK925">
        <v>225</v>
      </c>
      <c r="AL925">
        <v>200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580</v>
      </c>
      <c r="AU925" t="s">
        <v>34</v>
      </c>
    </row>
    <row r="926" spans="1:47" x14ac:dyDescent="0.2">
      <c r="A926">
        <v>1526</v>
      </c>
      <c r="B926" t="s">
        <v>572</v>
      </c>
      <c r="C926">
        <v>23</v>
      </c>
      <c r="D926" t="s">
        <v>179</v>
      </c>
      <c r="G926" t="str">
        <f t="shared" si="14"/>
        <v>SWL201023UTBS1</v>
      </c>
      <c r="H926">
        <v>64.991322999999994</v>
      </c>
      <c r="I926">
        <v>-169.140612</v>
      </c>
      <c r="J926" s="3">
        <v>20100718</v>
      </c>
      <c r="K926">
        <v>2010</v>
      </c>
      <c r="L926">
        <v>1.3567800000000001</v>
      </c>
      <c r="M926">
        <v>6.2045000000000003</v>
      </c>
      <c r="N926">
        <v>9.9741</v>
      </c>
      <c r="O926">
        <v>4.0000000000000002E-4</v>
      </c>
      <c r="P926">
        <v>0</v>
      </c>
      <c r="Q926">
        <v>6.9999999999999994E-5</v>
      </c>
      <c r="R926">
        <v>0</v>
      </c>
      <c r="S926">
        <v>0.12938</v>
      </c>
      <c r="T926">
        <v>4.8919999999999998E-2</v>
      </c>
      <c r="U926">
        <v>9.2450000000000004E-2</v>
      </c>
      <c r="V926">
        <v>17.8066</v>
      </c>
      <c r="W926" t="s">
        <v>11</v>
      </c>
      <c r="X926">
        <v>19.460999999999999</v>
      </c>
      <c r="Y926">
        <v>204.20699999999999</v>
      </c>
      <c r="Z926">
        <v>145.52699999999999</v>
      </c>
      <c r="AA926">
        <v>8.9999999999999993E-3</v>
      </c>
      <c r="AB926">
        <v>0</v>
      </c>
      <c r="AC926">
        <v>6.0000000000000001E-3</v>
      </c>
      <c r="AD926">
        <v>0</v>
      </c>
      <c r="AE926">
        <v>9.2279999999999998</v>
      </c>
      <c r="AF926">
        <v>0.52600000000000002</v>
      </c>
      <c r="AG926">
        <v>4.9290000000000003</v>
      </c>
      <c r="AH926">
        <v>383.89299999999997</v>
      </c>
      <c r="AI926" t="s">
        <v>22</v>
      </c>
      <c r="AJ926">
        <v>372.5</v>
      </c>
      <c r="AK926">
        <v>1015</v>
      </c>
      <c r="AL926">
        <v>14070</v>
      </c>
      <c r="AM926">
        <v>2.5</v>
      </c>
      <c r="AN926">
        <v>0</v>
      </c>
      <c r="AO926">
        <v>2.5</v>
      </c>
      <c r="AP926">
        <v>0</v>
      </c>
      <c r="AQ926">
        <v>10</v>
      </c>
      <c r="AR926">
        <v>30</v>
      </c>
      <c r="AS926">
        <v>5</v>
      </c>
      <c r="AT926">
        <v>15507.5</v>
      </c>
      <c r="AU926" t="s">
        <v>35</v>
      </c>
    </row>
    <row r="927" spans="1:47" x14ac:dyDescent="0.2">
      <c r="A927">
        <v>1527</v>
      </c>
      <c r="B927" t="s">
        <v>572</v>
      </c>
      <c r="C927">
        <v>29</v>
      </c>
      <c r="D927" t="s">
        <v>559</v>
      </c>
      <c r="G927" t="str">
        <f t="shared" si="14"/>
        <v>SWL201029UTN1</v>
      </c>
      <c r="H927">
        <v>66.707094999999995</v>
      </c>
      <c r="I927">
        <v>-168.39529999999999</v>
      </c>
      <c r="J927" s="3">
        <v>20100718</v>
      </c>
      <c r="K927">
        <v>2010</v>
      </c>
      <c r="L927">
        <v>2.1337299999999999</v>
      </c>
      <c r="M927">
        <v>0.53968000000000005</v>
      </c>
      <c r="N927">
        <v>4.4229999999999998E-2</v>
      </c>
      <c r="O927">
        <v>0</v>
      </c>
      <c r="P927">
        <v>3.0000000000000001E-5</v>
      </c>
      <c r="Q927">
        <v>21.815439999999999</v>
      </c>
      <c r="R927">
        <v>9.01E-2</v>
      </c>
      <c r="S927">
        <v>0</v>
      </c>
      <c r="T927">
        <v>0</v>
      </c>
      <c r="U927">
        <v>1.13442</v>
      </c>
      <c r="V927">
        <v>25.757629999999999</v>
      </c>
      <c r="W927" t="s">
        <v>14</v>
      </c>
      <c r="X927">
        <v>33.170999999999999</v>
      </c>
      <c r="Y927">
        <v>15.374000000000001</v>
      </c>
      <c r="Z927">
        <v>0.628</v>
      </c>
      <c r="AA927">
        <v>0</v>
      </c>
      <c r="AB927">
        <v>2E-3</v>
      </c>
      <c r="AC927">
        <v>2181.5439999999999</v>
      </c>
      <c r="AD927">
        <v>1.4770000000000001</v>
      </c>
      <c r="AE927">
        <v>0</v>
      </c>
      <c r="AF927">
        <v>0</v>
      </c>
      <c r="AG927">
        <v>54.036999999999999</v>
      </c>
      <c r="AH927">
        <v>2286.2330000000002</v>
      </c>
      <c r="AI927" t="s">
        <v>26</v>
      </c>
      <c r="AJ927">
        <v>1015</v>
      </c>
      <c r="AK927">
        <v>2400</v>
      </c>
      <c r="AL927">
        <v>607.5</v>
      </c>
      <c r="AM927">
        <v>0</v>
      </c>
      <c r="AN927">
        <v>2.5</v>
      </c>
      <c r="AO927">
        <v>227.5</v>
      </c>
      <c r="AP927">
        <v>2.5</v>
      </c>
      <c r="AQ927">
        <v>0</v>
      </c>
      <c r="AR927">
        <v>0</v>
      </c>
      <c r="AS927">
        <v>15</v>
      </c>
      <c r="AT927">
        <v>4270</v>
      </c>
      <c r="AU927" t="s">
        <v>34</v>
      </c>
    </row>
    <row r="928" spans="1:47" x14ac:dyDescent="0.2">
      <c r="A928">
        <v>1528</v>
      </c>
      <c r="B928" t="s">
        <v>572</v>
      </c>
      <c r="C928">
        <v>30</v>
      </c>
      <c r="D928" t="s">
        <v>560</v>
      </c>
      <c r="G928" t="str">
        <f t="shared" si="14"/>
        <v>SWL201030UTN2</v>
      </c>
      <c r="H928">
        <v>67.047618</v>
      </c>
      <c r="I928">
        <v>-168.72762800000001</v>
      </c>
      <c r="J928" s="3">
        <v>20100719</v>
      </c>
      <c r="K928">
        <v>2010</v>
      </c>
      <c r="L928">
        <v>1.9894499999999999</v>
      </c>
      <c r="M928">
        <v>2.4610599999999998</v>
      </c>
      <c r="N928">
        <v>0.21337</v>
      </c>
      <c r="O928">
        <v>0</v>
      </c>
      <c r="P928">
        <v>3.0000000000000001E-5</v>
      </c>
      <c r="Q928">
        <v>0</v>
      </c>
      <c r="R928">
        <v>0.59225000000000005</v>
      </c>
      <c r="S928">
        <v>0.12587000000000001</v>
      </c>
      <c r="T928">
        <v>3.6999999999999999E-4</v>
      </c>
      <c r="U928">
        <v>4.6000000000000001E-4</v>
      </c>
      <c r="V928">
        <v>5.38286</v>
      </c>
      <c r="W928" t="s">
        <v>10</v>
      </c>
      <c r="X928">
        <v>28.018000000000001</v>
      </c>
      <c r="Y928">
        <v>62.392000000000003</v>
      </c>
      <c r="Z928">
        <v>2.86</v>
      </c>
      <c r="AA928">
        <v>0</v>
      </c>
      <c r="AB928">
        <v>2E-3</v>
      </c>
      <c r="AC928">
        <v>0</v>
      </c>
      <c r="AD928">
        <v>9.7089999999999996</v>
      </c>
      <c r="AE928">
        <v>3.07</v>
      </c>
      <c r="AF928">
        <v>4.0000000000000001E-3</v>
      </c>
      <c r="AG928">
        <v>8.9999999999999993E-3</v>
      </c>
      <c r="AH928">
        <v>106.06399999999999</v>
      </c>
      <c r="AI928" t="s">
        <v>22</v>
      </c>
      <c r="AJ928">
        <v>415</v>
      </c>
      <c r="AK928">
        <v>7475</v>
      </c>
      <c r="AL928">
        <v>200</v>
      </c>
      <c r="AM928">
        <v>0</v>
      </c>
      <c r="AN928">
        <v>7.5</v>
      </c>
      <c r="AO928">
        <v>0</v>
      </c>
      <c r="AP928">
        <v>7.5</v>
      </c>
      <c r="AQ928">
        <v>5</v>
      </c>
      <c r="AR928">
        <v>5</v>
      </c>
      <c r="AS928">
        <v>5</v>
      </c>
      <c r="AT928">
        <v>8120</v>
      </c>
      <c r="AU928" t="s">
        <v>34</v>
      </c>
    </row>
    <row r="929" spans="1:47" x14ac:dyDescent="0.2">
      <c r="A929">
        <v>1529</v>
      </c>
      <c r="B929" t="s">
        <v>572</v>
      </c>
      <c r="C929">
        <v>31</v>
      </c>
      <c r="D929" t="s">
        <v>561</v>
      </c>
      <c r="G929" t="str">
        <f t="shared" si="14"/>
        <v>SWL201031UTN3</v>
      </c>
      <c r="H929">
        <v>67.334800000000001</v>
      </c>
      <c r="I929">
        <v>-168.95684499999999</v>
      </c>
      <c r="J929" s="3">
        <v>20100719</v>
      </c>
      <c r="K929">
        <v>2010</v>
      </c>
      <c r="L929">
        <v>3.9868899999999998</v>
      </c>
      <c r="M929">
        <v>19.162140000000001</v>
      </c>
      <c r="N929">
        <v>1.251E-2</v>
      </c>
      <c r="O929">
        <v>0</v>
      </c>
      <c r="P929">
        <v>0</v>
      </c>
      <c r="Q929">
        <v>0</v>
      </c>
      <c r="R929">
        <v>2.19624</v>
      </c>
      <c r="S929">
        <v>0</v>
      </c>
      <c r="T929">
        <v>0</v>
      </c>
      <c r="U929">
        <v>1.92E-3</v>
      </c>
      <c r="V929">
        <v>25.3597</v>
      </c>
      <c r="W929" t="s">
        <v>10</v>
      </c>
      <c r="X929">
        <v>55.677999999999997</v>
      </c>
      <c r="Y929">
        <v>543.21799999999996</v>
      </c>
      <c r="Z929">
        <v>0.16900000000000001</v>
      </c>
      <c r="AA929">
        <v>0</v>
      </c>
      <c r="AB929">
        <v>0</v>
      </c>
      <c r="AC929">
        <v>0</v>
      </c>
      <c r="AD929">
        <v>36.003999999999998</v>
      </c>
      <c r="AE929">
        <v>0</v>
      </c>
      <c r="AF929">
        <v>0</v>
      </c>
      <c r="AG929">
        <v>3.9E-2</v>
      </c>
      <c r="AH929">
        <v>635.10799999999995</v>
      </c>
      <c r="AI929" t="s">
        <v>22</v>
      </c>
      <c r="AJ929">
        <v>365</v>
      </c>
      <c r="AK929">
        <v>3935</v>
      </c>
      <c r="AL929">
        <v>142.5</v>
      </c>
      <c r="AM929">
        <v>0</v>
      </c>
      <c r="AN929">
        <v>0</v>
      </c>
      <c r="AO929">
        <v>0</v>
      </c>
      <c r="AP929">
        <v>40</v>
      </c>
      <c r="AQ929">
        <v>0</v>
      </c>
      <c r="AR929">
        <v>0</v>
      </c>
      <c r="AS929">
        <v>25</v>
      </c>
      <c r="AT929">
        <v>4507.5</v>
      </c>
      <c r="AU929" t="s">
        <v>34</v>
      </c>
    </row>
    <row r="930" spans="1:47" x14ac:dyDescent="0.2">
      <c r="A930">
        <v>1530</v>
      </c>
      <c r="B930" t="s">
        <v>572</v>
      </c>
      <c r="C930">
        <v>32</v>
      </c>
      <c r="D930" t="s">
        <v>562</v>
      </c>
      <c r="G930" t="str">
        <f t="shared" si="14"/>
        <v>SWL201032UTN4</v>
      </c>
      <c r="H930">
        <v>67.500891999999993</v>
      </c>
      <c r="I930">
        <v>-168.90698800000001</v>
      </c>
      <c r="J930" s="3">
        <v>20100719</v>
      </c>
      <c r="K930">
        <v>2010</v>
      </c>
      <c r="L930">
        <v>3.7864599999999999</v>
      </c>
      <c r="M930">
        <v>18.489699999999999</v>
      </c>
      <c r="N930">
        <v>0.18265999999999999</v>
      </c>
      <c r="O930">
        <v>0</v>
      </c>
      <c r="P930">
        <v>5.0000000000000002E-5</v>
      </c>
      <c r="Q930">
        <v>0</v>
      </c>
      <c r="R930">
        <v>0.35124</v>
      </c>
      <c r="S930">
        <v>0.22098999999999999</v>
      </c>
      <c r="T930">
        <v>0</v>
      </c>
      <c r="U930">
        <v>1.8500000000000001E-3</v>
      </c>
      <c r="V930">
        <v>23.03295</v>
      </c>
      <c r="W930" t="s">
        <v>10</v>
      </c>
      <c r="X930">
        <v>52.884</v>
      </c>
      <c r="Y930">
        <v>528.40599999999995</v>
      </c>
      <c r="Z930">
        <v>2.073</v>
      </c>
      <c r="AA930">
        <v>0</v>
      </c>
      <c r="AB930">
        <v>4.0000000000000001E-3</v>
      </c>
      <c r="AC930">
        <v>0</v>
      </c>
      <c r="AD930">
        <v>5.758</v>
      </c>
      <c r="AE930">
        <v>5.39</v>
      </c>
      <c r="AF930">
        <v>0</v>
      </c>
      <c r="AG930">
        <v>3.5000000000000003E-2</v>
      </c>
      <c r="AH930">
        <v>594.54999999999995</v>
      </c>
      <c r="AI930" t="s">
        <v>22</v>
      </c>
      <c r="AJ930">
        <v>355</v>
      </c>
      <c r="AK930">
        <v>3905</v>
      </c>
      <c r="AL930">
        <v>377.5</v>
      </c>
      <c r="AM930">
        <v>0</v>
      </c>
      <c r="AN930">
        <v>5</v>
      </c>
      <c r="AO930">
        <v>0</v>
      </c>
      <c r="AP930">
        <v>7.5</v>
      </c>
      <c r="AQ930">
        <v>2.5</v>
      </c>
      <c r="AR930">
        <v>0</v>
      </c>
      <c r="AS930">
        <v>25</v>
      </c>
      <c r="AT930">
        <v>4677.5</v>
      </c>
      <c r="AU930" t="s">
        <v>34</v>
      </c>
    </row>
    <row r="931" spans="1:47" x14ac:dyDescent="0.2">
      <c r="A931">
        <v>1531</v>
      </c>
      <c r="B931" t="s">
        <v>572</v>
      </c>
      <c r="C931">
        <v>33</v>
      </c>
      <c r="D931" t="s">
        <v>306</v>
      </c>
      <c r="G931" t="str">
        <f t="shared" si="14"/>
        <v>SWL201033UTN5=SEC1</v>
      </c>
      <c r="H931">
        <v>67.668563000000006</v>
      </c>
      <c r="I931">
        <v>-168.96044000000001</v>
      </c>
      <c r="J931" s="3">
        <v>20100719</v>
      </c>
      <c r="K931">
        <v>2010</v>
      </c>
      <c r="L931">
        <v>1.1823900000000001</v>
      </c>
      <c r="M931">
        <v>108.28223</v>
      </c>
      <c r="N931">
        <v>0.47871000000000002</v>
      </c>
      <c r="O931">
        <v>0</v>
      </c>
      <c r="P931">
        <v>4.0000000000000003E-5</v>
      </c>
      <c r="Q931">
        <v>0</v>
      </c>
      <c r="R931">
        <v>2.02624</v>
      </c>
      <c r="S931">
        <v>0</v>
      </c>
      <c r="T931">
        <v>1.1350000000000001E-2</v>
      </c>
      <c r="U931">
        <v>3.9030000000000002E-2</v>
      </c>
      <c r="V931">
        <v>112.01999000000001</v>
      </c>
      <c r="W931" t="s">
        <v>10</v>
      </c>
      <c r="X931">
        <v>17.725000000000001</v>
      </c>
      <c r="Y931">
        <v>3074.491</v>
      </c>
      <c r="Z931">
        <v>5.5579999999999998</v>
      </c>
      <c r="AA931">
        <v>0</v>
      </c>
      <c r="AB931">
        <v>3.0000000000000001E-3</v>
      </c>
      <c r="AC931">
        <v>0</v>
      </c>
      <c r="AD931">
        <v>33.216999999999999</v>
      </c>
      <c r="AE931">
        <v>0</v>
      </c>
      <c r="AF931">
        <v>0.122</v>
      </c>
      <c r="AG931">
        <v>0.80400000000000005</v>
      </c>
      <c r="AH931">
        <v>3131.92</v>
      </c>
      <c r="AI931" t="s">
        <v>22</v>
      </c>
      <c r="AJ931">
        <v>1015</v>
      </c>
      <c r="AK931">
        <v>2932.5</v>
      </c>
      <c r="AL931">
        <v>1000</v>
      </c>
      <c r="AM931">
        <v>0</v>
      </c>
      <c r="AN931">
        <v>2.5</v>
      </c>
      <c r="AO931">
        <v>0</v>
      </c>
      <c r="AP931">
        <v>52.5</v>
      </c>
      <c r="AQ931">
        <v>0</v>
      </c>
      <c r="AR931">
        <v>0</v>
      </c>
      <c r="AS931">
        <v>20</v>
      </c>
      <c r="AT931">
        <v>5022.5</v>
      </c>
      <c r="AU931" t="s">
        <v>34</v>
      </c>
    </row>
    <row r="932" spans="1:47" x14ac:dyDescent="0.2">
      <c r="A932">
        <v>1532</v>
      </c>
      <c r="B932" t="s">
        <v>572</v>
      </c>
      <c r="C932">
        <v>34</v>
      </c>
      <c r="D932" t="s">
        <v>563</v>
      </c>
      <c r="G932" t="str">
        <f t="shared" si="14"/>
        <v>SWL201034UTN6</v>
      </c>
      <c r="H932">
        <v>67.736189999999993</v>
      </c>
      <c r="I932">
        <v>-168.43809999999999</v>
      </c>
      <c r="J932" s="3">
        <v>20100719</v>
      </c>
      <c r="K932">
        <v>2010</v>
      </c>
      <c r="L932">
        <v>2.2953600000000001</v>
      </c>
      <c r="M932">
        <v>19.249919999999999</v>
      </c>
      <c r="N932">
        <v>0.13683000000000001</v>
      </c>
      <c r="O932">
        <v>0</v>
      </c>
      <c r="P932">
        <v>0</v>
      </c>
      <c r="Q932">
        <v>0</v>
      </c>
      <c r="R932">
        <v>1.92632</v>
      </c>
      <c r="S932">
        <v>0</v>
      </c>
      <c r="T932">
        <v>0</v>
      </c>
      <c r="U932">
        <v>8.5999999999999998E-4</v>
      </c>
      <c r="V932">
        <v>23.609290000000001</v>
      </c>
      <c r="W932" t="s">
        <v>10</v>
      </c>
      <c r="X932">
        <v>32.335999999999999</v>
      </c>
      <c r="Y932">
        <v>543.60400000000004</v>
      </c>
      <c r="Z932">
        <v>1.5660000000000001</v>
      </c>
      <c r="AA932">
        <v>0</v>
      </c>
      <c r="AB932">
        <v>0</v>
      </c>
      <c r="AC932">
        <v>0</v>
      </c>
      <c r="AD932">
        <v>31.579000000000001</v>
      </c>
      <c r="AE932">
        <v>0</v>
      </c>
      <c r="AF932">
        <v>0</v>
      </c>
      <c r="AG932">
        <v>3.5999999999999997E-2</v>
      </c>
      <c r="AH932">
        <v>609.12099999999998</v>
      </c>
      <c r="AI932" t="s">
        <v>22</v>
      </c>
      <c r="AJ932">
        <v>502.5</v>
      </c>
      <c r="AK932">
        <v>720</v>
      </c>
      <c r="AL932">
        <v>242.5</v>
      </c>
      <c r="AM932">
        <v>0</v>
      </c>
      <c r="AN932">
        <v>0</v>
      </c>
      <c r="AO932">
        <v>0</v>
      </c>
      <c r="AP932">
        <v>40</v>
      </c>
      <c r="AQ932">
        <v>0</v>
      </c>
      <c r="AR932">
        <v>0</v>
      </c>
      <c r="AS932">
        <v>5</v>
      </c>
      <c r="AT932">
        <v>1510</v>
      </c>
      <c r="AU932" t="s">
        <v>34</v>
      </c>
    </row>
    <row r="933" spans="1:47" x14ac:dyDescent="0.2">
      <c r="A933">
        <v>1533</v>
      </c>
      <c r="B933" t="s">
        <v>572</v>
      </c>
      <c r="C933">
        <v>35</v>
      </c>
      <c r="D933" t="s">
        <v>564</v>
      </c>
      <c r="G933" t="str">
        <f t="shared" si="14"/>
        <v>SWL201035UTN7</v>
      </c>
      <c r="H933">
        <v>68.003754999999998</v>
      </c>
      <c r="I933">
        <v>-168.91691</v>
      </c>
      <c r="J933" s="3">
        <v>20100719</v>
      </c>
      <c r="K933">
        <v>2010</v>
      </c>
      <c r="L933">
        <v>0.73346</v>
      </c>
      <c r="M933">
        <v>6.7504799999999996</v>
      </c>
      <c r="N933">
        <v>10.83253</v>
      </c>
      <c r="O933">
        <v>0</v>
      </c>
      <c r="P933">
        <v>0</v>
      </c>
      <c r="Q933">
        <v>0</v>
      </c>
      <c r="R933">
        <v>1.02657</v>
      </c>
      <c r="S933">
        <v>0</v>
      </c>
      <c r="T933">
        <v>0</v>
      </c>
      <c r="U933">
        <v>8.8900000000000003E-3</v>
      </c>
      <c r="V933">
        <v>19.351929999999999</v>
      </c>
      <c r="W933" t="s">
        <v>11</v>
      </c>
      <c r="X933">
        <v>9.6609999999999996</v>
      </c>
      <c r="Y933">
        <v>193.33</v>
      </c>
      <c r="Z933">
        <v>117.81399999999999</v>
      </c>
      <c r="AA933">
        <v>0</v>
      </c>
      <c r="AB933">
        <v>0</v>
      </c>
      <c r="AC933">
        <v>0</v>
      </c>
      <c r="AD933">
        <v>16.829000000000001</v>
      </c>
      <c r="AE933">
        <v>0</v>
      </c>
      <c r="AF933">
        <v>0</v>
      </c>
      <c r="AG933">
        <v>0.13900000000000001</v>
      </c>
      <c r="AH933">
        <v>337.77300000000002</v>
      </c>
      <c r="AI933" t="s">
        <v>22</v>
      </c>
      <c r="AJ933">
        <v>200</v>
      </c>
      <c r="AK933">
        <v>300</v>
      </c>
      <c r="AL933">
        <v>6207.5</v>
      </c>
      <c r="AM933">
        <v>0</v>
      </c>
      <c r="AN933">
        <v>0</v>
      </c>
      <c r="AO933">
        <v>0</v>
      </c>
      <c r="AP933">
        <v>12.5</v>
      </c>
      <c r="AQ933">
        <v>0</v>
      </c>
      <c r="AR933">
        <v>0</v>
      </c>
      <c r="AS933">
        <v>87.5</v>
      </c>
      <c r="AT933">
        <v>6807.5</v>
      </c>
      <c r="AU933" t="s">
        <v>35</v>
      </c>
    </row>
    <row r="934" spans="1:47" x14ac:dyDescent="0.2">
      <c r="A934">
        <v>1534</v>
      </c>
      <c r="B934" t="s">
        <v>572</v>
      </c>
      <c r="C934" t="s">
        <v>573</v>
      </c>
      <c r="D934" s="4" t="s">
        <v>375</v>
      </c>
      <c r="E934" t="s">
        <v>200</v>
      </c>
      <c r="F934" s="4" t="s">
        <v>375</v>
      </c>
      <c r="G934" t="str">
        <f t="shared" si="14"/>
        <v>SWL2010COMIDA10-50BarC5</v>
      </c>
      <c r="H934">
        <v>71.413799999999995</v>
      </c>
      <c r="I934">
        <v>-157.49090000000001</v>
      </c>
      <c r="J934" s="3">
        <v>20100811</v>
      </c>
      <c r="K934">
        <v>2010</v>
      </c>
      <c r="L934">
        <v>6.7809999999999997</v>
      </c>
      <c r="M934">
        <v>84.466139999999996</v>
      </c>
      <c r="N934">
        <v>2.0989</v>
      </c>
      <c r="O934">
        <v>31.440770000000001</v>
      </c>
      <c r="P934">
        <v>2.8513500000000001</v>
      </c>
      <c r="Q934">
        <v>0</v>
      </c>
      <c r="R934">
        <v>2.1010900000000001</v>
      </c>
      <c r="S934">
        <v>0</v>
      </c>
      <c r="T934">
        <v>2.7180200000000001</v>
      </c>
      <c r="U934">
        <v>1.0748800000000001</v>
      </c>
      <c r="V934">
        <v>133.53215</v>
      </c>
      <c r="W934" t="s">
        <v>10</v>
      </c>
      <c r="X934">
        <v>100.504</v>
      </c>
      <c r="Y934">
        <v>2993.136</v>
      </c>
      <c r="Z934">
        <v>27.831</v>
      </c>
      <c r="AA934">
        <v>698.68399999999997</v>
      </c>
      <c r="AB934">
        <v>203.66800000000001</v>
      </c>
      <c r="AC934">
        <v>0</v>
      </c>
      <c r="AD934">
        <v>34.444000000000003</v>
      </c>
      <c r="AE934">
        <v>0</v>
      </c>
      <c r="AF934">
        <v>29.225999999999999</v>
      </c>
      <c r="AG934">
        <v>50.878</v>
      </c>
      <c r="AH934">
        <v>4138.3710000000001</v>
      </c>
      <c r="AI934" t="s">
        <v>22</v>
      </c>
      <c r="AJ934">
        <v>5395</v>
      </c>
      <c r="AK934">
        <v>4787.5</v>
      </c>
      <c r="AL934">
        <v>7845</v>
      </c>
      <c r="AM934">
        <v>1282.5</v>
      </c>
      <c r="AN934">
        <v>320</v>
      </c>
      <c r="AO934">
        <v>0</v>
      </c>
      <c r="AP934">
        <v>2.5</v>
      </c>
      <c r="AQ934">
        <v>0</v>
      </c>
      <c r="AR934">
        <v>82.5</v>
      </c>
      <c r="AS934">
        <v>65</v>
      </c>
      <c r="AT934">
        <v>19780</v>
      </c>
      <c r="AU934" t="s">
        <v>35</v>
      </c>
    </row>
    <row r="935" spans="1:47" x14ac:dyDescent="0.2">
      <c r="A935">
        <v>1670</v>
      </c>
      <c r="B935" t="s">
        <v>583</v>
      </c>
      <c r="C935">
        <v>1</v>
      </c>
      <c r="D935" t="s">
        <v>51</v>
      </c>
      <c r="G935" t="str">
        <f t="shared" si="14"/>
        <v>WWW10021BF001</v>
      </c>
      <c r="H935">
        <v>71.119</v>
      </c>
      <c r="I935">
        <v>-163.80000000000001</v>
      </c>
      <c r="J935" s="3">
        <v>20100819</v>
      </c>
      <c r="K935">
        <v>2010</v>
      </c>
      <c r="L935">
        <v>7.43126</v>
      </c>
      <c r="M935">
        <v>1.11772</v>
      </c>
      <c r="N935">
        <v>9.665E-2</v>
      </c>
      <c r="O935">
        <v>6.8399999999999997E-3</v>
      </c>
      <c r="P935">
        <v>0.17668</v>
      </c>
      <c r="Q935">
        <v>0</v>
      </c>
      <c r="R935">
        <v>4.5749999999999999E-2</v>
      </c>
      <c r="S935">
        <v>0</v>
      </c>
      <c r="T935">
        <v>1.5810000000000001E-2</v>
      </c>
      <c r="U935">
        <v>3.3309999999999999E-2</v>
      </c>
      <c r="V935">
        <v>8.9240200000000005</v>
      </c>
      <c r="W935" t="s">
        <v>9</v>
      </c>
      <c r="X935">
        <v>105.81</v>
      </c>
      <c r="Y935">
        <v>67.159000000000006</v>
      </c>
      <c r="Z935">
        <v>1.3260000000000001</v>
      </c>
      <c r="AA935">
        <v>0.152</v>
      </c>
      <c r="AB935">
        <v>12.62</v>
      </c>
      <c r="AC935">
        <v>0</v>
      </c>
      <c r="AD935">
        <v>0.75</v>
      </c>
      <c r="AE935">
        <v>0</v>
      </c>
      <c r="AF935">
        <v>0.17</v>
      </c>
      <c r="AG935">
        <v>1.4610000000000001</v>
      </c>
      <c r="AH935">
        <v>189.44800000000001</v>
      </c>
      <c r="AI935" t="s">
        <v>21</v>
      </c>
      <c r="AJ935">
        <v>840</v>
      </c>
      <c r="AK935">
        <v>156.66499999999999</v>
      </c>
      <c r="AL935">
        <v>533.33399999999995</v>
      </c>
      <c r="AM935">
        <v>30</v>
      </c>
      <c r="AN935">
        <v>60</v>
      </c>
      <c r="AO935">
        <v>0</v>
      </c>
      <c r="AP935">
        <v>10</v>
      </c>
      <c r="AQ935">
        <v>0</v>
      </c>
      <c r="AR935">
        <v>10</v>
      </c>
      <c r="AS935">
        <v>56.665999999999997</v>
      </c>
      <c r="AT935">
        <v>1696.665</v>
      </c>
      <c r="AU935" t="s">
        <v>33</v>
      </c>
    </row>
    <row r="936" spans="1:47" x14ac:dyDescent="0.2">
      <c r="A936">
        <v>1671</v>
      </c>
      <c r="B936" t="s">
        <v>583</v>
      </c>
      <c r="C936">
        <v>10</v>
      </c>
      <c r="D936" t="s">
        <v>60</v>
      </c>
      <c r="G936" t="str">
        <f t="shared" si="14"/>
        <v>WWW100210BF019</v>
      </c>
      <c r="H936">
        <v>71.483000000000004</v>
      </c>
      <c r="I936">
        <v>-162.60400000000001</v>
      </c>
      <c r="J936" s="3">
        <v>20100817</v>
      </c>
      <c r="K936">
        <v>2010</v>
      </c>
      <c r="L936">
        <v>6.7355799999999997</v>
      </c>
      <c r="M936">
        <v>5.1496399999999998</v>
      </c>
      <c r="N936">
        <v>0.38766</v>
      </c>
      <c r="O936">
        <v>7.5600000000000001E-2</v>
      </c>
      <c r="P936">
        <v>8.0920000000000006E-2</v>
      </c>
      <c r="Q936">
        <v>0</v>
      </c>
      <c r="R936">
        <v>0.23649999999999999</v>
      </c>
      <c r="S936">
        <v>0</v>
      </c>
      <c r="T936">
        <v>0.50499000000000005</v>
      </c>
      <c r="U936">
        <v>0.38736999999999999</v>
      </c>
      <c r="V936">
        <v>13.558260000000001</v>
      </c>
      <c r="W936" t="s">
        <v>9</v>
      </c>
      <c r="X936">
        <v>96.143000000000001</v>
      </c>
      <c r="Y936">
        <v>145.702</v>
      </c>
      <c r="Z936">
        <v>5.6740000000000004</v>
      </c>
      <c r="AA936">
        <v>1.68</v>
      </c>
      <c r="AB936">
        <v>5.78</v>
      </c>
      <c r="AC936">
        <v>0</v>
      </c>
      <c r="AD936">
        <v>3.8769999999999998</v>
      </c>
      <c r="AE936">
        <v>0</v>
      </c>
      <c r="AF936">
        <v>5.43</v>
      </c>
      <c r="AG936">
        <v>10.573</v>
      </c>
      <c r="AH936">
        <v>274.85899999999998</v>
      </c>
      <c r="AI936" t="s">
        <v>22</v>
      </c>
      <c r="AJ936">
        <v>3923.3330000000001</v>
      </c>
      <c r="AK936">
        <v>293.33199999999999</v>
      </c>
      <c r="AL936">
        <v>169.99799999999999</v>
      </c>
      <c r="AM936">
        <v>23.332999999999998</v>
      </c>
      <c r="AN936">
        <v>10</v>
      </c>
      <c r="AO936">
        <v>0</v>
      </c>
      <c r="AP936">
        <v>16.667000000000002</v>
      </c>
      <c r="AQ936">
        <v>0</v>
      </c>
      <c r="AR936">
        <v>20</v>
      </c>
      <c r="AS936">
        <v>73.332999999999998</v>
      </c>
      <c r="AT936">
        <v>4529.9960000000001</v>
      </c>
      <c r="AU936" t="s">
        <v>33</v>
      </c>
    </row>
    <row r="937" spans="1:47" x14ac:dyDescent="0.2">
      <c r="A937">
        <v>1672</v>
      </c>
      <c r="B937" t="s">
        <v>583</v>
      </c>
      <c r="C937">
        <v>11</v>
      </c>
      <c r="D937" s="4" t="s">
        <v>780</v>
      </c>
      <c r="E937" s="4" t="s">
        <v>780</v>
      </c>
      <c r="F937" s="4" t="s">
        <v>61</v>
      </c>
      <c r="G937" t="str">
        <f t="shared" si="14"/>
        <v>WWW100211DBO4.6</v>
      </c>
      <c r="H937">
        <v>71.617000000000004</v>
      </c>
      <c r="I937">
        <v>-163.774</v>
      </c>
      <c r="J937" s="3">
        <v>20100821</v>
      </c>
      <c r="K937">
        <v>2010</v>
      </c>
      <c r="L937">
        <v>9.1727699999999999</v>
      </c>
      <c r="M937">
        <v>1.57765</v>
      </c>
      <c r="N937">
        <v>0.88458000000000003</v>
      </c>
      <c r="O937">
        <v>9.0000000000000006E-5</v>
      </c>
      <c r="P937">
        <v>0.10342999999999999</v>
      </c>
      <c r="Q937">
        <v>0</v>
      </c>
      <c r="R937">
        <v>0</v>
      </c>
      <c r="S937">
        <v>0</v>
      </c>
      <c r="T937">
        <v>3.0051100000000002</v>
      </c>
      <c r="U937">
        <v>5.9619999999999999E-2</v>
      </c>
      <c r="V937">
        <v>14.80325</v>
      </c>
      <c r="W937" t="s">
        <v>9</v>
      </c>
      <c r="X937">
        <v>132.16999999999999</v>
      </c>
      <c r="Y937">
        <v>43.338999999999999</v>
      </c>
      <c r="Z937">
        <v>12.906000000000001</v>
      </c>
      <c r="AA937">
        <v>2E-3</v>
      </c>
      <c r="AB937">
        <v>7.3879999999999999</v>
      </c>
      <c r="AC937">
        <v>0</v>
      </c>
      <c r="AD937">
        <v>0</v>
      </c>
      <c r="AE937">
        <v>0</v>
      </c>
      <c r="AF937">
        <v>32.313000000000002</v>
      </c>
      <c r="AG937">
        <v>1.0509999999999999</v>
      </c>
      <c r="AH937">
        <v>229.16900000000001</v>
      </c>
      <c r="AI937" t="s">
        <v>21</v>
      </c>
      <c r="AJ937">
        <v>639.99800000000005</v>
      </c>
      <c r="AK937">
        <v>196.666</v>
      </c>
      <c r="AL937">
        <v>113.333</v>
      </c>
      <c r="AM937">
        <v>3.3330000000000002</v>
      </c>
      <c r="AN937">
        <v>23.332999999999998</v>
      </c>
      <c r="AO937">
        <v>0</v>
      </c>
      <c r="AP937">
        <v>0</v>
      </c>
      <c r="AQ937">
        <v>0</v>
      </c>
      <c r="AR937">
        <v>3.3330000000000002</v>
      </c>
      <c r="AS937">
        <v>30</v>
      </c>
      <c r="AT937">
        <v>1009.996</v>
      </c>
      <c r="AU937" t="s">
        <v>33</v>
      </c>
    </row>
    <row r="938" spans="1:47" x14ac:dyDescent="0.2">
      <c r="A938">
        <v>1673</v>
      </c>
      <c r="B938" t="s">
        <v>583</v>
      </c>
      <c r="C938">
        <v>12</v>
      </c>
      <c r="D938" t="s">
        <v>62</v>
      </c>
      <c r="G938" t="str">
        <f t="shared" si="14"/>
        <v>WWW100212BF023</v>
      </c>
      <c r="H938">
        <v>71.61</v>
      </c>
      <c r="I938">
        <v>-162.983</v>
      </c>
      <c r="J938" s="3">
        <v>20100817</v>
      </c>
      <c r="K938">
        <v>2010</v>
      </c>
      <c r="L938">
        <v>2.1413799999999998</v>
      </c>
      <c r="M938">
        <v>6.0998200000000002</v>
      </c>
      <c r="N938">
        <v>0.13381999999999999</v>
      </c>
      <c r="O938">
        <v>1.49E-3</v>
      </c>
      <c r="P938">
        <v>0.27238000000000001</v>
      </c>
      <c r="Q938">
        <v>0</v>
      </c>
      <c r="R938">
        <v>0</v>
      </c>
      <c r="S938">
        <v>0</v>
      </c>
      <c r="T938">
        <v>6.9099999999999995E-2</v>
      </c>
      <c r="U938">
        <v>3.2039999999999999E-2</v>
      </c>
      <c r="V938">
        <v>8.7500300000000006</v>
      </c>
      <c r="W938" t="s">
        <v>10</v>
      </c>
      <c r="X938">
        <v>29.812999999999999</v>
      </c>
      <c r="Y938">
        <v>195.49600000000001</v>
      </c>
      <c r="Z938">
        <v>1.9059999999999999</v>
      </c>
      <c r="AA938">
        <v>3.3000000000000002E-2</v>
      </c>
      <c r="AB938">
        <v>19.456</v>
      </c>
      <c r="AC938">
        <v>0</v>
      </c>
      <c r="AD938">
        <v>0</v>
      </c>
      <c r="AE938">
        <v>0</v>
      </c>
      <c r="AF938">
        <v>0.74299999999999999</v>
      </c>
      <c r="AG938">
        <v>0.79100000000000004</v>
      </c>
      <c r="AH938">
        <v>248.238</v>
      </c>
      <c r="AI938" t="s">
        <v>22</v>
      </c>
      <c r="AJ938">
        <v>703.33299999999997</v>
      </c>
      <c r="AK938">
        <v>299.99900000000002</v>
      </c>
      <c r="AL938">
        <v>83.331999999999994</v>
      </c>
      <c r="AM938">
        <v>3.3330000000000002</v>
      </c>
      <c r="AN938">
        <v>13.334</v>
      </c>
      <c r="AO938">
        <v>0</v>
      </c>
      <c r="AP938">
        <v>0</v>
      </c>
      <c r="AQ938">
        <v>0</v>
      </c>
      <c r="AR938">
        <v>6.6669999999999998</v>
      </c>
      <c r="AS938">
        <v>30</v>
      </c>
      <c r="AT938">
        <v>1139.998</v>
      </c>
      <c r="AU938" t="s">
        <v>33</v>
      </c>
    </row>
    <row r="939" spans="1:47" x14ac:dyDescent="0.2">
      <c r="A939">
        <v>1674</v>
      </c>
      <c r="B939" t="s">
        <v>583</v>
      </c>
      <c r="C939">
        <v>13</v>
      </c>
      <c r="D939" t="s">
        <v>63</v>
      </c>
      <c r="G939" t="str">
        <f t="shared" si="14"/>
        <v>WWW100213BF025</v>
      </c>
      <c r="H939">
        <v>71.600999999999999</v>
      </c>
      <c r="I939">
        <v>-162.19200000000001</v>
      </c>
      <c r="J939" s="3">
        <v>20100816</v>
      </c>
      <c r="K939">
        <v>2010</v>
      </c>
      <c r="L939">
        <v>0.48536000000000001</v>
      </c>
      <c r="M939">
        <v>9.1120400000000004</v>
      </c>
      <c r="N939">
        <v>0.17318</v>
      </c>
      <c r="O939">
        <v>0</v>
      </c>
      <c r="P939">
        <v>0</v>
      </c>
      <c r="Q939">
        <v>0</v>
      </c>
      <c r="R939">
        <v>0</v>
      </c>
      <c r="S939">
        <v>3.3600000000000001E-3</v>
      </c>
      <c r="T939">
        <v>2.511E-2</v>
      </c>
      <c r="U939">
        <v>4.4139999999999999E-2</v>
      </c>
      <c r="V939">
        <v>9.8431899999999999</v>
      </c>
      <c r="W939" t="s">
        <v>10</v>
      </c>
      <c r="X939">
        <v>6.84</v>
      </c>
      <c r="Y939">
        <v>262.84899999999999</v>
      </c>
      <c r="Z939">
        <v>2.4470000000000001</v>
      </c>
      <c r="AA939">
        <v>0</v>
      </c>
      <c r="AB939">
        <v>0</v>
      </c>
      <c r="AC939">
        <v>0</v>
      </c>
      <c r="AD939">
        <v>0</v>
      </c>
      <c r="AE939">
        <v>0.24</v>
      </c>
      <c r="AF939">
        <v>0.27</v>
      </c>
      <c r="AG939">
        <v>1.149</v>
      </c>
      <c r="AH939">
        <v>273.79500000000002</v>
      </c>
      <c r="AI939" t="s">
        <v>22</v>
      </c>
      <c r="AJ939">
        <v>289.99900000000002</v>
      </c>
      <c r="AK939">
        <v>306.666</v>
      </c>
      <c r="AL939">
        <v>20</v>
      </c>
      <c r="AM939">
        <v>0</v>
      </c>
      <c r="AN939">
        <v>0</v>
      </c>
      <c r="AO939">
        <v>0</v>
      </c>
      <c r="AP939">
        <v>0</v>
      </c>
      <c r="AQ939">
        <v>3.3330000000000002</v>
      </c>
      <c r="AR939">
        <v>6.6669999999999998</v>
      </c>
      <c r="AS939">
        <v>23.332999999999998</v>
      </c>
      <c r="AT939">
        <v>649.99800000000005</v>
      </c>
      <c r="AU939" t="s">
        <v>34</v>
      </c>
    </row>
    <row r="940" spans="1:47" x14ac:dyDescent="0.2">
      <c r="A940">
        <v>1675</v>
      </c>
      <c r="B940" t="s">
        <v>583</v>
      </c>
      <c r="C940">
        <v>14</v>
      </c>
      <c r="D940" t="s">
        <v>65</v>
      </c>
      <c r="G940" t="str">
        <f t="shared" si="14"/>
        <v>WWW100214BR005</v>
      </c>
      <c r="H940">
        <v>71.585999999999999</v>
      </c>
      <c r="I940">
        <v>-163.05799999999999</v>
      </c>
      <c r="J940" s="3">
        <v>20100817</v>
      </c>
      <c r="K940">
        <v>2010</v>
      </c>
      <c r="L940">
        <v>1.13313</v>
      </c>
      <c r="M940">
        <v>4.3970700000000003</v>
      </c>
      <c r="N940">
        <v>2.3609999999999999E-2</v>
      </c>
      <c r="O940">
        <v>1.3999999999999999E-4</v>
      </c>
      <c r="P940">
        <v>5.978E-2</v>
      </c>
      <c r="Q940">
        <v>0</v>
      </c>
      <c r="R940">
        <v>0</v>
      </c>
      <c r="S940">
        <v>9.0300000000000005E-2</v>
      </c>
      <c r="T940">
        <v>3.1899999999999998E-2</v>
      </c>
      <c r="U940">
        <v>7.4999999999999997E-3</v>
      </c>
      <c r="V940">
        <v>5.74343</v>
      </c>
      <c r="W940" t="s">
        <v>10</v>
      </c>
      <c r="X940">
        <v>15.813000000000001</v>
      </c>
      <c r="Y940">
        <v>177.92099999999999</v>
      </c>
      <c r="Z940">
        <v>0.34300000000000003</v>
      </c>
      <c r="AA940">
        <v>3.0000000000000001E-3</v>
      </c>
      <c r="AB940">
        <v>4.2699999999999996</v>
      </c>
      <c r="AC940">
        <v>0</v>
      </c>
      <c r="AD940">
        <v>0</v>
      </c>
      <c r="AE940">
        <v>6.45</v>
      </c>
      <c r="AF940">
        <v>0.34300000000000003</v>
      </c>
      <c r="AG940">
        <v>0.42299999999999999</v>
      </c>
      <c r="AH940">
        <v>205.566</v>
      </c>
      <c r="AI940" t="s">
        <v>22</v>
      </c>
      <c r="AJ940">
        <v>570</v>
      </c>
      <c r="AK940">
        <v>219.999</v>
      </c>
      <c r="AL940">
        <v>33.332000000000001</v>
      </c>
      <c r="AM940">
        <v>3.3330000000000002</v>
      </c>
      <c r="AN940">
        <v>3.3330000000000002</v>
      </c>
      <c r="AO940">
        <v>0</v>
      </c>
      <c r="AP940">
        <v>0</v>
      </c>
      <c r="AQ940">
        <v>3.3330000000000002</v>
      </c>
      <c r="AR940">
        <v>0</v>
      </c>
      <c r="AS940">
        <v>19.998999999999999</v>
      </c>
      <c r="AT940">
        <v>853.32899999999995</v>
      </c>
      <c r="AU940" t="s">
        <v>33</v>
      </c>
    </row>
    <row r="941" spans="1:47" x14ac:dyDescent="0.2">
      <c r="A941">
        <v>1676</v>
      </c>
      <c r="B941" t="s">
        <v>583</v>
      </c>
      <c r="C941">
        <v>15</v>
      </c>
      <c r="D941" t="s">
        <v>66</v>
      </c>
      <c r="G941" t="str">
        <f t="shared" si="14"/>
        <v>WWW100215BR016</v>
      </c>
      <c r="H941">
        <v>71.536000000000001</v>
      </c>
      <c r="I941">
        <v>-162.91399999999999</v>
      </c>
      <c r="J941" s="3">
        <v>20100817</v>
      </c>
      <c r="K941">
        <v>2010</v>
      </c>
      <c r="L941">
        <v>1.53589</v>
      </c>
      <c r="M941">
        <v>6.1447500000000002</v>
      </c>
      <c r="N941">
        <v>0.38486999999999999</v>
      </c>
      <c r="O941">
        <v>0.37873000000000001</v>
      </c>
      <c r="P941">
        <v>0.107</v>
      </c>
      <c r="Q941">
        <v>0</v>
      </c>
      <c r="R941">
        <v>0</v>
      </c>
      <c r="S941">
        <v>0</v>
      </c>
      <c r="T941">
        <v>2.911E-2</v>
      </c>
      <c r="U941">
        <v>2.009E-2</v>
      </c>
      <c r="V941">
        <v>8.6004400000000008</v>
      </c>
      <c r="W941" t="s">
        <v>10</v>
      </c>
      <c r="X941">
        <v>21.454999999999998</v>
      </c>
      <c r="Y941">
        <v>219.67599999999999</v>
      </c>
      <c r="Z941">
        <v>5.5030000000000001</v>
      </c>
      <c r="AA941">
        <v>8.4160000000000004</v>
      </c>
      <c r="AB941">
        <v>7.6429999999999998</v>
      </c>
      <c r="AC941">
        <v>0</v>
      </c>
      <c r="AD941">
        <v>0</v>
      </c>
      <c r="AE941">
        <v>0</v>
      </c>
      <c r="AF941">
        <v>0.313</v>
      </c>
      <c r="AG941">
        <v>0.44</v>
      </c>
      <c r="AH941">
        <v>263.44600000000003</v>
      </c>
      <c r="AI941" t="s">
        <v>22</v>
      </c>
      <c r="AJ941">
        <v>146.66800000000001</v>
      </c>
      <c r="AK941">
        <v>269.99900000000002</v>
      </c>
      <c r="AL941">
        <v>143.334</v>
      </c>
      <c r="AM941">
        <v>16.667000000000002</v>
      </c>
      <c r="AN941">
        <v>3.3330000000000002</v>
      </c>
      <c r="AO941">
        <v>0</v>
      </c>
      <c r="AP941">
        <v>0</v>
      </c>
      <c r="AQ941">
        <v>0</v>
      </c>
      <c r="AR941">
        <v>6.6669999999999998</v>
      </c>
      <c r="AS941">
        <v>13.333</v>
      </c>
      <c r="AT941">
        <v>600.00099999999998</v>
      </c>
      <c r="AU941" t="s">
        <v>34</v>
      </c>
    </row>
    <row r="942" spans="1:47" x14ac:dyDescent="0.2">
      <c r="A942">
        <v>1677</v>
      </c>
      <c r="B942" t="s">
        <v>583</v>
      </c>
      <c r="C942">
        <v>16</v>
      </c>
      <c r="D942" t="s">
        <v>67</v>
      </c>
      <c r="G942" t="str">
        <f t="shared" si="14"/>
        <v>WWW100216BR020</v>
      </c>
      <c r="H942">
        <v>71.528999999999996</v>
      </c>
      <c r="I942">
        <v>-162.286</v>
      </c>
      <c r="J942" s="3">
        <v>20100816</v>
      </c>
      <c r="K942">
        <v>2010</v>
      </c>
      <c r="L942">
        <v>1.3429199999999999</v>
      </c>
      <c r="M942">
        <v>5.0393999999999997</v>
      </c>
      <c r="N942">
        <v>2.23149</v>
      </c>
      <c r="O942">
        <v>5.9180000000000003E-2</v>
      </c>
      <c r="P942">
        <v>1E-4</v>
      </c>
      <c r="Q942">
        <v>0</v>
      </c>
      <c r="R942">
        <v>0</v>
      </c>
      <c r="S942">
        <v>0.27705999999999997</v>
      </c>
      <c r="T942">
        <v>0.11383</v>
      </c>
      <c r="U942">
        <v>6.9699999999999998E-2</v>
      </c>
      <c r="V942">
        <v>9.13368</v>
      </c>
      <c r="W942" t="s">
        <v>10</v>
      </c>
      <c r="X942">
        <v>19.178999999999998</v>
      </c>
      <c r="Y942">
        <v>161.76300000000001</v>
      </c>
      <c r="Z942">
        <v>32.241999999999997</v>
      </c>
      <c r="AA942">
        <v>1.3149999999999999</v>
      </c>
      <c r="AB942">
        <v>7.0000000000000001E-3</v>
      </c>
      <c r="AC942">
        <v>0</v>
      </c>
      <c r="AD942">
        <v>0</v>
      </c>
      <c r="AE942">
        <v>19.79</v>
      </c>
      <c r="AF942">
        <v>1.224</v>
      </c>
      <c r="AG942">
        <v>2.0990000000000002</v>
      </c>
      <c r="AH942">
        <v>237.619</v>
      </c>
      <c r="AI942" t="s">
        <v>22</v>
      </c>
      <c r="AJ942">
        <v>710.00099999999998</v>
      </c>
      <c r="AK942">
        <v>306.66800000000001</v>
      </c>
      <c r="AL942">
        <v>990</v>
      </c>
      <c r="AM942">
        <v>16.666</v>
      </c>
      <c r="AN942">
        <v>3.3330000000000002</v>
      </c>
      <c r="AO942">
        <v>0</v>
      </c>
      <c r="AP942">
        <v>0</v>
      </c>
      <c r="AQ942">
        <v>6.6669999999999998</v>
      </c>
      <c r="AR942">
        <v>10</v>
      </c>
      <c r="AS942">
        <v>36.665999999999997</v>
      </c>
      <c r="AT942">
        <v>2080.0010000000002</v>
      </c>
      <c r="AU942" t="s">
        <v>35</v>
      </c>
    </row>
    <row r="943" spans="1:47" x14ac:dyDescent="0.2">
      <c r="A943">
        <v>1678</v>
      </c>
      <c r="B943" t="s">
        <v>583</v>
      </c>
      <c r="C943">
        <v>17</v>
      </c>
      <c r="D943" t="s">
        <v>68</v>
      </c>
      <c r="G943" t="str">
        <f t="shared" si="14"/>
        <v>WWW100217BR032</v>
      </c>
      <c r="H943">
        <v>71.441000000000003</v>
      </c>
      <c r="I943">
        <v>-163.55199999999999</v>
      </c>
      <c r="J943" s="3">
        <v>20100820</v>
      </c>
      <c r="K943">
        <v>2010</v>
      </c>
      <c r="L943">
        <v>5.6105200000000002</v>
      </c>
      <c r="M943">
        <v>3.1188199999999999</v>
      </c>
      <c r="N943">
        <v>6.3259999999999997E-2</v>
      </c>
      <c r="O943">
        <v>6.9363099999999998</v>
      </c>
      <c r="P943">
        <v>0.15956999999999999</v>
      </c>
      <c r="Q943">
        <v>0</v>
      </c>
      <c r="R943">
        <v>0.69467999999999996</v>
      </c>
      <c r="S943">
        <v>0</v>
      </c>
      <c r="T943">
        <v>0.81774999999999998</v>
      </c>
      <c r="U943">
        <v>4.1529999999999997E-2</v>
      </c>
      <c r="V943">
        <v>17.442440000000001</v>
      </c>
      <c r="W943" t="s">
        <v>12</v>
      </c>
      <c r="X943">
        <v>79.585999999999999</v>
      </c>
      <c r="Y943">
        <v>168.60900000000001</v>
      </c>
      <c r="Z943">
        <v>0.86899999999999999</v>
      </c>
      <c r="AA943">
        <v>154.13999999999999</v>
      </c>
      <c r="AB943">
        <v>11.398</v>
      </c>
      <c r="AC943">
        <v>0</v>
      </c>
      <c r="AD943">
        <v>17.367000000000001</v>
      </c>
      <c r="AE943">
        <v>0</v>
      </c>
      <c r="AF943">
        <v>8.7929999999999993</v>
      </c>
      <c r="AG943">
        <v>0.92500000000000004</v>
      </c>
      <c r="AH943">
        <v>441.68700000000001</v>
      </c>
      <c r="AI943" t="s">
        <v>22</v>
      </c>
      <c r="AJ943">
        <v>700</v>
      </c>
      <c r="AK943">
        <v>183.33199999999999</v>
      </c>
      <c r="AL943">
        <v>253.333</v>
      </c>
      <c r="AM943">
        <v>73.332999999999998</v>
      </c>
      <c r="AN943">
        <v>30</v>
      </c>
      <c r="AO943">
        <v>0</v>
      </c>
      <c r="AP943">
        <v>3.3330000000000002</v>
      </c>
      <c r="AQ943">
        <v>0</v>
      </c>
      <c r="AR943">
        <v>23.332999999999998</v>
      </c>
      <c r="AS943">
        <v>53.332000000000001</v>
      </c>
      <c r="AT943">
        <v>1319.9960000000001</v>
      </c>
      <c r="AU943" t="s">
        <v>33</v>
      </c>
    </row>
    <row r="944" spans="1:47" x14ac:dyDescent="0.2">
      <c r="A944">
        <v>1679</v>
      </c>
      <c r="B944" t="s">
        <v>583</v>
      </c>
      <c r="C944">
        <v>18</v>
      </c>
      <c r="D944" t="s">
        <v>69</v>
      </c>
      <c r="G944" t="str">
        <f t="shared" si="14"/>
        <v>WWW100218BR038</v>
      </c>
      <c r="H944">
        <v>71.432000000000002</v>
      </c>
      <c r="I944">
        <v>-162.61799999999999</v>
      </c>
      <c r="J944" s="3">
        <v>20100817</v>
      </c>
      <c r="K944">
        <v>2010</v>
      </c>
      <c r="L944">
        <v>5.0921500000000002</v>
      </c>
      <c r="M944">
        <v>8.3476499999999998</v>
      </c>
      <c r="N944">
        <v>8.9039999999999994E-2</v>
      </c>
      <c r="O944">
        <v>0.16200000000000001</v>
      </c>
      <c r="P944">
        <v>6.9059999999999996E-2</v>
      </c>
      <c r="Q944">
        <v>0</v>
      </c>
      <c r="R944">
        <v>0.17916000000000001</v>
      </c>
      <c r="S944">
        <v>0</v>
      </c>
      <c r="T944">
        <v>0.30997000000000002</v>
      </c>
      <c r="U944">
        <v>0.18517</v>
      </c>
      <c r="V944">
        <v>14.434200000000001</v>
      </c>
      <c r="W944" t="s">
        <v>10</v>
      </c>
      <c r="X944">
        <v>75.111000000000004</v>
      </c>
      <c r="Y944">
        <v>238.36799999999999</v>
      </c>
      <c r="Z944">
        <v>1.2350000000000001</v>
      </c>
      <c r="AA944">
        <v>3.6</v>
      </c>
      <c r="AB944">
        <v>4.9329999999999998</v>
      </c>
      <c r="AC944">
        <v>0</v>
      </c>
      <c r="AD944">
        <v>2.9369999999999998</v>
      </c>
      <c r="AE944">
        <v>0</v>
      </c>
      <c r="AF944">
        <v>3.3330000000000002</v>
      </c>
      <c r="AG944">
        <v>5.4829999999999997</v>
      </c>
      <c r="AH944">
        <v>335</v>
      </c>
      <c r="AI944" t="s">
        <v>22</v>
      </c>
      <c r="AJ944">
        <v>2206.6660000000002</v>
      </c>
      <c r="AK944">
        <v>349.99900000000002</v>
      </c>
      <c r="AL944">
        <v>103.33199999999999</v>
      </c>
      <c r="AM944">
        <v>23.332999999999998</v>
      </c>
      <c r="AN944">
        <v>3.3330000000000002</v>
      </c>
      <c r="AO944">
        <v>0</v>
      </c>
      <c r="AP944">
        <v>3.3330000000000002</v>
      </c>
      <c r="AQ944">
        <v>0</v>
      </c>
      <c r="AR944">
        <v>10</v>
      </c>
      <c r="AS944">
        <v>63.334000000000003</v>
      </c>
      <c r="AT944">
        <v>2763.33</v>
      </c>
      <c r="AU944" t="s">
        <v>33</v>
      </c>
    </row>
    <row r="945" spans="1:47" x14ac:dyDescent="0.2">
      <c r="A945">
        <v>1680</v>
      </c>
      <c r="B945" t="s">
        <v>583</v>
      </c>
      <c r="C945">
        <v>19</v>
      </c>
      <c r="D945" t="s">
        <v>70</v>
      </c>
      <c r="G945" t="str">
        <f t="shared" si="14"/>
        <v>WWW100219BR043</v>
      </c>
      <c r="H945">
        <v>71.39</v>
      </c>
      <c r="I945">
        <v>-163.398</v>
      </c>
      <c r="J945" s="3">
        <v>20100820</v>
      </c>
      <c r="K945">
        <v>2010</v>
      </c>
      <c r="L945">
        <v>3.8027199999999999</v>
      </c>
      <c r="M945">
        <v>2.48109</v>
      </c>
      <c r="N945">
        <v>0.35194999999999999</v>
      </c>
      <c r="O945">
        <v>0</v>
      </c>
      <c r="P945">
        <v>0.13563</v>
      </c>
      <c r="Q945">
        <v>0</v>
      </c>
      <c r="R945">
        <v>0.29871999999999999</v>
      </c>
      <c r="S945">
        <v>0</v>
      </c>
      <c r="T945">
        <v>6.6960000000000006E-2</v>
      </c>
      <c r="U945">
        <v>2.8029999999999999E-2</v>
      </c>
      <c r="V945">
        <v>7.1650999999999998</v>
      </c>
      <c r="W945" t="s">
        <v>9</v>
      </c>
      <c r="X945">
        <v>57.923999999999999</v>
      </c>
      <c r="Y945">
        <v>77.55</v>
      </c>
      <c r="Z945">
        <v>4.9400000000000004</v>
      </c>
      <c r="AA945">
        <v>0</v>
      </c>
      <c r="AB945">
        <v>9.6880000000000006</v>
      </c>
      <c r="AC945">
        <v>0</v>
      </c>
      <c r="AD945">
        <v>4.8970000000000002</v>
      </c>
      <c r="AE945">
        <v>0</v>
      </c>
      <c r="AF945">
        <v>0.72</v>
      </c>
      <c r="AG945">
        <v>0.54200000000000004</v>
      </c>
      <c r="AH945">
        <v>156.261</v>
      </c>
      <c r="AI945" t="s">
        <v>22</v>
      </c>
      <c r="AJ945">
        <v>1570.001</v>
      </c>
      <c r="AK945">
        <v>209.99799999999999</v>
      </c>
      <c r="AL945">
        <v>390.00099999999998</v>
      </c>
      <c r="AM945">
        <v>0</v>
      </c>
      <c r="AN945">
        <v>26.667000000000002</v>
      </c>
      <c r="AO945">
        <v>0</v>
      </c>
      <c r="AP945">
        <v>3.3330000000000002</v>
      </c>
      <c r="AQ945">
        <v>0</v>
      </c>
      <c r="AR945">
        <v>3.3330000000000002</v>
      </c>
      <c r="AS945">
        <v>43.334000000000003</v>
      </c>
      <c r="AT945">
        <v>2246.6669999999999</v>
      </c>
      <c r="AU945" t="s">
        <v>33</v>
      </c>
    </row>
    <row r="946" spans="1:47" x14ac:dyDescent="0.2">
      <c r="A946">
        <v>1681</v>
      </c>
      <c r="B946" t="s">
        <v>583</v>
      </c>
      <c r="C946">
        <v>2</v>
      </c>
      <c r="D946" t="s">
        <v>52</v>
      </c>
      <c r="G946" t="str">
        <f t="shared" si="14"/>
        <v>WWW10022BF003</v>
      </c>
      <c r="H946">
        <v>71.111999999999995</v>
      </c>
      <c r="I946">
        <v>-163.03100000000001</v>
      </c>
      <c r="J946" s="3">
        <v>20100818</v>
      </c>
      <c r="K946">
        <v>2010</v>
      </c>
      <c r="L946">
        <v>5.4721000000000002</v>
      </c>
      <c r="M946">
        <v>2.0825200000000001</v>
      </c>
      <c r="N946">
        <v>9.2859999999999998E-2</v>
      </c>
      <c r="O946">
        <v>1.9800000000000002E-2</v>
      </c>
      <c r="P946">
        <v>0.29017999999999999</v>
      </c>
      <c r="Q946">
        <v>0</v>
      </c>
      <c r="R946">
        <v>0.30664999999999998</v>
      </c>
      <c r="S946">
        <v>4.0000000000000003E-5</v>
      </c>
      <c r="T946">
        <v>1.3950000000000001E-2</v>
      </c>
      <c r="U946">
        <v>6.7369999999999999E-2</v>
      </c>
      <c r="V946">
        <v>8.3454700000000006</v>
      </c>
      <c r="W946" t="s">
        <v>9</v>
      </c>
      <c r="X946">
        <v>77.986000000000004</v>
      </c>
      <c r="Y946">
        <v>83.564999999999998</v>
      </c>
      <c r="Z946">
        <v>1.2669999999999999</v>
      </c>
      <c r="AA946">
        <v>0.44</v>
      </c>
      <c r="AB946">
        <v>20.727</v>
      </c>
      <c r="AC946">
        <v>0</v>
      </c>
      <c r="AD946">
        <v>5.0270000000000001</v>
      </c>
      <c r="AE946">
        <v>3.0000000000000001E-3</v>
      </c>
      <c r="AF946">
        <v>0.15</v>
      </c>
      <c r="AG946">
        <v>1.3859999999999999</v>
      </c>
      <c r="AH946">
        <v>190.55099999999999</v>
      </c>
      <c r="AI946" t="s">
        <v>22</v>
      </c>
      <c r="AJ946">
        <v>323.33199999999999</v>
      </c>
      <c r="AK946">
        <v>180</v>
      </c>
      <c r="AL946">
        <v>143.334</v>
      </c>
      <c r="AM946">
        <v>6.6669999999999998</v>
      </c>
      <c r="AN946">
        <v>33.334000000000003</v>
      </c>
      <c r="AO946">
        <v>0</v>
      </c>
      <c r="AP946">
        <v>6.6669999999999998</v>
      </c>
      <c r="AQ946">
        <v>0</v>
      </c>
      <c r="AR946">
        <v>3.3330000000000002</v>
      </c>
      <c r="AS946">
        <v>36.667000000000002</v>
      </c>
      <c r="AT946">
        <v>733.33399999999995</v>
      </c>
      <c r="AU946" t="s">
        <v>33</v>
      </c>
    </row>
    <row r="947" spans="1:47" x14ac:dyDescent="0.2">
      <c r="A947">
        <v>1682</v>
      </c>
      <c r="B947" t="s">
        <v>583</v>
      </c>
      <c r="C947">
        <v>20</v>
      </c>
      <c r="D947" t="s">
        <v>71</v>
      </c>
      <c r="G947" t="str">
        <f t="shared" si="14"/>
        <v>WWW100220BR047</v>
      </c>
      <c r="H947">
        <v>71.385000000000005</v>
      </c>
      <c r="I947">
        <v>-162.77199999999999</v>
      </c>
      <c r="J947" s="3">
        <v>20100819</v>
      </c>
      <c r="K947">
        <v>2010</v>
      </c>
      <c r="L947">
        <v>10.518179999999999</v>
      </c>
      <c r="M947">
        <v>6.0920899999999998</v>
      </c>
      <c r="N947">
        <v>0.51251000000000002</v>
      </c>
      <c r="O947">
        <v>0.25797999999999999</v>
      </c>
      <c r="P947">
        <v>0.23688000000000001</v>
      </c>
      <c r="Q947">
        <v>0</v>
      </c>
      <c r="R947">
        <v>1.1933400000000001</v>
      </c>
      <c r="S947">
        <v>0</v>
      </c>
      <c r="T947">
        <v>0.28643999999999997</v>
      </c>
      <c r="U947">
        <v>4.7849999999999997E-2</v>
      </c>
      <c r="V947">
        <v>19.14527</v>
      </c>
      <c r="W947" t="s">
        <v>9</v>
      </c>
      <c r="X947">
        <v>151.012</v>
      </c>
      <c r="Y947">
        <v>204.833</v>
      </c>
      <c r="Z947">
        <v>7.1369999999999996</v>
      </c>
      <c r="AA947">
        <v>5.7329999999999997</v>
      </c>
      <c r="AB947">
        <v>16.920000000000002</v>
      </c>
      <c r="AC947">
        <v>0</v>
      </c>
      <c r="AD947">
        <v>19.562999999999999</v>
      </c>
      <c r="AE947">
        <v>0</v>
      </c>
      <c r="AF947">
        <v>3.08</v>
      </c>
      <c r="AG947">
        <v>0.80900000000000005</v>
      </c>
      <c r="AH947">
        <v>409.08699999999999</v>
      </c>
      <c r="AI947" t="s">
        <v>22</v>
      </c>
      <c r="AJ947">
        <v>8943.3310000000001</v>
      </c>
      <c r="AK947">
        <v>506.66699999999997</v>
      </c>
      <c r="AL947">
        <v>1150.001</v>
      </c>
      <c r="AM947">
        <v>193.333</v>
      </c>
      <c r="AN947">
        <v>63.332999999999998</v>
      </c>
      <c r="AO947">
        <v>0</v>
      </c>
      <c r="AP947">
        <v>6.6669999999999998</v>
      </c>
      <c r="AQ947">
        <v>0</v>
      </c>
      <c r="AR947">
        <v>23.332999999999998</v>
      </c>
      <c r="AS947">
        <v>43.334000000000003</v>
      </c>
      <c r="AT947">
        <v>10929.999</v>
      </c>
      <c r="AU947" t="s">
        <v>33</v>
      </c>
    </row>
    <row r="948" spans="1:47" x14ac:dyDescent="0.2">
      <c r="A948">
        <v>1683</v>
      </c>
      <c r="B948" t="s">
        <v>583</v>
      </c>
      <c r="C948">
        <v>21</v>
      </c>
      <c r="D948" t="s">
        <v>72</v>
      </c>
      <c r="G948" t="str">
        <f t="shared" si="14"/>
        <v>WWW100221BR077</v>
      </c>
      <c r="H948">
        <v>71.234999999999999</v>
      </c>
      <c r="I948">
        <v>-162.786</v>
      </c>
      <c r="J948" s="3">
        <v>20100819</v>
      </c>
      <c r="K948">
        <v>2010</v>
      </c>
      <c r="L948">
        <v>4.6534300000000002</v>
      </c>
      <c r="M948">
        <v>1.7894600000000001</v>
      </c>
      <c r="N948">
        <v>9.2880000000000004E-2</v>
      </c>
      <c r="O948">
        <v>8.8045200000000001</v>
      </c>
      <c r="P948">
        <v>0.13102</v>
      </c>
      <c r="Q948">
        <v>0</v>
      </c>
      <c r="R948">
        <v>1.2199999999999999E-3</v>
      </c>
      <c r="S948">
        <v>0</v>
      </c>
      <c r="T948">
        <v>0</v>
      </c>
      <c r="U948">
        <v>0.13100999999999999</v>
      </c>
      <c r="V948">
        <v>15.603540000000001</v>
      </c>
      <c r="W948" t="s">
        <v>12</v>
      </c>
      <c r="X948">
        <v>68.962000000000003</v>
      </c>
      <c r="Y948">
        <v>71.888999999999996</v>
      </c>
      <c r="Z948">
        <v>1.2150000000000001</v>
      </c>
      <c r="AA948">
        <v>195.65600000000001</v>
      </c>
      <c r="AB948">
        <v>9.359</v>
      </c>
      <c r="AC948">
        <v>0</v>
      </c>
      <c r="AD948">
        <v>0.02</v>
      </c>
      <c r="AE948">
        <v>0</v>
      </c>
      <c r="AF948">
        <v>0</v>
      </c>
      <c r="AG948">
        <v>2.1789999999999998</v>
      </c>
      <c r="AH948">
        <v>349.28</v>
      </c>
      <c r="AI948" t="s">
        <v>24</v>
      </c>
      <c r="AJ948">
        <v>226.667</v>
      </c>
      <c r="AK948">
        <v>166.667</v>
      </c>
      <c r="AL948">
        <v>369.99900000000002</v>
      </c>
      <c r="AM948">
        <v>23.334</v>
      </c>
      <c r="AN948">
        <v>29.998999999999999</v>
      </c>
      <c r="AO948">
        <v>0</v>
      </c>
      <c r="AP948">
        <v>3.3330000000000002</v>
      </c>
      <c r="AQ948">
        <v>0</v>
      </c>
      <c r="AR948">
        <v>0</v>
      </c>
      <c r="AS948">
        <v>20</v>
      </c>
      <c r="AT948">
        <v>839.99900000000002</v>
      </c>
      <c r="AU948" t="s">
        <v>35</v>
      </c>
    </row>
    <row r="949" spans="1:47" x14ac:dyDescent="0.2">
      <c r="A949">
        <v>1684</v>
      </c>
      <c r="B949" t="s">
        <v>583</v>
      </c>
      <c r="C949">
        <v>22</v>
      </c>
      <c r="D949" t="s">
        <v>73</v>
      </c>
      <c r="G949" t="str">
        <f t="shared" si="14"/>
        <v>WWW100222BR080</v>
      </c>
      <c r="H949">
        <v>71.227999999999994</v>
      </c>
      <c r="I949">
        <v>-162.327</v>
      </c>
      <c r="J949" s="3">
        <v>20100816</v>
      </c>
      <c r="K949">
        <v>2010</v>
      </c>
      <c r="L949">
        <v>7.6332899999999997</v>
      </c>
      <c r="M949">
        <v>1.8036000000000001</v>
      </c>
      <c r="N949">
        <v>0.35420000000000001</v>
      </c>
      <c r="O949">
        <v>6.5674400000000004</v>
      </c>
      <c r="P949">
        <v>0.25522</v>
      </c>
      <c r="Q949">
        <v>0</v>
      </c>
      <c r="R949">
        <v>0.14047999999999999</v>
      </c>
      <c r="S949">
        <v>4.2000000000000002E-4</v>
      </c>
      <c r="T949">
        <v>6.6960000000000006E-2</v>
      </c>
      <c r="U949">
        <v>3.0585399999999998</v>
      </c>
      <c r="V949">
        <v>19.88015</v>
      </c>
      <c r="W949" t="s">
        <v>9</v>
      </c>
      <c r="X949">
        <v>100.883</v>
      </c>
      <c r="Y949">
        <v>82.179000000000002</v>
      </c>
      <c r="Z949">
        <v>4.8970000000000002</v>
      </c>
      <c r="AA949">
        <v>145.94300000000001</v>
      </c>
      <c r="AB949">
        <v>18.23</v>
      </c>
      <c r="AC949">
        <v>0</v>
      </c>
      <c r="AD949">
        <v>2.3029999999999999</v>
      </c>
      <c r="AE949">
        <v>0.03</v>
      </c>
      <c r="AF949">
        <v>0.72</v>
      </c>
      <c r="AG949">
        <v>126.97</v>
      </c>
      <c r="AH949">
        <v>482.15499999999997</v>
      </c>
      <c r="AI949" t="s">
        <v>24</v>
      </c>
      <c r="AJ949">
        <v>4439.9979999999996</v>
      </c>
      <c r="AK949">
        <v>236.666</v>
      </c>
      <c r="AL949">
        <v>860</v>
      </c>
      <c r="AM949">
        <v>53.334000000000003</v>
      </c>
      <c r="AN949">
        <v>63.332999999999998</v>
      </c>
      <c r="AO949">
        <v>0</v>
      </c>
      <c r="AP949">
        <v>6.6669999999999998</v>
      </c>
      <c r="AQ949">
        <v>3.3330000000000002</v>
      </c>
      <c r="AR949">
        <v>10</v>
      </c>
      <c r="AS949">
        <v>23.332999999999998</v>
      </c>
      <c r="AT949">
        <v>5696.6639999999998</v>
      </c>
      <c r="AU949" t="s">
        <v>33</v>
      </c>
    </row>
    <row r="950" spans="1:47" x14ac:dyDescent="0.2">
      <c r="A950">
        <v>1685</v>
      </c>
      <c r="B950" t="s">
        <v>583</v>
      </c>
      <c r="C950">
        <v>23</v>
      </c>
      <c r="D950" t="s">
        <v>74</v>
      </c>
      <c r="G950" t="str">
        <f t="shared" si="14"/>
        <v>WWW100223BR086</v>
      </c>
      <c r="H950">
        <v>71.188000000000002</v>
      </c>
      <c r="I950">
        <v>-162.94900000000001</v>
      </c>
      <c r="J950" s="3">
        <v>20100818</v>
      </c>
      <c r="K950">
        <v>2010</v>
      </c>
      <c r="L950">
        <v>6.5915900000000001</v>
      </c>
      <c r="M950">
        <v>3.1271200000000001</v>
      </c>
      <c r="N950">
        <v>0.16019</v>
      </c>
      <c r="O950">
        <v>2.9075799999999998</v>
      </c>
      <c r="P950">
        <v>0.3392</v>
      </c>
      <c r="Q950">
        <v>0</v>
      </c>
      <c r="R950">
        <v>0.10094</v>
      </c>
      <c r="S950">
        <v>0</v>
      </c>
      <c r="T950">
        <v>8.3700000000000007E-3</v>
      </c>
      <c r="U950">
        <v>0.29615000000000002</v>
      </c>
      <c r="V950">
        <v>13.531140000000001</v>
      </c>
      <c r="W950" t="s">
        <v>9</v>
      </c>
      <c r="X950">
        <v>94.462999999999994</v>
      </c>
      <c r="Y950">
        <v>154.27199999999999</v>
      </c>
      <c r="Z950">
        <v>2.2250000000000001</v>
      </c>
      <c r="AA950">
        <v>64.613</v>
      </c>
      <c r="AB950">
        <v>24.228999999999999</v>
      </c>
      <c r="AC950">
        <v>0</v>
      </c>
      <c r="AD950">
        <v>1.673</v>
      </c>
      <c r="AE950">
        <v>0</v>
      </c>
      <c r="AF950">
        <v>0.09</v>
      </c>
      <c r="AG950">
        <v>7.1429999999999998</v>
      </c>
      <c r="AH950">
        <v>348.70800000000003</v>
      </c>
      <c r="AI950" t="s">
        <v>22</v>
      </c>
      <c r="AJ950">
        <v>533.33500000000004</v>
      </c>
      <c r="AK950">
        <v>193.333</v>
      </c>
      <c r="AL950">
        <v>376.66699999999997</v>
      </c>
      <c r="AM950">
        <v>103.334</v>
      </c>
      <c r="AN950">
        <v>53.332999999999998</v>
      </c>
      <c r="AO950">
        <v>0</v>
      </c>
      <c r="AP950">
        <v>10</v>
      </c>
      <c r="AQ950">
        <v>0</v>
      </c>
      <c r="AR950">
        <v>3.3330000000000002</v>
      </c>
      <c r="AS950">
        <v>63.332999999999998</v>
      </c>
      <c r="AT950">
        <v>1336.6679999999999</v>
      </c>
      <c r="AU950" t="s">
        <v>33</v>
      </c>
    </row>
    <row r="951" spans="1:47" x14ac:dyDescent="0.2">
      <c r="A951">
        <v>1686</v>
      </c>
      <c r="B951" t="s">
        <v>583</v>
      </c>
      <c r="C951">
        <v>24</v>
      </c>
      <c r="D951" t="s">
        <v>76</v>
      </c>
      <c r="G951" t="str">
        <f t="shared" si="14"/>
        <v>WWW100224BR093</v>
      </c>
      <c r="H951">
        <v>71.141999999999996</v>
      </c>
      <c r="I951">
        <v>-163.416</v>
      </c>
      <c r="J951" s="3">
        <v>20100819</v>
      </c>
      <c r="K951">
        <v>2010</v>
      </c>
      <c r="L951">
        <v>7.2199299999999997</v>
      </c>
      <c r="M951">
        <v>2.4323399999999999</v>
      </c>
      <c r="N951">
        <v>0.18024999999999999</v>
      </c>
      <c r="O951">
        <v>3.3430499999999999</v>
      </c>
      <c r="P951">
        <v>0.24836</v>
      </c>
      <c r="Q951">
        <v>0</v>
      </c>
      <c r="R951">
        <v>0.11674</v>
      </c>
      <c r="S951">
        <v>0</v>
      </c>
      <c r="T951">
        <v>4.9570000000000003E-2</v>
      </c>
      <c r="U951">
        <v>4.7710000000000002E-2</v>
      </c>
      <c r="V951">
        <v>13.63795</v>
      </c>
      <c r="W951" t="s">
        <v>9</v>
      </c>
      <c r="X951">
        <v>99.266999999999996</v>
      </c>
      <c r="Y951">
        <v>126.997</v>
      </c>
      <c r="Z951">
        <v>2.56</v>
      </c>
      <c r="AA951">
        <v>74.290000000000006</v>
      </c>
      <c r="AB951">
        <v>17.739999999999998</v>
      </c>
      <c r="AC951">
        <v>0</v>
      </c>
      <c r="AD951">
        <v>1.954</v>
      </c>
      <c r="AE951">
        <v>0</v>
      </c>
      <c r="AF951">
        <v>0.53300000000000003</v>
      </c>
      <c r="AG951">
        <v>1.5629999999999999</v>
      </c>
      <c r="AH951">
        <v>324.904</v>
      </c>
      <c r="AI951" t="s">
        <v>22</v>
      </c>
      <c r="AJ951">
        <v>393.33199999999999</v>
      </c>
      <c r="AK951">
        <v>276.66699999999997</v>
      </c>
      <c r="AL951">
        <v>339.99700000000001</v>
      </c>
      <c r="AM951">
        <v>26.667000000000002</v>
      </c>
      <c r="AN951">
        <v>40</v>
      </c>
      <c r="AO951">
        <v>0</v>
      </c>
      <c r="AP951">
        <v>13.333</v>
      </c>
      <c r="AQ951">
        <v>0</v>
      </c>
      <c r="AR951">
        <v>6.6669999999999998</v>
      </c>
      <c r="AS951">
        <v>46.667000000000002</v>
      </c>
      <c r="AT951">
        <v>1143.33</v>
      </c>
      <c r="AU951" t="s">
        <v>33</v>
      </c>
    </row>
    <row r="952" spans="1:47" x14ac:dyDescent="0.2">
      <c r="A952">
        <v>1687</v>
      </c>
      <c r="B952" t="s">
        <v>583</v>
      </c>
      <c r="C952">
        <v>25</v>
      </c>
      <c r="D952" t="s">
        <v>77</v>
      </c>
      <c r="G952" t="str">
        <f t="shared" si="14"/>
        <v>WWW100225BR098</v>
      </c>
      <c r="H952">
        <v>71.132000000000005</v>
      </c>
      <c r="I952">
        <v>-162.64599999999999</v>
      </c>
      <c r="J952" s="3">
        <v>20100817</v>
      </c>
      <c r="K952">
        <v>2010</v>
      </c>
      <c r="L952">
        <v>6.9053800000000001</v>
      </c>
      <c r="M952">
        <v>2.2604799999999998</v>
      </c>
      <c r="N952">
        <v>7.596E-2</v>
      </c>
      <c r="O952">
        <v>0.81359999999999999</v>
      </c>
      <c r="P952">
        <v>0.1211</v>
      </c>
      <c r="Q952">
        <v>0</v>
      </c>
      <c r="R952">
        <v>0.15021000000000001</v>
      </c>
      <c r="S952">
        <v>0</v>
      </c>
      <c r="T952">
        <v>3.041E-2</v>
      </c>
      <c r="U952">
        <v>6.4170000000000005E-2</v>
      </c>
      <c r="V952">
        <v>10.42131</v>
      </c>
      <c r="W952" t="s">
        <v>9</v>
      </c>
      <c r="X952">
        <v>99.087000000000003</v>
      </c>
      <c r="Y952">
        <v>91.356999999999999</v>
      </c>
      <c r="Z952">
        <v>1.0209999999999999</v>
      </c>
      <c r="AA952">
        <v>18.079999999999998</v>
      </c>
      <c r="AB952">
        <v>8.65</v>
      </c>
      <c r="AC952">
        <v>0</v>
      </c>
      <c r="AD952">
        <v>3.2130000000000001</v>
      </c>
      <c r="AE952">
        <v>0</v>
      </c>
      <c r="AF952">
        <v>0.32700000000000001</v>
      </c>
      <c r="AG952">
        <v>2.4</v>
      </c>
      <c r="AH952">
        <v>224.13499999999999</v>
      </c>
      <c r="AI952" t="s">
        <v>21</v>
      </c>
      <c r="AJ952">
        <v>526.66600000000005</v>
      </c>
      <c r="AK952">
        <v>256.66699999999997</v>
      </c>
      <c r="AL952">
        <v>289.99900000000002</v>
      </c>
      <c r="AM952">
        <v>103.333</v>
      </c>
      <c r="AN952">
        <v>40</v>
      </c>
      <c r="AO952">
        <v>0</v>
      </c>
      <c r="AP952">
        <v>6.6660000000000004</v>
      </c>
      <c r="AQ952">
        <v>0</v>
      </c>
      <c r="AR952">
        <v>10</v>
      </c>
      <c r="AS952">
        <v>56.665999999999997</v>
      </c>
      <c r="AT952">
        <v>1289.9970000000001</v>
      </c>
      <c r="AU952" t="s">
        <v>33</v>
      </c>
    </row>
    <row r="953" spans="1:47" x14ac:dyDescent="0.2">
      <c r="A953">
        <v>1688</v>
      </c>
      <c r="B953" t="s">
        <v>583</v>
      </c>
      <c r="C953">
        <v>26</v>
      </c>
      <c r="D953" t="s">
        <v>78</v>
      </c>
      <c r="G953" t="str">
        <f t="shared" si="14"/>
        <v>WWW100226BR099</v>
      </c>
      <c r="H953">
        <v>71.131</v>
      </c>
      <c r="I953">
        <v>-162.489</v>
      </c>
      <c r="J953" s="3">
        <v>20100817</v>
      </c>
      <c r="K953">
        <v>2010</v>
      </c>
      <c r="L953">
        <v>6.4477500000000001</v>
      </c>
      <c r="M953">
        <v>1.00278</v>
      </c>
      <c r="N953">
        <v>0.16309000000000001</v>
      </c>
      <c r="O953">
        <v>1.50359</v>
      </c>
      <c r="P953">
        <v>0.18722</v>
      </c>
      <c r="Q953">
        <v>0</v>
      </c>
      <c r="R953">
        <v>0.74339999999999995</v>
      </c>
      <c r="S953">
        <v>0</v>
      </c>
      <c r="T953">
        <v>6.9750000000000006E-2</v>
      </c>
      <c r="U953">
        <v>3.4250000000000003E-2</v>
      </c>
      <c r="V953">
        <v>10.15183</v>
      </c>
      <c r="W953" t="s">
        <v>9</v>
      </c>
      <c r="X953">
        <v>92.171999999999997</v>
      </c>
      <c r="Y953">
        <v>56.491</v>
      </c>
      <c r="Z953">
        <v>2.181</v>
      </c>
      <c r="AA953">
        <v>33.412999999999997</v>
      </c>
      <c r="AB953">
        <v>13.372999999999999</v>
      </c>
      <c r="AC953">
        <v>0</v>
      </c>
      <c r="AD953">
        <v>17.61</v>
      </c>
      <c r="AE953">
        <v>0</v>
      </c>
      <c r="AF953">
        <v>0.75</v>
      </c>
      <c r="AG953">
        <v>2.2149999999999999</v>
      </c>
      <c r="AH953">
        <v>218.20500000000001</v>
      </c>
      <c r="AI953" t="s">
        <v>21</v>
      </c>
      <c r="AJ953">
        <v>530</v>
      </c>
      <c r="AK953">
        <v>183.33199999999999</v>
      </c>
      <c r="AL953">
        <v>589.99800000000005</v>
      </c>
      <c r="AM953">
        <v>26.666</v>
      </c>
      <c r="AN953">
        <v>76.665999999999997</v>
      </c>
      <c r="AO953">
        <v>0</v>
      </c>
      <c r="AP953">
        <v>26.667000000000002</v>
      </c>
      <c r="AQ953">
        <v>0</v>
      </c>
      <c r="AR953">
        <v>3.3330000000000002</v>
      </c>
      <c r="AS953">
        <v>49.999000000000002</v>
      </c>
      <c r="AT953">
        <v>1486.6610000000001</v>
      </c>
      <c r="AU953" t="s">
        <v>35</v>
      </c>
    </row>
    <row r="954" spans="1:47" x14ac:dyDescent="0.2">
      <c r="A954">
        <v>1689</v>
      </c>
      <c r="B954" t="s">
        <v>583</v>
      </c>
      <c r="C954">
        <v>27</v>
      </c>
      <c r="D954" t="s">
        <v>85</v>
      </c>
      <c r="G954" t="str">
        <f t="shared" si="14"/>
        <v>WWW100227KF001</v>
      </c>
      <c r="H954">
        <v>70.647000000000006</v>
      </c>
      <c r="I954">
        <v>-166.00399999999999</v>
      </c>
      <c r="J954" s="3">
        <v>20100805</v>
      </c>
      <c r="K954">
        <v>2010</v>
      </c>
      <c r="L954">
        <v>4.1140400000000001</v>
      </c>
      <c r="M954">
        <v>3.0246599999999999</v>
      </c>
      <c r="N954">
        <v>5.629E-2</v>
      </c>
      <c r="O954">
        <v>3.4418199999999999</v>
      </c>
      <c r="P954">
        <v>1.214E-2</v>
      </c>
      <c r="Q954">
        <v>0</v>
      </c>
      <c r="R954">
        <v>0.91747999999999996</v>
      </c>
      <c r="S954">
        <v>0</v>
      </c>
      <c r="T954">
        <v>1.56212</v>
      </c>
      <c r="U954">
        <v>6.4610000000000001E-2</v>
      </c>
      <c r="V954">
        <v>13.193160000000001</v>
      </c>
      <c r="W954" t="s">
        <v>9</v>
      </c>
      <c r="X954">
        <v>58.398000000000003</v>
      </c>
      <c r="Y954">
        <v>91.143000000000001</v>
      </c>
      <c r="Z954">
        <v>0.76100000000000001</v>
      </c>
      <c r="AA954">
        <v>76.484999999999999</v>
      </c>
      <c r="AB954">
        <v>0.86699999999999999</v>
      </c>
      <c r="AC954">
        <v>0</v>
      </c>
      <c r="AD954">
        <v>22.937000000000001</v>
      </c>
      <c r="AE954">
        <v>0</v>
      </c>
      <c r="AF954">
        <v>16.797000000000001</v>
      </c>
      <c r="AG954">
        <v>3.206</v>
      </c>
      <c r="AH954">
        <v>270.59399999999999</v>
      </c>
      <c r="AI954" t="s">
        <v>22</v>
      </c>
      <c r="AJ954">
        <v>1156.665</v>
      </c>
      <c r="AK954">
        <v>166.66800000000001</v>
      </c>
      <c r="AL954">
        <v>106.664</v>
      </c>
      <c r="AM954">
        <v>150</v>
      </c>
      <c r="AN954">
        <v>19.998999999999999</v>
      </c>
      <c r="AO954">
        <v>0</v>
      </c>
      <c r="AP954">
        <v>10</v>
      </c>
      <c r="AQ954">
        <v>0</v>
      </c>
      <c r="AR954">
        <v>16.667000000000002</v>
      </c>
      <c r="AS954">
        <v>69.998000000000005</v>
      </c>
      <c r="AT954">
        <v>1696.6610000000001</v>
      </c>
      <c r="AU954" t="s">
        <v>33</v>
      </c>
    </row>
    <row r="955" spans="1:47" x14ac:dyDescent="0.2">
      <c r="A955">
        <v>1690</v>
      </c>
      <c r="B955" t="s">
        <v>583</v>
      </c>
      <c r="C955">
        <v>28</v>
      </c>
      <c r="D955" t="s">
        <v>86</v>
      </c>
      <c r="G955" t="str">
        <f t="shared" si="14"/>
        <v>WWW100228KF003</v>
      </c>
      <c r="H955">
        <v>70.647999999999996</v>
      </c>
      <c r="I955">
        <v>-165.249</v>
      </c>
      <c r="J955" s="3">
        <v>20100812</v>
      </c>
      <c r="K955">
        <v>2010</v>
      </c>
      <c r="L955">
        <v>7.9436400000000003</v>
      </c>
      <c r="M955">
        <v>0.42302000000000001</v>
      </c>
      <c r="N955">
        <v>0.24590999999999999</v>
      </c>
      <c r="O955">
        <v>2.6063999999999998</v>
      </c>
      <c r="P955">
        <v>5.5999999999999999E-3</v>
      </c>
      <c r="Q955">
        <v>0</v>
      </c>
      <c r="R955">
        <v>8.0000000000000007E-5</v>
      </c>
      <c r="S955">
        <v>2.3400000000000001E-3</v>
      </c>
      <c r="T955">
        <v>3.218E-2</v>
      </c>
      <c r="U955">
        <v>1.8849999999999999E-2</v>
      </c>
      <c r="V955">
        <v>11.27802</v>
      </c>
      <c r="W955" t="s">
        <v>9</v>
      </c>
      <c r="X955">
        <v>117.327</v>
      </c>
      <c r="Y955">
        <v>13.119</v>
      </c>
      <c r="Z955">
        <v>3.5390000000000001</v>
      </c>
      <c r="AA955">
        <v>57.92</v>
      </c>
      <c r="AB955">
        <v>0.4</v>
      </c>
      <c r="AC955">
        <v>0</v>
      </c>
      <c r="AD955">
        <v>2E-3</v>
      </c>
      <c r="AE955">
        <v>0.16700000000000001</v>
      </c>
      <c r="AF955">
        <v>0.34599999999999997</v>
      </c>
      <c r="AG955">
        <v>0.38300000000000001</v>
      </c>
      <c r="AH955">
        <v>193.203</v>
      </c>
      <c r="AI955" t="s">
        <v>21</v>
      </c>
      <c r="AJ955">
        <v>306.666</v>
      </c>
      <c r="AK955">
        <v>163.333</v>
      </c>
      <c r="AL955">
        <v>99.998999999999995</v>
      </c>
      <c r="AM955">
        <v>6.6660000000000004</v>
      </c>
      <c r="AN955">
        <v>23.332999999999998</v>
      </c>
      <c r="AO955">
        <v>0</v>
      </c>
      <c r="AP955">
        <v>3.3330000000000002</v>
      </c>
      <c r="AQ955">
        <v>3.3330000000000002</v>
      </c>
      <c r="AR955">
        <v>3.3330000000000002</v>
      </c>
      <c r="AS955">
        <v>20</v>
      </c>
      <c r="AT955">
        <v>629.99599999999998</v>
      </c>
      <c r="AU955" t="s">
        <v>33</v>
      </c>
    </row>
    <row r="956" spans="1:47" x14ac:dyDescent="0.2">
      <c r="A956">
        <v>1691</v>
      </c>
      <c r="B956" t="s">
        <v>583</v>
      </c>
      <c r="C956">
        <v>29</v>
      </c>
      <c r="D956" t="s">
        <v>87</v>
      </c>
      <c r="G956" t="str">
        <f t="shared" si="14"/>
        <v>WWW100229KF005</v>
      </c>
      <c r="H956">
        <v>70.647999999999996</v>
      </c>
      <c r="I956">
        <v>-164.50399999999999</v>
      </c>
      <c r="J956" s="3">
        <v>20100814</v>
      </c>
      <c r="K956">
        <v>2010</v>
      </c>
      <c r="L956">
        <v>5.6350600000000002</v>
      </c>
      <c r="M956">
        <v>1.60059</v>
      </c>
      <c r="N956">
        <v>6.5619999999999998E-2</v>
      </c>
      <c r="O956">
        <v>1.5168200000000001</v>
      </c>
      <c r="P956">
        <v>1.9599999999999999E-3</v>
      </c>
      <c r="Q956">
        <v>0</v>
      </c>
      <c r="R956">
        <v>1.7168000000000001</v>
      </c>
      <c r="S956">
        <v>8.9639999999999997E-2</v>
      </c>
      <c r="T956">
        <v>1.35101</v>
      </c>
      <c r="U956">
        <v>0.19943</v>
      </c>
      <c r="V956">
        <v>12.17693</v>
      </c>
      <c r="W956" t="s">
        <v>9</v>
      </c>
      <c r="X956">
        <v>80.763000000000005</v>
      </c>
      <c r="Y956">
        <v>74.566000000000003</v>
      </c>
      <c r="Z956">
        <v>0.90700000000000003</v>
      </c>
      <c r="AA956">
        <v>33.707000000000001</v>
      </c>
      <c r="AB956">
        <v>0.14000000000000001</v>
      </c>
      <c r="AC956">
        <v>0</v>
      </c>
      <c r="AD956">
        <v>42.92</v>
      </c>
      <c r="AE956">
        <v>6.4029999999999996</v>
      </c>
      <c r="AF956">
        <v>14.526999999999999</v>
      </c>
      <c r="AG956">
        <v>17.047999999999998</v>
      </c>
      <c r="AH956">
        <v>270.98099999999999</v>
      </c>
      <c r="AI956" t="s">
        <v>21</v>
      </c>
      <c r="AJ956">
        <v>460</v>
      </c>
      <c r="AK956">
        <v>216.66499999999999</v>
      </c>
      <c r="AL956">
        <v>173.33199999999999</v>
      </c>
      <c r="AM956">
        <v>16.667000000000002</v>
      </c>
      <c r="AN956">
        <v>13.333</v>
      </c>
      <c r="AO956">
        <v>0</v>
      </c>
      <c r="AP956">
        <v>6.6669999999999998</v>
      </c>
      <c r="AQ956">
        <v>13.333</v>
      </c>
      <c r="AR956">
        <v>6.6669999999999998</v>
      </c>
      <c r="AS956">
        <v>33.332999999999998</v>
      </c>
      <c r="AT956">
        <v>939.99699999999996</v>
      </c>
      <c r="AU956" t="s">
        <v>33</v>
      </c>
    </row>
    <row r="957" spans="1:47" x14ac:dyDescent="0.2">
      <c r="A957">
        <v>1692</v>
      </c>
      <c r="B957" t="s">
        <v>583</v>
      </c>
      <c r="C957">
        <v>3</v>
      </c>
      <c r="D957" s="4" t="s">
        <v>784</v>
      </c>
      <c r="E957" s="4" t="s">
        <v>784</v>
      </c>
      <c r="F957" s="4" t="s">
        <v>53</v>
      </c>
      <c r="G957" t="str">
        <f t="shared" si="14"/>
        <v>WWW10023DBO4.2</v>
      </c>
      <c r="H957">
        <v>71.102999999999994</v>
      </c>
      <c r="I957">
        <v>-162.267</v>
      </c>
      <c r="J957" s="3">
        <v>20100815</v>
      </c>
      <c r="K957">
        <v>2010</v>
      </c>
      <c r="L957">
        <v>5.8900899999999998</v>
      </c>
      <c r="M957">
        <v>5.8172199999999998</v>
      </c>
      <c r="N957">
        <v>6.5860000000000002E-2</v>
      </c>
      <c r="O957">
        <v>2.9356300000000002</v>
      </c>
      <c r="P957">
        <v>1.176E-2</v>
      </c>
      <c r="Q957">
        <v>0</v>
      </c>
      <c r="R957">
        <v>0.39894000000000002</v>
      </c>
      <c r="S957">
        <v>0</v>
      </c>
      <c r="T957">
        <v>5.8599999999999998E-3</v>
      </c>
      <c r="U957">
        <v>1.2630000000000001E-2</v>
      </c>
      <c r="V957">
        <v>15.13799</v>
      </c>
      <c r="W957" t="s">
        <v>9</v>
      </c>
      <c r="X957">
        <v>84.224999999999994</v>
      </c>
      <c r="Y957">
        <v>247.18700000000001</v>
      </c>
      <c r="Z957">
        <v>0.91200000000000003</v>
      </c>
      <c r="AA957">
        <v>65.236000000000004</v>
      </c>
      <c r="AB957">
        <v>0.84</v>
      </c>
      <c r="AC957">
        <v>0</v>
      </c>
      <c r="AD957">
        <v>6.54</v>
      </c>
      <c r="AE957">
        <v>0</v>
      </c>
      <c r="AF957">
        <v>6.3E-2</v>
      </c>
      <c r="AG957">
        <v>0.42299999999999999</v>
      </c>
      <c r="AH957">
        <v>405.42599999999999</v>
      </c>
      <c r="AI957" t="s">
        <v>22</v>
      </c>
      <c r="AJ957">
        <v>393.33199999999999</v>
      </c>
      <c r="AK957">
        <v>189.999</v>
      </c>
      <c r="AL957">
        <v>163.334</v>
      </c>
      <c r="AM957">
        <v>10</v>
      </c>
      <c r="AN957">
        <v>6.6669999999999998</v>
      </c>
      <c r="AO957">
        <v>0</v>
      </c>
      <c r="AP957">
        <v>10</v>
      </c>
      <c r="AQ957">
        <v>0</v>
      </c>
      <c r="AR957">
        <v>13.333</v>
      </c>
      <c r="AS957">
        <v>20.001000000000001</v>
      </c>
      <c r="AT957">
        <v>806.66600000000005</v>
      </c>
      <c r="AU957" t="s">
        <v>33</v>
      </c>
    </row>
    <row r="958" spans="1:47" x14ac:dyDescent="0.2">
      <c r="A958">
        <v>1693</v>
      </c>
      <c r="B958" t="s">
        <v>583</v>
      </c>
      <c r="C958">
        <v>30</v>
      </c>
      <c r="D958" t="s">
        <v>88</v>
      </c>
      <c r="G958" t="str">
        <f t="shared" si="14"/>
        <v>WWW100230KF007</v>
      </c>
      <c r="H958">
        <v>70.772000000000006</v>
      </c>
      <c r="I958">
        <v>-165.62899999999999</v>
      </c>
      <c r="J958" s="3">
        <v>20100806</v>
      </c>
      <c r="K958">
        <v>2010</v>
      </c>
      <c r="L958">
        <v>4.3903600000000003</v>
      </c>
      <c r="M958">
        <v>0.49845</v>
      </c>
      <c r="N958">
        <v>0.11935</v>
      </c>
      <c r="O958">
        <v>1.4491000000000001</v>
      </c>
      <c r="P958">
        <v>3.8000000000000002E-4</v>
      </c>
      <c r="Q958">
        <v>0</v>
      </c>
      <c r="R958">
        <v>0.35729</v>
      </c>
      <c r="S958">
        <v>3.7659999999999999E-2</v>
      </c>
      <c r="T958">
        <v>2.1579999999999998E-2</v>
      </c>
      <c r="U958">
        <v>0.13533999999999999</v>
      </c>
      <c r="V958">
        <v>7.0095099999999997</v>
      </c>
      <c r="W958" t="s">
        <v>9</v>
      </c>
      <c r="X958">
        <v>62.445</v>
      </c>
      <c r="Y958">
        <v>19.283999999999999</v>
      </c>
      <c r="Z958">
        <v>1.6659999999999999</v>
      </c>
      <c r="AA958">
        <v>32.201999999999998</v>
      </c>
      <c r="AB958">
        <v>2.7E-2</v>
      </c>
      <c r="AC958">
        <v>0</v>
      </c>
      <c r="AD958">
        <v>6.6920000000000002</v>
      </c>
      <c r="AE958">
        <v>2.69</v>
      </c>
      <c r="AF958">
        <v>0.23200000000000001</v>
      </c>
      <c r="AG958">
        <v>6.4189999999999996</v>
      </c>
      <c r="AH958">
        <v>131.65700000000001</v>
      </c>
      <c r="AI958" t="s">
        <v>21</v>
      </c>
      <c r="AJ958">
        <v>820</v>
      </c>
      <c r="AK958">
        <v>229.999</v>
      </c>
      <c r="AL958">
        <v>210</v>
      </c>
      <c r="AM958">
        <v>66.667000000000002</v>
      </c>
      <c r="AN958">
        <v>13.333</v>
      </c>
      <c r="AO958">
        <v>0</v>
      </c>
      <c r="AP958">
        <v>10</v>
      </c>
      <c r="AQ958">
        <v>163.333</v>
      </c>
      <c r="AR958">
        <v>13.333</v>
      </c>
      <c r="AS958">
        <v>166.666</v>
      </c>
      <c r="AT958">
        <v>1693.3309999999999</v>
      </c>
      <c r="AU958" t="s">
        <v>33</v>
      </c>
    </row>
    <row r="959" spans="1:47" x14ac:dyDescent="0.2">
      <c r="A959">
        <v>1694</v>
      </c>
      <c r="B959" t="s">
        <v>583</v>
      </c>
      <c r="C959">
        <v>31</v>
      </c>
      <c r="D959" t="s">
        <v>89</v>
      </c>
      <c r="G959" t="str">
        <f t="shared" si="14"/>
        <v>WWW100231KF009</v>
      </c>
      <c r="H959">
        <v>70.772999999999996</v>
      </c>
      <c r="I959">
        <v>-164.87700000000001</v>
      </c>
      <c r="J959" s="3">
        <v>20100813</v>
      </c>
      <c r="K959">
        <v>2010</v>
      </c>
      <c r="L959">
        <v>6.8742799999999997</v>
      </c>
      <c r="M959">
        <v>0.19312000000000001</v>
      </c>
      <c r="N959">
        <v>5.3409999999999999E-2</v>
      </c>
      <c r="O959">
        <v>4.2201000000000004</v>
      </c>
      <c r="P959">
        <v>7.1709999999999996E-2</v>
      </c>
      <c r="Q959">
        <v>0</v>
      </c>
      <c r="R959">
        <v>0</v>
      </c>
      <c r="S959">
        <v>0.23005999999999999</v>
      </c>
      <c r="T959">
        <v>1.2099999999999999E-3</v>
      </c>
      <c r="U959">
        <v>5.0630000000000001E-2</v>
      </c>
      <c r="V959">
        <v>11.694520000000001</v>
      </c>
      <c r="W959" t="s">
        <v>9</v>
      </c>
      <c r="X959">
        <v>99.977999999999994</v>
      </c>
      <c r="Y959">
        <v>5.4960000000000004</v>
      </c>
      <c r="Z959">
        <v>0.748</v>
      </c>
      <c r="AA959">
        <v>93.78</v>
      </c>
      <c r="AB959">
        <v>5.1219999999999999</v>
      </c>
      <c r="AC959">
        <v>0</v>
      </c>
      <c r="AD959">
        <v>0</v>
      </c>
      <c r="AE959">
        <v>16.433</v>
      </c>
      <c r="AF959">
        <v>1.2999999999999999E-2</v>
      </c>
      <c r="AG959">
        <v>1.7929999999999999</v>
      </c>
      <c r="AH959">
        <v>223.363</v>
      </c>
      <c r="AI959" t="s">
        <v>21</v>
      </c>
      <c r="AJ959">
        <v>436.66800000000001</v>
      </c>
      <c r="AK959">
        <v>90</v>
      </c>
      <c r="AL959">
        <v>83.332999999999998</v>
      </c>
      <c r="AM959">
        <v>6.6669999999999998</v>
      </c>
      <c r="AN959">
        <v>23.332999999999998</v>
      </c>
      <c r="AO959">
        <v>0</v>
      </c>
      <c r="AP959">
        <v>0</v>
      </c>
      <c r="AQ959">
        <v>6.6669999999999998</v>
      </c>
      <c r="AR959">
        <v>3.3330000000000002</v>
      </c>
      <c r="AS959">
        <v>26.667999999999999</v>
      </c>
      <c r="AT959">
        <v>676.66899999999998</v>
      </c>
      <c r="AU959" t="s">
        <v>33</v>
      </c>
    </row>
    <row r="960" spans="1:47" x14ac:dyDescent="0.2">
      <c r="A960">
        <v>1695</v>
      </c>
      <c r="B960" t="s">
        <v>583</v>
      </c>
      <c r="C960">
        <v>32</v>
      </c>
      <c r="D960" t="s">
        <v>90</v>
      </c>
      <c r="G960" t="str">
        <f t="shared" si="14"/>
        <v>WWW100232KF011</v>
      </c>
      <c r="H960">
        <v>70.897000000000006</v>
      </c>
      <c r="I960">
        <v>-166.006</v>
      </c>
      <c r="J960" s="3">
        <v>20100806</v>
      </c>
      <c r="K960">
        <v>2010</v>
      </c>
      <c r="L960">
        <v>3.4051399999999998</v>
      </c>
      <c r="M960">
        <v>1.1272800000000001</v>
      </c>
      <c r="N960">
        <v>8.8599999999999998E-3</v>
      </c>
      <c r="O960">
        <v>6.9718499999999999</v>
      </c>
      <c r="P960">
        <v>3.0000000000000001E-5</v>
      </c>
      <c r="Q960">
        <v>0</v>
      </c>
      <c r="R960">
        <v>0</v>
      </c>
      <c r="S960">
        <v>0</v>
      </c>
      <c r="T960">
        <v>7.4400000000000004E-3</v>
      </c>
      <c r="U960">
        <v>6.9800000000000001E-3</v>
      </c>
      <c r="V960">
        <v>11.52758</v>
      </c>
      <c r="W960" t="s">
        <v>12</v>
      </c>
      <c r="X960">
        <v>50.061999999999998</v>
      </c>
      <c r="Y960">
        <v>63.773000000000003</v>
      </c>
      <c r="Z960">
        <v>0.122</v>
      </c>
      <c r="AA960">
        <v>154.93</v>
      </c>
      <c r="AB960">
        <v>2E-3</v>
      </c>
      <c r="AC960">
        <v>0</v>
      </c>
      <c r="AD960">
        <v>0</v>
      </c>
      <c r="AE960">
        <v>0</v>
      </c>
      <c r="AF960">
        <v>0.08</v>
      </c>
      <c r="AG960">
        <v>0.22600000000000001</v>
      </c>
      <c r="AH960">
        <v>269.19499999999999</v>
      </c>
      <c r="AI960" t="s">
        <v>24</v>
      </c>
      <c r="AJ960">
        <v>193.33199999999999</v>
      </c>
      <c r="AK960">
        <v>133.333</v>
      </c>
      <c r="AL960">
        <v>50.000999999999998</v>
      </c>
      <c r="AM960">
        <v>20</v>
      </c>
      <c r="AN960">
        <v>0</v>
      </c>
      <c r="AO960">
        <v>0</v>
      </c>
      <c r="AP960">
        <v>0</v>
      </c>
      <c r="AQ960">
        <v>0</v>
      </c>
      <c r="AR960">
        <v>3.3330000000000002</v>
      </c>
      <c r="AS960">
        <v>10</v>
      </c>
      <c r="AT960">
        <v>409.99900000000002</v>
      </c>
      <c r="AU960" t="s">
        <v>33</v>
      </c>
    </row>
    <row r="961" spans="1:47" x14ac:dyDescent="0.2">
      <c r="A961">
        <v>1696</v>
      </c>
      <c r="B961" t="s">
        <v>583</v>
      </c>
      <c r="C961">
        <v>33</v>
      </c>
      <c r="D961" t="s">
        <v>91</v>
      </c>
      <c r="G961" t="str">
        <f t="shared" si="14"/>
        <v>WWW100233KF013</v>
      </c>
      <c r="H961">
        <v>70.897999999999996</v>
      </c>
      <c r="I961">
        <v>-165.25200000000001</v>
      </c>
      <c r="J961" s="3">
        <v>20100812</v>
      </c>
      <c r="K961">
        <v>2010</v>
      </c>
      <c r="L961">
        <v>8.2621599999999997</v>
      </c>
      <c r="M961">
        <v>0.76927000000000001</v>
      </c>
      <c r="N961">
        <v>9.0800000000000006E-2</v>
      </c>
      <c r="O961">
        <v>1.15425</v>
      </c>
      <c r="P961">
        <v>0</v>
      </c>
      <c r="Q961">
        <v>0</v>
      </c>
      <c r="R961">
        <v>0.61439999999999995</v>
      </c>
      <c r="S961">
        <v>0</v>
      </c>
      <c r="T961">
        <v>1.0880000000000001E-2</v>
      </c>
      <c r="U961">
        <v>0.11376</v>
      </c>
      <c r="V961">
        <v>11.01552</v>
      </c>
      <c r="W961" t="s">
        <v>9</v>
      </c>
      <c r="X961">
        <v>121.56100000000001</v>
      </c>
      <c r="Y961">
        <v>27.852</v>
      </c>
      <c r="Z961">
        <v>1.2549999999999999</v>
      </c>
      <c r="AA961">
        <v>25.65</v>
      </c>
      <c r="AB961">
        <v>0</v>
      </c>
      <c r="AC961">
        <v>0</v>
      </c>
      <c r="AD961">
        <v>15.36</v>
      </c>
      <c r="AE961">
        <v>0</v>
      </c>
      <c r="AF961">
        <v>0.11700000000000001</v>
      </c>
      <c r="AG961">
        <v>2.8969999999999998</v>
      </c>
      <c r="AH961">
        <v>194.69200000000001</v>
      </c>
      <c r="AI961" t="s">
        <v>21</v>
      </c>
      <c r="AJ961">
        <v>403.33199999999999</v>
      </c>
      <c r="AK961">
        <v>143.333</v>
      </c>
      <c r="AL961">
        <v>123.333</v>
      </c>
      <c r="AM961">
        <v>3.3330000000000002</v>
      </c>
      <c r="AN961">
        <v>0</v>
      </c>
      <c r="AO961">
        <v>0</v>
      </c>
      <c r="AP961">
        <v>3.3330000000000002</v>
      </c>
      <c r="AQ961">
        <v>0</v>
      </c>
      <c r="AR961">
        <v>3.3330000000000002</v>
      </c>
      <c r="AS961">
        <v>39.999000000000002</v>
      </c>
      <c r="AT961">
        <v>719.99599999999998</v>
      </c>
      <c r="AU961" t="s">
        <v>33</v>
      </c>
    </row>
    <row r="962" spans="1:47" x14ac:dyDescent="0.2">
      <c r="A962">
        <v>1697</v>
      </c>
      <c r="B962" t="s">
        <v>583</v>
      </c>
      <c r="C962">
        <v>34</v>
      </c>
      <c r="D962" t="s">
        <v>92</v>
      </c>
      <c r="G962" t="str">
        <f t="shared" si="14"/>
        <v>WWW100234KF015</v>
      </c>
      <c r="H962">
        <v>70.897999999999996</v>
      </c>
      <c r="I962">
        <v>-164.494</v>
      </c>
      <c r="J962" s="3">
        <v>20100814</v>
      </c>
      <c r="K962">
        <v>2010</v>
      </c>
      <c r="L962">
        <v>2.14486</v>
      </c>
      <c r="M962">
        <v>0.46488000000000002</v>
      </c>
      <c r="N962">
        <v>0.28552</v>
      </c>
      <c r="O962">
        <v>1.2600000000000001E-3</v>
      </c>
      <c r="P962">
        <v>3.5999999999999999E-3</v>
      </c>
      <c r="Q962">
        <v>0</v>
      </c>
      <c r="R962">
        <v>1.7819999999999999E-2</v>
      </c>
      <c r="S962">
        <v>0.47126000000000001</v>
      </c>
      <c r="T962">
        <v>4.2779999999999999E-2</v>
      </c>
      <c r="U962">
        <v>0.69843</v>
      </c>
      <c r="V962">
        <v>4.1304100000000004</v>
      </c>
      <c r="W962" t="s">
        <v>9</v>
      </c>
      <c r="X962">
        <v>30.861000000000001</v>
      </c>
      <c r="Y962">
        <v>14.986000000000001</v>
      </c>
      <c r="Z962">
        <v>4.1070000000000002</v>
      </c>
      <c r="AA962">
        <v>2.8000000000000001E-2</v>
      </c>
      <c r="AB962">
        <v>0.25700000000000001</v>
      </c>
      <c r="AC962">
        <v>0</v>
      </c>
      <c r="AD962">
        <v>0.42299999999999999</v>
      </c>
      <c r="AE962">
        <v>13.72</v>
      </c>
      <c r="AF962">
        <v>0.46</v>
      </c>
      <c r="AG962">
        <v>48.165999999999997</v>
      </c>
      <c r="AH962">
        <v>113.008</v>
      </c>
      <c r="AI962" t="s">
        <v>30</v>
      </c>
      <c r="AJ962">
        <v>943.33199999999999</v>
      </c>
      <c r="AK962">
        <v>316.66699999999997</v>
      </c>
      <c r="AL962">
        <v>343.33499999999998</v>
      </c>
      <c r="AM962">
        <v>10</v>
      </c>
      <c r="AN962">
        <v>26.667000000000002</v>
      </c>
      <c r="AO962">
        <v>0</v>
      </c>
      <c r="AP962">
        <v>6.6660000000000004</v>
      </c>
      <c r="AQ962">
        <v>13.334</v>
      </c>
      <c r="AR962">
        <v>10</v>
      </c>
      <c r="AS962">
        <v>83.332999999999998</v>
      </c>
      <c r="AT962">
        <v>1753.3340000000001</v>
      </c>
      <c r="AU962" t="s">
        <v>33</v>
      </c>
    </row>
    <row r="963" spans="1:47" x14ac:dyDescent="0.2">
      <c r="A963">
        <v>1698</v>
      </c>
      <c r="B963" t="s">
        <v>583</v>
      </c>
      <c r="C963">
        <v>35</v>
      </c>
      <c r="D963" t="s">
        <v>93</v>
      </c>
      <c r="G963" t="str">
        <f t="shared" ref="G963:G1026" si="15">CONCATENATE(B963,C963,D963)</f>
        <v>WWW100235KF017</v>
      </c>
      <c r="H963">
        <v>71.022999999999996</v>
      </c>
      <c r="I963">
        <v>-165.64099999999999</v>
      </c>
      <c r="J963" s="3">
        <v>20100807</v>
      </c>
      <c r="K963">
        <v>2010</v>
      </c>
      <c r="L963">
        <v>3.5144700000000002</v>
      </c>
      <c r="M963">
        <v>0.47820000000000001</v>
      </c>
      <c r="N963">
        <v>5.0849999999999999E-2</v>
      </c>
      <c r="O963">
        <v>5.3730000000000002</v>
      </c>
      <c r="P963">
        <v>0.21273</v>
      </c>
      <c r="Q963">
        <v>0</v>
      </c>
      <c r="R963">
        <v>0</v>
      </c>
      <c r="S963">
        <v>0</v>
      </c>
      <c r="T963">
        <v>3.0040000000000001E-2</v>
      </c>
      <c r="U963">
        <v>1.456E-2</v>
      </c>
      <c r="V963">
        <v>9.6738499999999998</v>
      </c>
      <c r="W963" t="s">
        <v>12</v>
      </c>
      <c r="X963">
        <v>51.332000000000001</v>
      </c>
      <c r="Y963">
        <v>10.696</v>
      </c>
      <c r="Z963">
        <v>0.746</v>
      </c>
      <c r="AA963">
        <v>119.4</v>
      </c>
      <c r="AB963">
        <v>15.195</v>
      </c>
      <c r="AC963">
        <v>0</v>
      </c>
      <c r="AD963">
        <v>0</v>
      </c>
      <c r="AE963">
        <v>0</v>
      </c>
      <c r="AF963">
        <v>0.32300000000000001</v>
      </c>
      <c r="AG963">
        <v>0.25700000000000001</v>
      </c>
      <c r="AH963">
        <v>197.94900000000001</v>
      </c>
      <c r="AI963" t="s">
        <v>24</v>
      </c>
      <c r="AJ963">
        <v>243.33199999999999</v>
      </c>
      <c r="AK963">
        <v>143.333</v>
      </c>
      <c r="AL963">
        <v>30</v>
      </c>
      <c r="AM963">
        <v>6.6669999999999998</v>
      </c>
      <c r="AN963">
        <v>16.667000000000002</v>
      </c>
      <c r="AO963">
        <v>0</v>
      </c>
      <c r="AP963">
        <v>0</v>
      </c>
      <c r="AQ963">
        <v>0</v>
      </c>
      <c r="AR963">
        <v>10</v>
      </c>
      <c r="AS963">
        <v>46.667000000000002</v>
      </c>
      <c r="AT963">
        <v>496.666</v>
      </c>
      <c r="AU963" t="s">
        <v>33</v>
      </c>
    </row>
    <row r="964" spans="1:47" x14ac:dyDescent="0.2">
      <c r="A964">
        <v>1699</v>
      </c>
      <c r="B964" t="s">
        <v>583</v>
      </c>
      <c r="C964">
        <v>36</v>
      </c>
      <c r="D964" t="s">
        <v>94</v>
      </c>
      <c r="G964" t="str">
        <f t="shared" si="15"/>
        <v>WWW100236KF019</v>
      </c>
      <c r="H964">
        <v>71.022999999999996</v>
      </c>
      <c r="I964">
        <v>-164.874</v>
      </c>
      <c r="J964" s="3">
        <v>20100813</v>
      </c>
      <c r="K964">
        <v>2010</v>
      </c>
      <c r="L964">
        <v>3.98569</v>
      </c>
      <c r="M964">
        <v>0.18193000000000001</v>
      </c>
      <c r="N964">
        <v>0.15051999999999999</v>
      </c>
      <c r="O964">
        <v>3.2000000000000003E-4</v>
      </c>
      <c r="P964">
        <v>8.8000000000000003E-4</v>
      </c>
      <c r="Q964">
        <v>0</v>
      </c>
      <c r="R964">
        <v>9.4950000000000007E-2</v>
      </c>
      <c r="S964">
        <v>5.212E-2</v>
      </c>
      <c r="T964">
        <v>3.9059999999999997E-2</v>
      </c>
      <c r="U964">
        <v>2.6194899999999999</v>
      </c>
      <c r="V964">
        <v>7.1249599999999997</v>
      </c>
      <c r="W964" t="s">
        <v>9</v>
      </c>
      <c r="X964">
        <v>55.71</v>
      </c>
      <c r="Y964">
        <v>6.62</v>
      </c>
      <c r="Z964">
        <v>2.13</v>
      </c>
      <c r="AA964">
        <v>7.0000000000000001E-3</v>
      </c>
      <c r="AB964">
        <v>6.3E-2</v>
      </c>
      <c r="AC964">
        <v>0</v>
      </c>
      <c r="AD964">
        <v>1.59</v>
      </c>
      <c r="AE964">
        <v>3.7229999999999999</v>
      </c>
      <c r="AF964">
        <v>0.42</v>
      </c>
      <c r="AG964">
        <v>115.239</v>
      </c>
      <c r="AH964">
        <v>185.50200000000001</v>
      </c>
      <c r="AI964" t="s">
        <v>30</v>
      </c>
      <c r="AJ964">
        <v>1903.3340000000001</v>
      </c>
      <c r="AK964">
        <v>173.334</v>
      </c>
      <c r="AL964">
        <v>276.666</v>
      </c>
      <c r="AM964">
        <v>6.6669999999999998</v>
      </c>
      <c r="AN964">
        <v>26.667000000000002</v>
      </c>
      <c r="AO964">
        <v>0</v>
      </c>
      <c r="AP964">
        <v>6.6660000000000004</v>
      </c>
      <c r="AQ964">
        <v>43.332999999999998</v>
      </c>
      <c r="AR964">
        <v>26.667000000000002</v>
      </c>
      <c r="AS964">
        <v>30</v>
      </c>
      <c r="AT964">
        <v>2493.3339999999998</v>
      </c>
      <c r="AU964" t="s">
        <v>33</v>
      </c>
    </row>
    <row r="965" spans="1:47" x14ac:dyDescent="0.2">
      <c r="A965">
        <v>1700</v>
      </c>
      <c r="B965" t="s">
        <v>583</v>
      </c>
      <c r="C965">
        <v>37</v>
      </c>
      <c r="D965" t="s">
        <v>96</v>
      </c>
      <c r="G965" t="str">
        <f t="shared" si="15"/>
        <v>WWW100237KF023</v>
      </c>
      <c r="H965">
        <v>71.147999999999996</v>
      </c>
      <c r="I965">
        <v>-165.25899999999999</v>
      </c>
      <c r="J965" s="3">
        <v>20100811</v>
      </c>
      <c r="K965">
        <v>2010</v>
      </c>
      <c r="L965">
        <v>2.4042699999999999</v>
      </c>
      <c r="M965">
        <v>0.92988000000000004</v>
      </c>
      <c r="N965">
        <v>0.17196</v>
      </c>
      <c r="O965">
        <v>3.1035200000000001</v>
      </c>
      <c r="P965">
        <v>0.21104000000000001</v>
      </c>
      <c r="Q965">
        <v>0</v>
      </c>
      <c r="R965">
        <v>0</v>
      </c>
      <c r="S965">
        <v>0</v>
      </c>
      <c r="T965">
        <v>2.5100000000000001E-3</v>
      </c>
      <c r="U965">
        <v>3.712E-2</v>
      </c>
      <c r="V965">
        <v>6.8602999999999996</v>
      </c>
      <c r="W965" t="s">
        <v>12</v>
      </c>
      <c r="X965">
        <v>35.927</v>
      </c>
      <c r="Y965">
        <v>21.64</v>
      </c>
      <c r="Z965">
        <v>2.3260000000000001</v>
      </c>
      <c r="AA965">
        <v>68.966999999999999</v>
      </c>
      <c r="AB965">
        <v>15.074</v>
      </c>
      <c r="AC965">
        <v>0</v>
      </c>
      <c r="AD965">
        <v>0</v>
      </c>
      <c r="AE965">
        <v>0</v>
      </c>
      <c r="AF965">
        <v>2.7E-2</v>
      </c>
      <c r="AG965">
        <v>0.85299999999999998</v>
      </c>
      <c r="AH965">
        <v>144.81399999999999</v>
      </c>
      <c r="AI965" t="s">
        <v>24</v>
      </c>
      <c r="AJ965">
        <v>219.99799999999999</v>
      </c>
      <c r="AK965">
        <v>176.66499999999999</v>
      </c>
      <c r="AL965">
        <v>43.332000000000001</v>
      </c>
      <c r="AM965">
        <v>3.3330000000000002</v>
      </c>
      <c r="AN965">
        <v>6.6669999999999998</v>
      </c>
      <c r="AO965">
        <v>0</v>
      </c>
      <c r="AP965">
        <v>0</v>
      </c>
      <c r="AQ965">
        <v>0</v>
      </c>
      <c r="AR965">
        <v>0</v>
      </c>
      <c r="AS965">
        <v>40</v>
      </c>
      <c r="AT965">
        <v>489.995</v>
      </c>
      <c r="AU965" t="s">
        <v>33</v>
      </c>
    </row>
    <row r="966" spans="1:47" x14ac:dyDescent="0.2">
      <c r="A966">
        <v>1701</v>
      </c>
      <c r="B966" t="s">
        <v>583</v>
      </c>
      <c r="C966">
        <v>38</v>
      </c>
      <c r="D966" t="s">
        <v>97</v>
      </c>
      <c r="G966" t="str">
        <f t="shared" si="15"/>
        <v>WWW100238KF025</v>
      </c>
      <c r="H966">
        <v>71.146000000000001</v>
      </c>
      <c r="I966">
        <v>-164.48699999999999</v>
      </c>
      <c r="J966" s="3">
        <v>20100814</v>
      </c>
      <c r="K966">
        <v>2010</v>
      </c>
      <c r="L966">
        <v>10.32221</v>
      </c>
      <c r="M966">
        <v>0.40257999999999999</v>
      </c>
      <c r="N966">
        <v>5.4620000000000002E-2</v>
      </c>
      <c r="O966">
        <v>3.3409300000000002</v>
      </c>
      <c r="P966">
        <v>0.41542000000000001</v>
      </c>
      <c r="Q966">
        <v>0</v>
      </c>
      <c r="R966">
        <v>0</v>
      </c>
      <c r="S966">
        <v>0</v>
      </c>
      <c r="T966">
        <v>1.4E-3</v>
      </c>
      <c r="U966">
        <v>5.7020000000000001E-2</v>
      </c>
      <c r="V966">
        <v>14.59418</v>
      </c>
      <c r="W966" t="s">
        <v>9</v>
      </c>
      <c r="X966">
        <v>150.24199999999999</v>
      </c>
      <c r="Y966">
        <v>11.563000000000001</v>
      </c>
      <c r="Z966">
        <v>0.72899999999999998</v>
      </c>
      <c r="AA966">
        <v>74.242999999999995</v>
      </c>
      <c r="AB966">
        <v>29.672999999999998</v>
      </c>
      <c r="AC966">
        <v>0</v>
      </c>
      <c r="AD966">
        <v>0</v>
      </c>
      <c r="AE966">
        <v>0</v>
      </c>
      <c r="AF966">
        <v>1.4999999999999999E-2</v>
      </c>
      <c r="AG966">
        <v>1.06</v>
      </c>
      <c r="AH966">
        <v>267.52499999999998</v>
      </c>
      <c r="AI966" t="s">
        <v>21</v>
      </c>
      <c r="AJ966">
        <v>449.99799999999999</v>
      </c>
      <c r="AK966">
        <v>136.66499999999999</v>
      </c>
      <c r="AL966">
        <v>133.334</v>
      </c>
      <c r="AM966">
        <v>6.6669999999999998</v>
      </c>
      <c r="AN966">
        <v>103.333</v>
      </c>
      <c r="AO966">
        <v>0</v>
      </c>
      <c r="AP966">
        <v>0</v>
      </c>
      <c r="AQ966">
        <v>0</v>
      </c>
      <c r="AR966">
        <v>3.3330000000000002</v>
      </c>
      <c r="AS966">
        <v>53.332999999999998</v>
      </c>
      <c r="AT966">
        <v>886.66300000000001</v>
      </c>
      <c r="AU966" t="s">
        <v>33</v>
      </c>
    </row>
    <row r="967" spans="1:47" x14ac:dyDescent="0.2">
      <c r="A967">
        <v>1702</v>
      </c>
      <c r="B967" t="s">
        <v>583</v>
      </c>
      <c r="C967">
        <v>39</v>
      </c>
      <c r="D967" t="s">
        <v>584</v>
      </c>
      <c r="G967" t="str">
        <f t="shared" si="15"/>
        <v>WWW100239KR004</v>
      </c>
      <c r="H967">
        <v>71.120999999999995</v>
      </c>
      <c r="I967">
        <v>-165.49</v>
      </c>
      <c r="J967" s="3">
        <v>20100807</v>
      </c>
      <c r="K967">
        <v>2010</v>
      </c>
      <c r="L967">
        <v>1.76128</v>
      </c>
      <c r="M967">
        <v>0.36235000000000001</v>
      </c>
      <c r="N967">
        <v>1.9259999999999999E-2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1.7700000000000001E-3</v>
      </c>
      <c r="U967">
        <v>3.29E-3</v>
      </c>
      <c r="V967">
        <v>2.1479499999999998</v>
      </c>
      <c r="W967" t="s">
        <v>9</v>
      </c>
      <c r="X967">
        <v>28.18</v>
      </c>
      <c r="Y967">
        <v>8.3059999999999992</v>
      </c>
      <c r="Z967">
        <v>0.23899999999999999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1.9E-2</v>
      </c>
      <c r="AG967">
        <v>7.0000000000000007E-2</v>
      </c>
      <c r="AH967">
        <v>36.814</v>
      </c>
      <c r="AI967" t="s">
        <v>21</v>
      </c>
      <c r="AJ967">
        <v>143.33199999999999</v>
      </c>
      <c r="AK967">
        <v>93.332999999999998</v>
      </c>
      <c r="AL967">
        <v>20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3.3330000000000002</v>
      </c>
      <c r="AS967">
        <v>13.333</v>
      </c>
      <c r="AT967">
        <v>273.33100000000002</v>
      </c>
      <c r="AU967" t="s">
        <v>33</v>
      </c>
    </row>
    <row r="968" spans="1:47" x14ac:dyDescent="0.2">
      <c r="A968">
        <v>1703</v>
      </c>
      <c r="B968" t="s">
        <v>583</v>
      </c>
      <c r="C968">
        <v>4</v>
      </c>
      <c r="D968" t="s">
        <v>54</v>
      </c>
      <c r="G968" t="str">
        <f t="shared" si="15"/>
        <v>WWW10024BF007</v>
      </c>
      <c r="H968">
        <v>71.242000000000004</v>
      </c>
      <c r="I968">
        <v>-163.40600000000001</v>
      </c>
      <c r="J968" s="3">
        <v>20100820</v>
      </c>
      <c r="K968">
        <v>2010</v>
      </c>
      <c r="L968">
        <v>4.1065199999999997</v>
      </c>
      <c r="M968">
        <v>2.6964600000000001</v>
      </c>
      <c r="N968">
        <v>0.21729000000000001</v>
      </c>
      <c r="O968">
        <v>10.40639</v>
      </c>
      <c r="P968">
        <v>0.20386000000000001</v>
      </c>
      <c r="Q968">
        <v>0</v>
      </c>
      <c r="R968">
        <v>4.8799999999999998E-3</v>
      </c>
      <c r="S968">
        <v>0</v>
      </c>
      <c r="T968">
        <v>6.4449999999999993E-2</v>
      </c>
      <c r="U968">
        <v>3.7580000000000002E-2</v>
      </c>
      <c r="V968">
        <v>17.73743</v>
      </c>
      <c r="W968" t="s">
        <v>12</v>
      </c>
      <c r="X968">
        <v>58.362000000000002</v>
      </c>
      <c r="Y968">
        <v>102.056</v>
      </c>
      <c r="Z968">
        <v>2.7989999999999999</v>
      </c>
      <c r="AA968">
        <v>231.25299999999999</v>
      </c>
      <c r="AB968">
        <v>14.561</v>
      </c>
      <c r="AC968">
        <v>0</v>
      </c>
      <c r="AD968">
        <v>0.08</v>
      </c>
      <c r="AE968">
        <v>0</v>
      </c>
      <c r="AF968">
        <v>0.69299999999999995</v>
      </c>
      <c r="AG968">
        <v>0.83199999999999996</v>
      </c>
      <c r="AH968">
        <v>410.63600000000002</v>
      </c>
      <c r="AI968" t="s">
        <v>24</v>
      </c>
      <c r="AJ968">
        <v>283.33499999999998</v>
      </c>
      <c r="AK968">
        <v>229.99799999999999</v>
      </c>
      <c r="AL968">
        <v>509.99900000000002</v>
      </c>
      <c r="AM968">
        <v>40</v>
      </c>
      <c r="AN968">
        <v>50</v>
      </c>
      <c r="AO968">
        <v>0</v>
      </c>
      <c r="AP968">
        <v>3.3330000000000002</v>
      </c>
      <c r="AQ968">
        <v>0</v>
      </c>
      <c r="AR968">
        <v>6.6669999999999998</v>
      </c>
      <c r="AS968">
        <v>40.000999999999998</v>
      </c>
      <c r="AT968">
        <v>1163.3330000000001</v>
      </c>
      <c r="AU968" t="s">
        <v>35</v>
      </c>
    </row>
    <row r="969" spans="1:47" x14ac:dyDescent="0.2">
      <c r="A969">
        <v>1704</v>
      </c>
      <c r="B969" t="s">
        <v>583</v>
      </c>
      <c r="C969">
        <v>40</v>
      </c>
      <c r="D969" t="s">
        <v>99</v>
      </c>
      <c r="G969" t="str">
        <f t="shared" si="15"/>
        <v>WWW100240KR007</v>
      </c>
      <c r="H969">
        <v>71.123000000000005</v>
      </c>
      <c r="I969">
        <v>-165.02799999999999</v>
      </c>
      <c r="J969" s="3">
        <v>20100813</v>
      </c>
      <c r="K969">
        <v>2010</v>
      </c>
      <c r="L969">
        <v>6.0980999999999996</v>
      </c>
      <c r="M969">
        <v>0.63622999999999996</v>
      </c>
      <c r="N969">
        <v>0.24475</v>
      </c>
      <c r="O969">
        <v>4.1557500000000003</v>
      </c>
      <c r="P969">
        <v>0.25553999999999999</v>
      </c>
      <c r="Q969">
        <v>0</v>
      </c>
      <c r="R969">
        <v>0</v>
      </c>
      <c r="S969">
        <v>0</v>
      </c>
      <c r="T969">
        <v>1.34199</v>
      </c>
      <c r="U969">
        <v>2.7519999999999999E-2</v>
      </c>
      <c r="V969">
        <v>12.759880000000001</v>
      </c>
      <c r="W969" t="s">
        <v>9</v>
      </c>
      <c r="X969">
        <v>88.162999999999997</v>
      </c>
      <c r="Y969">
        <v>17.792000000000002</v>
      </c>
      <c r="Z969">
        <v>3.548</v>
      </c>
      <c r="AA969">
        <v>92.35</v>
      </c>
      <c r="AB969">
        <v>18.253</v>
      </c>
      <c r="AC969">
        <v>0</v>
      </c>
      <c r="AD969">
        <v>0</v>
      </c>
      <c r="AE969">
        <v>0</v>
      </c>
      <c r="AF969">
        <v>14.43</v>
      </c>
      <c r="AG969">
        <v>0.86799999999999999</v>
      </c>
      <c r="AH969">
        <v>235.404</v>
      </c>
      <c r="AI969" t="s">
        <v>24</v>
      </c>
      <c r="AJ969">
        <v>306.66800000000001</v>
      </c>
      <c r="AK969">
        <v>80</v>
      </c>
      <c r="AL969">
        <v>60.000999999999998</v>
      </c>
      <c r="AM969">
        <v>3.3330000000000002</v>
      </c>
      <c r="AN969">
        <v>23.332999999999998</v>
      </c>
      <c r="AO969">
        <v>0</v>
      </c>
      <c r="AP969">
        <v>0</v>
      </c>
      <c r="AQ969">
        <v>0</v>
      </c>
      <c r="AR969">
        <v>3.3330000000000002</v>
      </c>
      <c r="AS969">
        <v>33.334000000000003</v>
      </c>
      <c r="AT969">
        <v>510.00200000000001</v>
      </c>
      <c r="AU969" t="s">
        <v>33</v>
      </c>
    </row>
    <row r="970" spans="1:47" x14ac:dyDescent="0.2">
      <c r="A970">
        <v>1705</v>
      </c>
      <c r="B970" t="s">
        <v>583</v>
      </c>
      <c r="C970">
        <v>41</v>
      </c>
      <c r="D970" t="s">
        <v>100</v>
      </c>
      <c r="G970" t="str">
        <f t="shared" si="15"/>
        <v>WWW100241KR008</v>
      </c>
      <c r="H970">
        <v>71.123000000000005</v>
      </c>
      <c r="I970">
        <v>-164.874</v>
      </c>
      <c r="J970" s="3">
        <v>20100813</v>
      </c>
      <c r="K970">
        <v>2010</v>
      </c>
      <c r="L970">
        <v>7.9469599999999998</v>
      </c>
      <c r="M970">
        <v>3.2171099999999999</v>
      </c>
      <c r="N970">
        <v>0.23200999999999999</v>
      </c>
      <c r="O970">
        <v>7.8172300000000003</v>
      </c>
      <c r="P970">
        <v>4.62E-3</v>
      </c>
      <c r="Q970">
        <v>0</v>
      </c>
      <c r="R970">
        <v>1.8799999999999999E-3</v>
      </c>
      <c r="S970">
        <v>7.1799999999999998E-3</v>
      </c>
      <c r="T970">
        <v>0.10202</v>
      </c>
      <c r="U970">
        <v>4.3360000000000003E-2</v>
      </c>
      <c r="V970">
        <v>19.37237</v>
      </c>
      <c r="W970" t="s">
        <v>9</v>
      </c>
      <c r="X970">
        <v>114.52500000000001</v>
      </c>
      <c r="Y970">
        <v>157.625</v>
      </c>
      <c r="Z970">
        <v>3.1659999999999999</v>
      </c>
      <c r="AA970">
        <v>173.71600000000001</v>
      </c>
      <c r="AB970">
        <v>0.33</v>
      </c>
      <c r="AC970">
        <v>0</v>
      </c>
      <c r="AD970">
        <v>4.7E-2</v>
      </c>
      <c r="AE970">
        <v>0.51300000000000001</v>
      </c>
      <c r="AF970">
        <v>1.097</v>
      </c>
      <c r="AG970">
        <v>2.1230000000000002</v>
      </c>
      <c r="AH970">
        <v>453.142</v>
      </c>
      <c r="AI970" t="s">
        <v>24</v>
      </c>
      <c r="AJ970">
        <v>703.33299999999997</v>
      </c>
      <c r="AK970">
        <v>363.33199999999999</v>
      </c>
      <c r="AL970">
        <v>193.334</v>
      </c>
      <c r="AM970">
        <v>20</v>
      </c>
      <c r="AN970">
        <v>36.667000000000002</v>
      </c>
      <c r="AO970">
        <v>0</v>
      </c>
      <c r="AP970">
        <v>6.6669999999999998</v>
      </c>
      <c r="AQ970">
        <v>3.3330000000000002</v>
      </c>
      <c r="AR970">
        <v>16.667000000000002</v>
      </c>
      <c r="AS970">
        <v>43.332999999999998</v>
      </c>
      <c r="AT970">
        <v>1386.6659999999999</v>
      </c>
      <c r="AU970" t="s">
        <v>33</v>
      </c>
    </row>
    <row r="971" spans="1:47" x14ac:dyDescent="0.2">
      <c r="A971">
        <v>1706</v>
      </c>
      <c r="B971" t="s">
        <v>583</v>
      </c>
      <c r="C971">
        <v>42</v>
      </c>
      <c r="D971" t="s">
        <v>101</v>
      </c>
      <c r="G971" t="str">
        <f t="shared" si="15"/>
        <v>WWW100242KR009</v>
      </c>
      <c r="H971">
        <v>71.123000000000005</v>
      </c>
      <c r="I971">
        <v>-164.71899999999999</v>
      </c>
      <c r="J971" s="3">
        <v>20100813</v>
      </c>
      <c r="K971">
        <v>2010</v>
      </c>
      <c r="L971">
        <v>4.3139900000000004</v>
      </c>
      <c r="M971">
        <v>3.1110899999999999</v>
      </c>
      <c r="N971">
        <v>9.3340000000000006E-2</v>
      </c>
      <c r="O971">
        <v>3.4330500000000002</v>
      </c>
      <c r="P971">
        <v>0.12239</v>
      </c>
      <c r="Q971">
        <v>0</v>
      </c>
      <c r="R971">
        <v>0.13402</v>
      </c>
      <c r="S971">
        <v>3.7240000000000002E-2</v>
      </c>
      <c r="T971">
        <v>6.2300000000000003E-3</v>
      </c>
      <c r="U971">
        <v>2.49627</v>
      </c>
      <c r="V971">
        <v>13.74762</v>
      </c>
      <c r="W971" t="s">
        <v>9</v>
      </c>
      <c r="X971">
        <v>62.722000000000001</v>
      </c>
      <c r="Y971">
        <v>190.46</v>
      </c>
      <c r="Z971">
        <v>1.2889999999999999</v>
      </c>
      <c r="AA971">
        <v>76.290000000000006</v>
      </c>
      <c r="AB971">
        <v>8.7420000000000009</v>
      </c>
      <c r="AC971">
        <v>0</v>
      </c>
      <c r="AD971">
        <v>2.1970000000000001</v>
      </c>
      <c r="AE971">
        <v>2.66</v>
      </c>
      <c r="AF971">
        <v>6.7000000000000004E-2</v>
      </c>
      <c r="AG971">
        <v>111.157</v>
      </c>
      <c r="AH971">
        <v>455.584</v>
      </c>
      <c r="AI971" t="s">
        <v>22</v>
      </c>
      <c r="AJ971">
        <v>753.33299999999997</v>
      </c>
      <c r="AK971">
        <v>250</v>
      </c>
      <c r="AL971">
        <v>200</v>
      </c>
      <c r="AM971">
        <v>83.334000000000003</v>
      </c>
      <c r="AN971">
        <v>33.332999999999998</v>
      </c>
      <c r="AO971">
        <v>0</v>
      </c>
      <c r="AP971">
        <v>10</v>
      </c>
      <c r="AQ971">
        <v>33.332999999999998</v>
      </c>
      <c r="AR971">
        <v>10</v>
      </c>
      <c r="AS971">
        <v>76.665999999999997</v>
      </c>
      <c r="AT971">
        <v>1449.999</v>
      </c>
      <c r="AU971" t="s">
        <v>33</v>
      </c>
    </row>
    <row r="972" spans="1:47" x14ac:dyDescent="0.2">
      <c r="A972">
        <v>1707</v>
      </c>
      <c r="B972" t="s">
        <v>583</v>
      </c>
      <c r="C972">
        <v>43</v>
      </c>
      <c r="D972" t="s">
        <v>102</v>
      </c>
      <c r="G972" t="str">
        <f t="shared" si="15"/>
        <v>WWW100243KR016</v>
      </c>
      <c r="H972">
        <v>71.072000000000003</v>
      </c>
      <c r="I972">
        <v>-165.18199999999999</v>
      </c>
      <c r="J972" s="3">
        <v>20100811</v>
      </c>
      <c r="K972">
        <v>2010</v>
      </c>
      <c r="L972">
        <v>5.4954900000000002</v>
      </c>
      <c r="M972">
        <v>0.19968</v>
      </c>
      <c r="N972">
        <v>6.3979999999999995E-2</v>
      </c>
      <c r="O972">
        <v>4.6534500000000003</v>
      </c>
      <c r="P972">
        <v>0.30562</v>
      </c>
      <c r="Q972">
        <v>0</v>
      </c>
      <c r="R972">
        <v>0</v>
      </c>
      <c r="S972">
        <v>0</v>
      </c>
      <c r="T972">
        <v>0</v>
      </c>
      <c r="U972">
        <v>0.23193</v>
      </c>
      <c r="V972">
        <v>10.950150000000001</v>
      </c>
      <c r="W972" t="s">
        <v>9</v>
      </c>
      <c r="X972">
        <v>79.137</v>
      </c>
      <c r="Y972">
        <v>5.3860000000000001</v>
      </c>
      <c r="Z972">
        <v>0.93100000000000005</v>
      </c>
      <c r="AA972">
        <v>103.41</v>
      </c>
      <c r="AB972">
        <v>21.83</v>
      </c>
      <c r="AC972">
        <v>0</v>
      </c>
      <c r="AD972">
        <v>0</v>
      </c>
      <c r="AE972">
        <v>0</v>
      </c>
      <c r="AF972">
        <v>0</v>
      </c>
      <c r="AG972">
        <v>3.7970000000000002</v>
      </c>
      <c r="AH972">
        <v>214.49100000000001</v>
      </c>
      <c r="AI972" t="s">
        <v>24</v>
      </c>
      <c r="AJ972">
        <v>249.99799999999999</v>
      </c>
      <c r="AK972">
        <v>136.66800000000001</v>
      </c>
      <c r="AL972">
        <v>33.332999999999998</v>
      </c>
      <c r="AM972">
        <v>6.6669999999999998</v>
      </c>
      <c r="AN972">
        <v>23.334</v>
      </c>
      <c r="AO972">
        <v>0</v>
      </c>
      <c r="AP972">
        <v>0</v>
      </c>
      <c r="AQ972">
        <v>0</v>
      </c>
      <c r="AR972">
        <v>0</v>
      </c>
      <c r="AS972">
        <v>40</v>
      </c>
      <c r="AT972">
        <v>490</v>
      </c>
      <c r="AU972" t="s">
        <v>33</v>
      </c>
    </row>
    <row r="973" spans="1:47" x14ac:dyDescent="0.2">
      <c r="A973">
        <v>1708</v>
      </c>
      <c r="B973" t="s">
        <v>583</v>
      </c>
      <c r="C973">
        <v>44</v>
      </c>
      <c r="D973" t="s">
        <v>103</v>
      </c>
      <c r="G973" t="str">
        <f t="shared" si="15"/>
        <v>WWW100244KR019</v>
      </c>
      <c r="H973">
        <v>71.072999999999993</v>
      </c>
      <c r="I973">
        <v>-164.71799999999999</v>
      </c>
      <c r="J973" s="3">
        <v>20100813</v>
      </c>
      <c r="K973">
        <v>2010</v>
      </c>
      <c r="L973">
        <v>8.9400099999999991</v>
      </c>
      <c r="M973">
        <v>4.0733899999999998</v>
      </c>
      <c r="N973">
        <v>2.9399999999999999E-2</v>
      </c>
      <c r="O973">
        <v>0</v>
      </c>
      <c r="P973">
        <v>0.34910999999999998</v>
      </c>
      <c r="Q973">
        <v>0</v>
      </c>
      <c r="R973">
        <v>0</v>
      </c>
      <c r="S973">
        <v>3.0000000000000001E-5</v>
      </c>
      <c r="T973">
        <v>1.9000000000000001E-4</v>
      </c>
      <c r="U973">
        <v>2.247E-2</v>
      </c>
      <c r="V973">
        <v>13.4146</v>
      </c>
      <c r="W973" t="s">
        <v>9</v>
      </c>
      <c r="X973">
        <v>129.511</v>
      </c>
      <c r="Y973">
        <v>179.62200000000001</v>
      </c>
      <c r="Z973">
        <v>0.41599999999999998</v>
      </c>
      <c r="AA973">
        <v>0</v>
      </c>
      <c r="AB973">
        <v>24.936</v>
      </c>
      <c r="AC973">
        <v>0</v>
      </c>
      <c r="AD973">
        <v>0</v>
      </c>
      <c r="AE973">
        <v>2E-3</v>
      </c>
      <c r="AF973">
        <v>2E-3</v>
      </c>
      <c r="AG973">
        <v>0.47099999999999997</v>
      </c>
      <c r="AH973">
        <v>334.96</v>
      </c>
      <c r="AI973" t="s">
        <v>22</v>
      </c>
      <c r="AJ973">
        <v>349.99700000000001</v>
      </c>
      <c r="AK973">
        <v>130.001</v>
      </c>
      <c r="AL973">
        <v>59.999000000000002</v>
      </c>
      <c r="AM973">
        <v>0</v>
      </c>
      <c r="AN973">
        <v>53.332999999999998</v>
      </c>
      <c r="AO973">
        <v>0</v>
      </c>
      <c r="AP973">
        <v>0</v>
      </c>
      <c r="AQ973">
        <v>16.667000000000002</v>
      </c>
      <c r="AR973">
        <v>0</v>
      </c>
      <c r="AS973">
        <v>33.332999999999998</v>
      </c>
      <c r="AT973">
        <v>643.33000000000004</v>
      </c>
      <c r="AU973" t="s">
        <v>33</v>
      </c>
    </row>
    <row r="974" spans="1:47" x14ac:dyDescent="0.2">
      <c r="A974">
        <v>1709</v>
      </c>
      <c r="B974" t="s">
        <v>583</v>
      </c>
      <c r="C974">
        <v>45</v>
      </c>
      <c r="D974" t="s">
        <v>104</v>
      </c>
      <c r="G974" t="str">
        <f t="shared" si="15"/>
        <v>WWW100245KR034</v>
      </c>
      <c r="H974">
        <v>70.972999999999999</v>
      </c>
      <c r="I974">
        <v>-165.482</v>
      </c>
      <c r="J974" s="3">
        <v>20100807</v>
      </c>
      <c r="K974">
        <v>2010</v>
      </c>
      <c r="L974">
        <v>5.7828200000000001</v>
      </c>
      <c r="M974">
        <v>0.25567000000000001</v>
      </c>
      <c r="N974">
        <v>0.23108999999999999</v>
      </c>
      <c r="O974">
        <v>0</v>
      </c>
      <c r="P974">
        <v>5.9999999999999995E-4</v>
      </c>
      <c r="Q974">
        <v>0</v>
      </c>
      <c r="R974">
        <v>0</v>
      </c>
      <c r="S974">
        <v>0</v>
      </c>
      <c r="T974">
        <v>0.88163999999999998</v>
      </c>
      <c r="U974">
        <v>1.84E-2</v>
      </c>
      <c r="V974">
        <v>7.1702199999999996</v>
      </c>
      <c r="W974" t="s">
        <v>9</v>
      </c>
      <c r="X974">
        <v>77.510999999999996</v>
      </c>
      <c r="Y974">
        <v>12.52</v>
      </c>
      <c r="Z974">
        <v>3.3740000000000001</v>
      </c>
      <c r="AA974">
        <v>0</v>
      </c>
      <c r="AB974">
        <v>4.2999999999999997E-2</v>
      </c>
      <c r="AC974">
        <v>0</v>
      </c>
      <c r="AD974">
        <v>0</v>
      </c>
      <c r="AE974">
        <v>0</v>
      </c>
      <c r="AF974">
        <v>9.48</v>
      </c>
      <c r="AG974">
        <v>0.30499999999999999</v>
      </c>
      <c r="AH974">
        <v>103.233</v>
      </c>
      <c r="AI974" t="s">
        <v>21</v>
      </c>
      <c r="AJ974">
        <v>250</v>
      </c>
      <c r="AK974">
        <v>163.333</v>
      </c>
      <c r="AL974">
        <v>83.331999999999994</v>
      </c>
      <c r="AM974">
        <v>0</v>
      </c>
      <c r="AN974">
        <v>20</v>
      </c>
      <c r="AO974">
        <v>0</v>
      </c>
      <c r="AP974">
        <v>0</v>
      </c>
      <c r="AQ974">
        <v>0</v>
      </c>
      <c r="AR974">
        <v>3.3330000000000002</v>
      </c>
      <c r="AS974">
        <v>46.665999999999997</v>
      </c>
      <c r="AT974">
        <v>566.66399999999999</v>
      </c>
      <c r="AU974" t="s">
        <v>33</v>
      </c>
    </row>
    <row r="975" spans="1:47" x14ac:dyDescent="0.2">
      <c r="A975">
        <v>1710</v>
      </c>
      <c r="B975" t="s">
        <v>583</v>
      </c>
      <c r="C975">
        <v>46</v>
      </c>
      <c r="D975" t="s">
        <v>105</v>
      </c>
      <c r="G975" t="str">
        <f t="shared" si="15"/>
        <v>WWW100246KR043</v>
      </c>
      <c r="H975">
        <v>70.921000000000006</v>
      </c>
      <c r="I975">
        <v>-165.643</v>
      </c>
      <c r="J975" s="3">
        <v>20100807</v>
      </c>
      <c r="K975">
        <v>2010</v>
      </c>
      <c r="L975">
        <v>3.3640699999999999</v>
      </c>
      <c r="M975">
        <v>0.39715</v>
      </c>
      <c r="N975">
        <v>9.1560000000000002E-2</v>
      </c>
      <c r="O975">
        <v>0</v>
      </c>
      <c r="P975">
        <v>4.2399999999999998E-3</v>
      </c>
      <c r="Q975">
        <v>0</v>
      </c>
      <c r="R975">
        <v>0</v>
      </c>
      <c r="S975">
        <v>0</v>
      </c>
      <c r="T975">
        <v>0</v>
      </c>
      <c r="U975">
        <v>1.0499999999999999E-3</v>
      </c>
      <c r="V975">
        <v>3.8580700000000001</v>
      </c>
      <c r="W975" t="s">
        <v>9</v>
      </c>
      <c r="X975">
        <v>48.167000000000002</v>
      </c>
      <c r="Y975">
        <v>22.754000000000001</v>
      </c>
      <c r="Z975">
        <v>1.262</v>
      </c>
      <c r="AA975">
        <v>0</v>
      </c>
      <c r="AB975">
        <v>0.30299999999999999</v>
      </c>
      <c r="AC975">
        <v>0</v>
      </c>
      <c r="AD975">
        <v>0</v>
      </c>
      <c r="AE975">
        <v>0</v>
      </c>
      <c r="AF975">
        <v>0</v>
      </c>
      <c r="AG975">
        <v>1.7000000000000001E-2</v>
      </c>
      <c r="AH975">
        <v>72.503</v>
      </c>
      <c r="AI975" t="s">
        <v>21</v>
      </c>
      <c r="AJ975">
        <v>183.33199999999999</v>
      </c>
      <c r="AK975">
        <v>176.666</v>
      </c>
      <c r="AL975">
        <v>40</v>
      </c>
      <c r="AM975">
        <v>0</v>
      </c>
      <c r="AN975">
        <v>6.6660000000000004</v>
      </c>
      <c r="AO975">
        <v>0</v>
      </c>
      <c r="AP975">
        <v>0</v>
      </c>
      <c r="AQ975">
        <v>0</v>
      </c>
      <c r="AR975">
        <v>0</v>
      </c>
      <c r="AS975">
        <v>6.6669999999999998</v>
      </c>
      <c r="AT975">
        <v>413.33100000000002</v>
      </c>
      <c r="AU975" t="s">
        <v>33</v>
      </c>
    </row>
    <row r="976" spans="1:47" x14ac:dyDescent="0.2">
      <c r="A976">
        <v>1711</v>
      </c>
      <c r="B976" t="s">
        <v>583</v>
      </c>
      <c r="C976">
        <v>47</v>
      </c>
      <c r="D976" t="s">
        <v>106</v>
      </c>
      <c r="G976" t="str">
        <f t="shared" si="15"/>
        <v>WWW100247KR045</v>
      </c>
      <c r="H976">
        <v>70.924000000000007</v>
      </c>
      <c r="I976">
        <v>-165.328</v>
      </c>
      <c r="J976" s="3">
        <v>20100812</v>
      </c>
      <c r="K976">
        <v>2010</v>
      </c>
      <c r="L976">
        <v>6.6314700000000002</v>
      </c>
      <c r="M976">
        <v>0.56310000000000004</v>
      </c>
      <c r="N976">
        <v>0.25574000000000002</v>
      </c>
      <c r="O976">
        <v>0</v>
      </c>
      <c r="P976">
        <v>3.0000000000000001E-5</v>
      </c>
      <c r="Q976">
        <v>0</v>
      </c>
      <c r="R976">
        <v>0</v>
      </c>
      <c r="S976">
        <v>0</v>
      </c>
      <c r="T976">
        <v>1.58E-3</v>
      </c>
      <c r="U976">
        <v>1.5399999999999999E-3</v>
      </c>
      <c r="V976">
        <v>7.4534599999999998</v>
      </c>
      <c r="W976" t="s">
        <v>9</v>
      </c>
      <c r="X976">
        <v>91.283000000000001</v>
      </c>
      <c r="Y976">
        <v>15.622</v>
      </c>
      <c r="Z976">
        <v>3.4809999999999999</v>
      </c>
      <c r="AA976">
        <v>0</v>
      </c>
      <c r="AB976">
        <v>2E-3</v>
      </c>
      <c r="AC976">
        <v>0</v>
      </c>
      <c r="AD976">
        <v>0</v>
      </c>
      <c r="AE976">
        <v>0</v>
      </c>
      <c r="AF976">
        <v>1.7000000000000001E-2</v>
      </c>
      <c r="AG976">
        <v>0.03</v>
      </c>
      <c r="AH976">
        <v>110.435</v>
      </c>
      <c r="AI976" t="s">
        <v>21</v>
      </c>
      <c r="AJ976">
        <v>313.33</v>
      </c>
      <c r="AK976">
        <v>119.999</v>
      </c>
      <c r="AL976">
        <v>76.665000000000006</v>
      </c>
      <c r="AM976">
        <v>0</v>
      </c>
      <c r="AN976">
        <v>3.3330000000000002</v>
      </c>
      <c r="AO976">
        <v>0</v>
      </c>
      <c r="AP976">
        <v>0</v>
      </c>
      <c r="AQ976">
        <v>0</v>
      </c>
      <c r="AR976">
        <v>0</v>
      </c>
      <c r="AS976">
        <v>16.666</v>
      </c>
      <c r="AT976">
        <v>529.99300000000005</v>
      </c>
      <c r="AU976" t="s">
        <v>33</v>
      </c>
    </row>
    <row r="977" spans="1:47" x14ac:dyDescent="0.2">
      <c r="A977">
        <v>1712</v>
      </c>
      <c r="B977" t="s">
        <v>583</v>
      </c>
      <c r="C977">
        <v>48</v>
      </c>
      <c r="D977" t="s">
        <v>107</v>
      </c>
      <c r="G977" t="str">
        <f t="shared" si="15"/>
        <v>WWW100248KR056</v>
      </c>
      <c r="H977">
        <v>70.873999999999995</v>
      </c>
      <c r="I977">
        <v>-165.18199999999999</v>
      </c>
      <c r="J977" s="3">
        <v>20100812</v>
      </c>
      <c r="K977">
        <v>2010</v>
      </c>
      <c r="L977">
        <v>7.0995999999999997</v>
      </c>
      <c r="M977">
        <v>0.99012</v>
      </c>
      <c r="N977">
        <v>7.0190000000000002E-2</v>
      </c>
      <c r="O977">
        <v>2.31332</v>
      </c>
      <c r="P977">
        <v>4.8999999999999998E-3</v>
      </c>
      <c r="Q977">
        <v>0</v>
      </c>
      <c r="R977">
        <v>0.93667999999999996</v>
      </c>
      <c r="S977">
        <v>0</v>
      </c>
      <c r="T977">
        <v>2.7999999999999998E-4</v>
      </c>
      <c r="U977">
        <v>1.018E-2</v>
      </c>
      <c r="V977">
        <v>11.425269999999999</v>
      </c>
      <c r="W977" t="s">
        <v>9</v>
      </c>
      <c r="X977">
        <v>101.2</v>
      </c>
      <c r="Y977">
        <v>28.138999999999999</v>
      </c>
      <c r="Z977">
        <v>1.0129999999999999</v>
      </c>
      <c r="AA977">
        <v>51.406999999999996</v>
      </c>
      <c r="AB977">
        <v>0.35</v>
      </c>
      <c r="AC977">
        <v>0</v>
      </c>
      <c r="AD977">
        <v>23.417000000000002</v>
      </c>
      <c r="AE977">
        <v>0</v>
      </c>
      <c r="AF977">
        <v>3.0000000000000001E-3</v>
      </c>
      <c r="AG977">
        <v>0.16700000000000001</v>
      </c>
      <c r="AH977">
        <v>205.696</v>
      </c>
      <c r="AI977" t="s">
        <v>21</v>
      </c>
      <c r="AJ977">
        <v>363.33199999999999</v>
      </c>
      <c r="AK977">
        <v>173.333</v>
      </c>
      <c r="AL977">
        <v>90</v>
      </c>
      <c r="AM977">
        <v>3.3330000000000002</v>
      </c>
      <c r="AN977">
        <v>16.667000000000002</v>
      </c>
      <c r="AO977">
        <v>0</v>
      </c>
      <c r="AP977">
        <v>3.3330000000000002</v>
      </c>
      <c r="AQ977">
        <v>0</v>
      </c>
      <c r="AR977">
        <v>0</v>
      </c>
      <c r="AS977">
        <v>6.6660000000000004</v>
      </c>
      <c r="AT977">
        <v>656.66399999999999</v>
      </c>
      <c r="AU977" t="s">
        <v>33</v>
      </c>
    </row>
    <row r="978" spans="1:47" x14ac:dyDescent="0.2">
      <c r="A978">
        <v>1713</v>
      </c>
      <c r="B978" t="s">
        <v>583</v>
      </c>
      <c r="C978">
        <v>49</v>
      </c>
      <c r="D978" t="s">
        <v>108</v>
      </c>
      <c r="G978" t="str">
        <f t="shared" si="15"/>
        <v>WWW100249KR066</v>
      </c>
      <c r="H978">
        <v>70.823999999999998</v>
      </c>
      <c r="I978">
        <v>-165.178</v>
      </c>
      <c r="J978" s="3">
        <v>20100812</v>
      </c>
      <c r="K978">
        <v>2010</v>
      </c>
      <c r="L978">
        <v>5.6842699999999997</v>
      </c>
      <c r="M978">
        <v>0.64293999999999996</v>
      </c>
      <c r="N978">
        <v>0.10416</v>
      </c>
      <c r="O978">
        <v>0</v>
      </c>
      <c r="P978">
        <v>5.5199999999999999E-2</v>
      </c>
      <c r="Q978">
        <v>0</v>
      </c>
      <c r="R978">
        <v>0</v>
      </c>
      <c r="S978">
        <v>0</v>
      </c>
      <c r="T978">
        <v>2.7899999999999999E-3</v>
      </c>
      <c r="U978">
        <v>1.108E-2</v>
      </c>
      <c r="V978">
        <v>6.5004400000000002</v>
      </c>
      <c r="W978" t="s">
        <v>9</v>
      </c>
      <c r="X978">
        <v>84.001000000000005</v>
      </c>
      <c r="Y978">
        <v>20.219000000000001</v>
      </c>
      <c r="Z978">
        <v>1.514</v>
      </c>
      <c r="AA978">
        <v>0</v>
      </c>
      <c r="AB978">
        <v>3.9430000000000001</v>
      </c>
      <c r="AC978">
        <v>0</v>
      </c>
      <c r="AD978">
        <v>0</v>
      </c>
      <c r="AE978">
        <v>0</v>
      </c>
      <c r="AF978">
        <v>0.03</v>
      </c>
      <c r="AG978">
        <v>0.36</v>
      </c>
      <c r="AH978">
        <v>110.06699999999999</v>
      </c>
      <c r="AI978" t="s">
        <v>21</v>
      </c>
      <c r="AJ978">
        <v>293.33300000000003</v>
      </c>
      <c r="AK978">
        <v>143.333</v>
      </c>
      <c r="AL978">
        <v>90</v>
      </c>
      <c r="AM978">
        <v>0</v>
      </c>
      <c r="AN978">
        <v>16.667000000000002</v>
      </c>
      <c r="AO978">
        <v>0</v>
      </c>
      <c r="AP978">
        <v>0</v>
      </c>
      <c r="AQ978">
        <v>0</v>
      </c>
      <c r="AR978">
        <v>0</v>
      </c>
      <c r="AS978">
        <v>16.666</v>
      </c>
      <c r="AT978">
        <v>559.99900000000002</v>
      </c>
      <c r="AU978" t="s">
        <v>33</v>
      </c>
    </row>
    <row r="979" spans="1:47" x14ac:dyDescent="0.2">
      <c r="A979">
        <v>1714</v>
      </c>
      <c r="B979" t="s">
        <v>583</v>
      </c>
      <c r="C979">
        <v>5</v>
      </c>
      <c r="D979" s="4" t="s">
        <v>783</v>
      </c>
      <c r="E979" s="4" t="s">
        <v>783</v>
      </c>
      <c r="F979" s="4" t="s">
        <v>55</v>
      </c>
      <c r="G979" t="str">
        <f t="shared" si="15"/>
        <v>WWW10025DBO4.3</v>
      </c>
      <c r="H979">
        <v>71.233000000000004</v>
      </c>
      <c r="I979">
        <v>-162.631</v>
      </c>
      <c r="J979" s="3">
        <v>20100819</v>
      </c>
      <c r="K979">
        <v>2010</v>
      </c>
      <c r="L979">
        <v>3.64777</v>
      </c>
      <c r="M979">
        <v>1.8544499999999999</v>
      </c>
      <c r="N979">
        <v>0.16578999999999999</v>
      </c>
      <c r="O979">
        <v>6.0633499999999998</v>
      </c>
      <c r="P979">
        <v>0.18831000000000001</v>
      </c>
      <c r="Q979">
        <v>0</v>
      </c>
      <c r="R979">
        <v>4.5300000000000002E-3</v>
      </c>
      <c r="S979">
        <v>0</v>
      </c>
      <c r="T979">
        <v>1.3950000000000001E-2</v>
      </c>
      <c r="U979">
        <v>3.7220000000000003E-2</v>
      </c>
      <c r="V979">
        <v>11.97537</v>
      </c>
      <c r="W979" t="s">
        <v>12</v>
      </c>
      <c r="X979">
        <v>47.857999999999997</v>
      </c>
      <c r="Y979">
        <v>63.186</v>
      </c>
      <c r="Z979">
        <v>2.2650000000000001</v>
      </c>
      <c r="AA979">
        <v>134.74100000000001</v>
      </c>
      <c r="AB979">
        <v>13.451000000000001</v>
      </c>
      <c r="AC979">
        <v>0</v>
      </c>
      <c r="AD979">
        <v>7.4999999999999997E-2</v>
      </c>
      <c r="AE979">
        <v>0</v>
      </c>
      <c r="AF979">
        <v>0.15</v>
      </c>
      <c r="AG979">
        <v>1.1930000000000001</v>
      </c>
      <c r="AH979">
        <v>262.91899999999998</v>
      </c>
      <c r="AI979" t="s">
        <v>24</v>
      </c>
      <c r="AJ979">
        <v>1136.6659999999999</v>
      </c>
      <c r="AK979">
        <v>310.00200000000001</v>
      </c>
      <c r="AL979">
        <v>533.33100000000002</v>
      </c>
      <c r="AM979">
        <v>16.667000000000002</v>
      </c>
      <c r="AN979">
        <v>43.332999999999998</v>
      </c>
      <c r="AO979">
        <v>0</v>
      </c>
      <c r="AP979">
        <v>6.6660000000000004</v>
      </c>
      <c r="AQ979">
        <v>0</v>
      </c>
      <c r="AR979">
        <v>3.3330000000000002</v>
      </c>
      <c r="AS979">
        <v>33.332999999999998</v>
      </c>
      <c r="AT979">
        <v>2083.3310000000001</v>
      </c>
      <c r="AU979" t="s">
        <v>33</v>
      </c>
    </row>
    <row r="980" spans="1:47" x14ac:dyDescent="0.2">
      <c r="A980">
        <v>1715</v>
      </c>
      <c r="B980" t="s">
        <v>583</v>
      </c>
      <c r="C980">
        <v>50</v>
      </c>
      <c r="D980" t="s">
        <v>109</v>
      </c>
      <c r="G980" t="str">
        <f t="shared" si="15"/>
        <v>WWW100250KR083</v>
      </c>
      <c r="H980">
        <v>70.721999999999994</v>
      </c>
      <c r="I980">
        <v>-165.63300000000001</v>
      </c>
      <c r="J980" s="3">
        <v>20100806</v>
      </c>
      <c r="K980">
        <v>2010</v>
      </c>
      <c r="L980">
        <v>7.5088600000000003</v>
      </c>
      <c r="M980">
        <v>0.52239000000000002</v>
      </c>
      <c r="N980">
        <v>7.2819999999999996E-2</v>
      </c>
      <c r="O980">
        <v>2.6962199999999998</v>
      </c>
      <c r="P980">
        <v>0</v>
      </c>
      <c r="Q980">
        <v>0</v>
      </c>
      <c r="R980">
        <v>3.2280000000000003E-2</v>
      </c>
      <c r="S980">
        <v>5.4179999999999999E-2</v>
      </c>
      <c r="T980">
        <v>4.0919999999999998E-2</v>
      </c>
      <c r="U980">
        <v>0.39756999999999998</v>
      </c>
      <c r="V980">
        <v>11.325240000000001</v>
      </c>
      <c r="W980" t="s">
        <v>9</v>
      </c>
      <c r="X980">
        <v>106.30800000000001</v>
      </c>
      <c r="Y980">
        <v>24.193000000000001</v>
      </c>
      <c r="Z980">
        <v>1.042</v>
      </c>
      <c r="AA980">
        <v>59.915999999999997</v>
      </c>
      <c r="AB980">
        <v>0</v>
      </c>
      <c r="AC980">
        <v>0</v>
      </c>
      <c r="AD980">
        <v>0.80700000000000005</v>
      </c>
      <c r="AE980">
        <v>3.87</v>
      </c>
      <c r="AF980">
        <v>0.44</v>
      </c>
      <c r="AG980">
        <v>22.466999999999999</v>
      </c>
      <c r="AH980">
        <v>219.04300000000001</v>
      </c>
      <c r="AI980" t="s">
        <v>21</v>
      </c>
      <c r="AJ980">
        <v>769.99900000000002</v>
      </c>
      <c r="AK980">
        <v>223.333</v>
      </c>
      <c r="AL980">
        <v>143.33199999999999</v>
      </c>
      <c r="AM980">
        <v>40</v>
      </c>
      <c r="AN980">
        <v>0</v>
      </c>
      <c r="AO980">
        <v>0</v>
      </c>
      <c r="AP980">
        <v>6.6669999999999998</v>
      </c>
      <c r="AQ980">
        <v>46.667000000000002</v>
      </c>
      <c r="AR980">
        <v>13.333</v>
      </c>
      <c r="AS980">
        <v>186.66800000000001</v>
      </c>
      <c r="AT980">
        <v>1429.999</v>
      </c>
      <c r="AU980" t="s">
        <v>33</v>
      </c>
    </row>
    <row r="981" spans="1:47" x14ac:dyDescent="0.2">
      <c r="A981">
        <v>1716</v>
      </c>
      <c r="B981" t="s">
        <v>583</v>
      </c>
      <c r="C981">
        <v>51</v>
      </c>
      <c r="D981" t="s">
        <v>110</v>
      </c>
      <c r="G981" t="str">
        <f t="shared" si="15"/>
        <v>WWW100251KR095</v>
      </c>
      <c r="H981">
        <v>70.674000000000007</v>
      </c>
      <c r="I981">
        <v>-165.32900000000001</v>
      </c>
      <c r="J981" s="3">
        <v>20100812</v>
      </c>
      <c r="K981">
        <v>2010</v>
      </c>
      <c r="L981">
        <v>2.3534700000000002</v>
      </c>
      <c r="M981">
        <v>0.66302000000000005</v>
      </c>
      <c r="N981">
        <v>0.1865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1.8600000000000001E-3</v>
      </c>
      <c r="U981">
        <v>3.5290000000000002E-2</v>
      </c>
      <c r="V981">
        <v>3.2401399999999998</v>
      </c>
      <c r="W981" t="s">
        <v>9</v>
      </c>
      <c r="X981">
        <v>34.034999999999997</v>
      </c>
      <c r="Y981">
        <v>31.593</v>
      </c>
      <c r="Z981">
        <v>2.6920000000000002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0.02</v>
      </c>
      <c r="AG981">
        <v>0.94099999999999995</v>
      </c>
      <c r="AH981">
        <v>69.281000000000006</v>
      </c>
      <c r="AI981" t="s">
        <v>21</v>
      </c>
      <c r="AJ981">
        <v>233.333</v>
      </c>
      <c r="AK981">
        <v>123.334</v>
      </c>
      <c r="AL981">
        <v>43.332000000000001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3.3330000000000002</v>
      </c>
      <c r="AS981">
        <v>29.998999999999999</v>
      </c>
      <c r="AT981">
        <v>433.33100000000002</v>
      </c>
      <c r="AU981" t="s">
        <v>33</v>
      </c>
    </row>
    <row r="982" spans="1:47" x14ac:dyDescent="0.2">
      <c r="A982">
        <v>1717</v>
      </c>
      <c r="B982" t="s">
        <v>583</v>
      </c>
      <c r="C982">
        <v>52</v>
      </c>
      <c r="D982" t="s">
        <v>585</v>
      </c>
      <c r="G982" t="str">
        <f t="shared" si="15"/>
        <v>WWW100252SF001</v>
      </c>
      <c r="H982">
        <v>71.495999999999995</v>
      </c>
      <c r="I982">
        <v>-164.952</v>
      </c>
      <c r="J982" s="3">
        <v>20100822</v>
      </c>
      <c r="K982">
        <v>2010</v>
      </c>
      <c r="L982">
        <v>8.1419300000000003</v>
      </c>
      <c r="M982">
        <v>2.3805100000000001</v>
      </c>
      <c r="N982">
        <v>0.19872000000000001</v>
      </c>
      <c r="O982">
        <v>1.1628000000000001</v>
      </c>
      <c r="P982">
        <v>0.18522</v>
      </c>
      <c r="Q982">
        <v>0</v>
      </c>
      <c r="R982">
        <v>0</v>
      </c>
      <c r="S982">
        <v>0</v>
      </c>
      <c r="T982">
        <v>9.6439999999999998E-2</v>
      </c>
      <c r="U982">
        <v>0.22078999999999999</v>
      </c>
      <c r="V982">
        <v>12.38641</v>
      </c>
      <c r="W982" t="s">
        <v>9</v>
      </c>
      <c r="X982">
        <v>110.974</v>
      </c>
      <c r="Y982">
        <v>84.16</v>
      </c>
      <c r="Z982">
        <v>2.851</v>
      </c>
      <c r="AA982">
        <v>25.84</v>
      </c>
      <c r="AB982">
        <v>13.23</v>
      </c>
      <c r="AC982">
        <v>0</v>
      </c>
      <c r="AD982">
        <v>0</v>
      </c>
      <c r="AE982">
        <v>0</v>
      </c>
      <c r="AF982">
        <v>1.0369999999999999</v>
      </c>
      <c r="AG982">
        <v>5.3540000000000001</v>
      </c>
      <c r="AH982">
        <v>243.446</v>
      </c>
      <c r="AI982" t="s">
        <v>21</v>
      </c>
      <c r="AJ982">
        <v>456.666</v>
      </c>
      <c r="AK982">
        <v>309.99799999999999</v>
      </c>
      <c r="AL982">
        <v>216.667</v>
      </c>
      <c r="AM982">
        <v>3.3330000000000002</v>
      </c>
      <c r="AN982">
        <v>36.665999999999997</v>
      </c>
      <c r="AO982">
        <v>0</v>
      </c>
      <c r="AP982">
        <v>0</v>
      </c>
      <c r="AQ982">
        <v>0</v>
      </c>
      <c r="AR982">
        <v>16.667000000000002</v>
      </c>
      <c r="AS982">
        <v>36.665999999999997</v>
      </c>
      <c r="AT982">
        <v>1076.663</v>
      </c>
      <c r="AU982" t="s">
        <v>33</v>
      </c>
    </row>
    <row r="983" spans="1:47" x14ac:dyDescent="0.2">
      <c r="A983">
        <v>1718</v>
      </c>
      <c r="B983" t="s">
        <v>583</v>
      </c>
      <c r="C983">
        <v>53</v>
      </c>
      <c r="D983" t="s">
        <v>586</v>
      </c>
      <c r="G983" t="str">
        <f t="shared" si="15"/>
        <v>WWW100253SF003</v>
      </c>
      <c r="H983">
        <v>71.495999999999995</v>
      </c>
      <c r="I983">
        <v>-164.17599999999999</v>
      </c>
      <c r="J983" s="3">
        <v>20100825</v>
      </c>
      <c r="K983">
        <v>2010</v>
      </c>
      <c r="L983">
        <v>2.0955599999999999</v>
      </c>
      <c r="M983">
        <v>2.8399899999999998</v>
      </c>
      <c r="N983">
        <v>1.5483</v>
      </c>
      <c r="O983">
        <v>3.15212</v>
      </c>
      <c r="P983">
        <v>0.12204</v>
      </c>
      <c r="Q983">
        <v>0</v>
      </c>
      <c r="R983">
        <v>0</v>
      </c>
      <c r="S983">
        <v>0</v>
      </c>
      <c r="T983">
        <v>0.82435000000000003</v>
      </c>
      <c r="U983">
        <v>5.5460000000000002E-2</v>
      </c>
      <c r="V983">
        <v>10.63782</v>
      </c>
      <c r="W983" t="s">
        <v>12</v>
      </c>
      <c r="X983">
        <v>28.498000000000001</v>
      </c>
      <c r="Y983">
        <v>88.239000000000004</v>
      </c>
      <c r="Z983">
        <v>22.56</v>
      </c>
      <c r="AA983">
        <v>70.046999999999997</v>
      </c>
      <c r="AB983">
        <v>8.7170000000000005</v>
      </c>
      <c r="AC983">
        <v>0</v>
      </c>
      <c r="AD983">
        <v>0</v>
      </c>
      <c r="AE983">
        <v>0</v>
      </c>
      <c r="AF983">
        <v>8.8640000000000008</v>
      </c>
      <c r="AG983">
        <v>1.4930000000000001</v>
      </c>
      <c r="AH983">
        <v>228.41800000000001</v>
      </c>
      <c r="AI983" t="s">
        <v>22</v>
      </c>
      <c r="AJ983">
        <v>296.66500000000002</v>
      </c>
      <c r="AK983">
        <v>180</v>
      </c>
      <c r="AL983">
        <v>223.333</v>
      </c>
      <c r="AM983">
        <v>6.6669999999999998</v>
      </c>
      <c r="AN983">
        <v>6.6669999999999998</v>
      </c>
      <c r="AO983">
        <v>0</v>
      </c>
      <c r="AP983">
        <v>0</v>
      </c>
      <c r="AQ983">
        <v>0</v>
      </c>
      <c r="AR983">
        <v>20</v>
      </c>
      <c r="AS983">
        <v>23.332999999999998</v>
      </c>
      <c r="AT983">
        <v>756.66499999999996</v>
      </c>
      <c r="AU983" t="s">
        <v>33</v>
      </c>
    </row>
    <row r="984" spans="1:47" x14ac:dyDescent="0.2">
      <c r="A984">
        <v>1719</v>
      </c>
      <c r="B984" t="s">
        <v>583</v>
      </c>
      <c r="C984">
        <v>54</v>
      </c>
      <c r="D984" t="s">
        <v>587</v>
      </c>
      <c r="G984" t="str">
        <f t="shared" si="15"/>
        <v>WWW100254SF005</v>
      </c>
      <c r="H984">
        <v>71.622</v>
      </c>
      <c r="I984">
        <v>-164.56399999999999</v>
      </c>
      <c r="J984" s="3">
        <v>20100823</v>
      </c>
      <c r="K984">
        <v>2010</v>
      </c>
      <c r="L984">
        <v>11.763870000000001</v>
      </c>
      <c r="M984">
        <v>3.9508000000000001</v>
      </c>
      <c r="N984">
        <v>0.23976</v>
      </c>
      <c r="O984">
        <v>2.1043400000000001</v>
      </c>
      <c r="P984">
        <v>0.77373999999999998</v>
      </c>
      <c r="Q984">
        <v>0</v>
      </c>
      <c r="R984">
        <v>2.0421200000000002</v>
      </c>
      <c r="S984">
        <v>0</v>
      </c>
      <c r="T984">
        <v>0.58589999999999998</v>
      </c>
      <c r="U984">
        <v>4.1270000000000001E-2</v>
      </c>
      <c r="V984">
        <v>21.501799999999999</v>
      </c>
      <c r="W984" t="s">
        <v>9</v>
      </c>
      <c r="X984">
        <v>165.709</v>
      </c>
      <c r="Y984">
        <v>193.83099999999999</v>
      </c>
      <c r="Z984">
        <v>3.141</v>
      </c>
      <c r="AA984">
        <v>46.762999999999998</v>
      </c>
      <c r="AB984">
        <v>55.267000000000003</v>
      </c>
      <c r="AC984">
        <v>0</v>
      </c>
      <c r="AD984">
        <v>51.052999999999997</v>
      </c>
      <c r="AE984">
        <v>0</v>
      </c>
      <c r="AF984">
        <v>6.3</v>
      </c>
      <c r="AG984">
        <v>1.1419999999999999</v>
      </c>
      <c r="AH984">
        <v>523.20600000000002</v>
      </c>
      <c r="AI984" t="s">
        <v>22</v>
      </c>
      <c r="AJ984">
        <v>750</v>
      </c>
      <c r="AK984">
        <v>576.66600000000005</v>
      </c>
      <c r="AL984">
        <v>496.66699999999997</v>
      </c>
      <c r="AM984">
        <v>6.6669999999999998</v>
      </c>
      <c r="AN984">
        <v>76.665999999999997</v>
      </c>
      <c r="AO984">
        <v>0</v>
      </c>
      <c r="AP984">
        <v>3.3330000000000002</v>
      </c>
      <c r="AQ984">
        <v>0</v>
      </c>
      <c r="AR984">
        <v>33.332999999999998</v>
      </c>
      <c r="AS984">
        <v>26.664999999999999</v>
      </c>
      <c r="AT984">
        <v>1969.9970000000001</v>
      </c>
      <c r="AU984" t="s">
        <v>33</v>
      </c>
    </row>
    <row r="985" spans="1:47" x14ac:dyDescent="0.2">
      <c r="A985">
        <v>1720</v>
      </c>
      <c r="B985" t="s">
        <v>583</v>
      </c>
      <c r="C985">
        <v>55</v>
      </c>
      <c r="D985" t="s">
        <v>588</v>
      </c>
      <c r="G985" t="str">
        <f t="shared" si="15"/>
        <v>WWW100255SF007</v>
      </c>
      <c r="H985">
        <v>71.745000000000005</v>
      </c>
      <c r="I985">
        <v>-164.95500000000001</v>
      </c>
      <c r="J985" s="3">
        <v>20100822</v>
      </c>
      <c r="K985">
        <v>2010</v>
      </c>
      <c r="L985">
        <v>5.6262299999999996</v>
      </c>
      <c r="M985">
        <v>1.5581400000000001</v>
      </c>
      <c r="N985">
        <v>0.21062</v>
      </c>
      <c r="O985">
        <v>0.93137000000000003</v>
      </c>
      <c r="P985">
        <v>3.0000000000000001E-5</v>
      </c>
      <c r="Q985">
        <v>0</v>
      </c>
      <c r="R985">
        <v>7.2950000000000001E-2</v>
      </c>
      <c r="S985">
        <v>0.13308</v>
      </c>
      <c r="T985">
        <v>0.3574</v>
      </c>
      <c r="U985">
        <v>1.256E-2</v>
      </c>
      <c r="V985">
        <v>8.9023800000000008</v>
      </c>
      <c r="W985" t="s">
        <v>9</v>
      </c>
      <c r="X985">
        <v>79.147999999999996</v>
      </c>
      <c r="Y985">
        <v>53.887</v>
      </c>
      <c r="Z985">
        <v>2.8879999999999999</v>
      </c>
      <c r="AA985">
        <v>20.696999999999999</v>
      </c>
      <c r="AB985">
        <v>2E-3</v>
      </c>
      <c r="AC985">
        <v>0</v>
      </c>
      <c r="AD985">
        <v>1.196</v>
      </c>
      <c r="AE985">
        <v>9.4339999999999993</v>
      </c>
      <c r="AF985">
        <v>3.843</v>
      </c>
      <c r="AG985">
        <v>0.253</v>
      </c>
      <c r="AH985">
        <v>171.34800000000001</v>
      </c>
      <c r="AI985" t="s">
        <v>21</v>
      </c>
      <c r="AJ985">
        <v>226.666</v>
      </c>
      <c r="AK985">
        <v>146.66800000000001</v>
      </c>
      <c r="AL985">
        <v>73.334000000000003</v>
      </c>
      <c r="AM985">
        <v>3.3330000000000002</v>
      </c>
      <c r="AN985">
        <v>3.3330000000000002</v>
      </c>
      <c r="AO985">
        <v>0</v>
      </c>
      <c r="AP985">
        <v>6.6660000000000004</v>
      </c>
      <c r="AQ985">
        <v>10</v>
      </c>
      <c r="AR985">
        <v>10</v>
      </c>
      <c r="AS985">
        <v>13.332000000000001</v>
      </c>
      <c r="AT985">
        <v>493.33199999999999</v>
      </c>
      <c r="AU985" t="s">
        <v>33</v>
      </c>
    </row>
    <row r="986" spans="1:47" x14ac:dyDescent="0.2">
      <c r="A986">
        <v>1721</v>
      </c>
      <c r="B986" t="s">
        <v>583</v>
      </c>
      <c r="C986">
        <v>56</v>
      </c>
      <c r="D986" t="s">
        <v>589</v>
      </c>
      <c r="G986" t="str">
        <f t="shared" si="15"/>
        <v>WWW100256SF009</v>
      </c>
      <c r="H986">
        <v>71.744</v>
      </c>
      <c r="I986">
        <v>-164.16399999999999</v>
      </c>
      <c r="J986" s="3">
        <v>20100825</v>
      </c>
      <c r="K986">
        <v>2010</v>
      </c>
      <c r="L986">
        <v>6.5518200000000002</v>
      </c>
      <c r="M986">
        <v>4.2104400000000002</v>
      </c>
      <c r="N986">
        <v>0.17399999999999999</v>
      </c>
      <c r="O986">
        <v>3.54074</v>
      </c>
      <c r="P986">
        <v>0</v>
      </c>
      <c r="Q986">
        <v>0</v>
      </c>
      <c r="R986">
        <v>2.2599999999999999E-3</v>
      </c>
      <c r="S986">
        <v>0.10489999999999999</v>
      </c>
      <c r="T986">
        <v>4.6499999999999996E-3</v>
      </c>
      <c r="U986">
        <v>3.0460000000000001E-2</v>
      </c>
      <c r="V986">
        <v>14.61927</v>
      </c>
      <c r="W986" t="s">
        <v>9</v>
      </c>
      <c r="X986">
        <v>93.557000000000002</v>
      </c>
      <c r="Y986">
        <v>229.226</v>
      </c>
      <c r="Z986">
        <v>2.4950000000000001</v>
      </c>
      <c r="AA986">
        <v>78.683000000000007</v>
      </c>
      <c r="AB986">
        <v>0</v>
      </c>
      <c r="AC986">
        <v>0</v>
      </c>
      <c r="AD986">
        <v>3.6999999999999998E-2</v>
      </c>
      <c r="AE986">
        <v>7.4930000000000003</v>
      </c>
      <c r="AF986">
        <v>0.05</v>
      </c>
      <c r="AG986">
        <v>0.53700000000000003</v>
      </c>
      <c r="AH986">
        <v>412.07799999999997</v>
      </c>
      <c r="AI986" t="s">
        <v>22</v>
      </c>
      <c r="AJ986">
        <v>473.33</v>
      </c>
      <c r="AK986">
        <v>263.33300000000003</v>
      </c>
      <c r="AL986">
        <v>89.998999999999995</v>
      </c>
      <c r="AM986">
        <v>10</v>
      </c>
      <c r="AN986">
        <v>0</v>
      </c>
      <c r="AO986">
        <v>0</v>
      </c>
      <c r="AP986">
        <v>3.3330000000000002</v>
      </c>
      <c r="AQ986">
        <v>6.6660000000000004</v>
      </c>
      <c r="AR986">
        <v>3.3330000000000002</v>
      </c>
      <c r="AS986">
        <v>20</v>
      </c>
      <c r="AT986">
        <v>869.99400000000003</v>
      </c>
      <c r="AU986" t="s">
        <v>33</v>
      </c>
    </row>
    <row r="987" spans="1:47" x14ac:dyDescent="0.2">
      <c r="A987">
        <v>1722</v>
      </c>
      <c r="B987" t="s">
        <v>583</v>
      </c>
      <c r="C987">
        <v>57</v>
      </c>
      <c r="D987" t="s">
        <v>590</v>
      </c>
      <c r="G987" t="str">
        <f t="shared" si="15"/>
        <v>WWW100257SF011</v>
      </c>
      <c r="H987">
        <v>71.739999999999995</v>
      </c>
      <c r="I987">
        <v>-163.37</v>
      </c>
      <c r="J987" s="3">
        <v>20100828</v>
      </c>
      <c r="K987">
        <v>2010</v>
      </c>
      <c r="L987">
        <v>1.06535</v>
      </c>
      <c r="M987">
        <v>8.3610000000000007</v>
      </c>
      <c r="N987">
        <v>5.0849999999999999E-2</v>
      </c>
      <c r="O987">
        <v>2.3264999999999998</v>
      </c>
      <c r="P987">
        <v>0</v>
      </c>
      <c r="Q987">
        <v>0</v>
      </c>
      <c r="R987">
        <v>5.5079999999999997E-2</v>
      </c>
      <c r="S987">
        <v>0.16883999999999999</v>
      </c>
      <c r="T987">
        <v>6.5100000000000002E-3</v>
      </c>
      <c r="U987">
        <v>5.0810000000000001E-2</v>
      </c>
      <c r="V987">
        <v>12.08494</v>
      </c>
      <c r="W987" t="s">
        <v>10</v>
      </c>
      <c r="X987">
        <v>17.844000000000001</v>
      </c>
      <c r="Y987">
        <v>209.328</v>
      </c>
      <c r="Z987">
        <v>0.71199999999999997</v>
      </c>
      <c r="AA987">
        <v>51.7</v>
      </c>
      <c r="AB987">
        <v>0</v>
      </c>
      <c r="AC987">
        <v>0</v>
      </c>
      <c r="AD987">
        <v>0.90300000000000002</v>
      </c>
      <c r="AE987">
        <v>12.06</v>
      </c>
      <c r="AF987">
        <v>7.0000000000000007E-2</v>
      </c>
      <c r="AG987">
        <v>1.08</v>
      </c>
      <c r="AH987">
        <v>293.697</v>
      </c>
      <c r="AI987" t="s">
        <v>22</v>
      </c>
      <c r="AJ987">
        <v>213.333</v>
      </c>
      <c r="AK987">
        <v>253.33199999999999</v>
      </c>
      <c r="AL987">
        <v>26.666</v>
      </c>
      <c r="AM987">
        <v>6.6669999999999998</v>
      </c>
      <c r="AN987">
        <v>0</v>
      </c>
      <c r="AO987">
        <v>0</v>
      </c>
      <c r="AP987">
        <v>3.3330000000000002</v>
      </c>
      <c r="AQ987">
        <v>6.6669999999999998</v>
      </c>
      <c r="AR987">
        <v>3.3330000000000002</v>
      </c>
      <c r="AS987">
        <v>16.666</v>
      </c>
      <c r="AT987">
        <v>529.99699999999996</v>
      </c>
      <c r="AU987" t="s">
        <v>34</v>
      </c>
    </row>
    <row r="988" spans="1:47" x14ac:dyDescent="0.2">
      <c r="A988">
        <v>1723</v>
      </c>
      <c r="B988" t="s">
        <v>583</v>
      </c>
      <c r="C988">
        <v>58</v>
      </c>
      <c r="D988" t="s">
        <v>591</v>
      </c>
      <c r="G988" t="str">
        <f t="shared" si="15"/>
        <v>WWW100258SF013</v>
      </c>
      <c r="H988">
        <v>71.869</v>
      </c>
      <c r="I988">
        <v>-164.95599999999999</v>
      </c>
      <c r="J988" s="3">
        <v>20100822</v>
      </c>
      <c r="K988">
        <v>2010</v>
      </c>
      <c r="L988">
        <v>3.33094</v>
      </c>
      <c r="M988">
        <v>2.25251</v>
      </c>
      <c r="N988">
        <v>0.12770999999999999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7.5609999999999997E-2</v>
      </c>
      <c r="U988">
        <v>7.8600000000000007E-3</v>
      </c>
      <c r="V988">
        <v>5.7946299999999997</v>
      </c>
      <c r="W988" t="s">
        <v>9</v>
      </c>
      <c r="X988">
        <v>48.536000000000001</v>
      </c>
      <c r="Y988">
        <v>101.431</v>
      </c>
      <c r="Z988">
        <v>1.7110000000000001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0.81299999999999994</v>
      </c>
      <c r="AG988">
        <v>0.28000000000000003</v>
      </c>
      <c r="AH988">
        <v>152.77099999999999</v>
      </c>
      <c r="AI988" t="s">
        <v>22</v>
      </c>
      <c r="AJ988">
        <v>150</v>
      </c>
      <c r="AK988">
        <v>110</v>
      </c>
      <c r="AL988">
        <v>29.998999999999999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10</v>
      </c>
      <c r="AS988">
        <v>19.998999999999999</v>
      </c>
      <c r="AT988">
        <v>319.99799999999999</v>
      </c>
      <c r="AU988" t="s">
        <v>33</v>
      </c>
    </row>
    <row r="989" spans="1:47" x14ac:dyDescent="0.2">
      <c r="A989">
        <v>1724</v>
      </c>
      <c r="B989" t="s">
        <v>583</v>
      </c>
      <c r="C989">
        <v>59</v>
      </c>
      <c r="D989" t="s">
        <v>592</v>
      </c>
      <c r="G989" t="str">
        <f t="shared" si="15"/>
        <v>WWW100259SF016</v>
      </c>
      <c r="H989">
        <v>71.869</v>
      </c>
      <c r="I989">
        <v>-163.756</v>
      </c>
      <c r="J989" s="3">
        <v>20100827</v>
      </c>
      <c r="K989">
        <v>2010</v>
      </c>
      <c r="L989">
        <v>0.16495000000000001</v>
      </c>
      <c r="M989">
        <v>10.957179999999999</v>
      </c>
      <c r="N989">
        <v>4.156E-2</v>
      </c>
      <c r="O989">
        <v>0</v>
      </c>
      <c r="P989">
        <v>4.0000000000000003E-5</v>
      </c>
      <c r="Q989">
        <v>0</v>
      </c>
      <c r="R989">
        <v>0</v>
      </c>
      <c r="S989">
        <v>0</v>
      </c>
      <c r="T989">
        <v>0</v>
      </c>
      <c r="U989">
        <v>1.0399999999999999E-3</v>
      </c>
      <c r="V989">
        <v>11.164770000000001</v>
      </c>
      <c r="W989" t="s">
        <v>10</v>
      </c>
      <c r="X989">
        <v>2.323</v>
      </c>
      <c r="Y989">
        <v>284.916</v>
      </c>
      <c r="Z989">
        <v>0.60699999999999998</v>
      </c>
      <c r="AA989">
        <v>0</v>
      </c>
      <c r="AB989">
        <v>3.0000000000000001E-3</v>
      </c>
      <c r="AC989">
        <v>0</v>
      </c>
      <c r="AD989">
        <v>0</v>
      </c>
      <c r="AE989">
        <v>0</v>
      </c>
      <c r="AF989">
        <v>0</v>
      </c>
      <c r="AG989">
        <v>2.3E-2</v>
      </c>
      <c r="AH989">
        <v>287.87200000000001</v>
      </c>
      <c r="AI989" t="s">
        <v>22</v>
      </c>
      <c r="AJ989">
        <v>76.664000000000001</v>
      </c>
      <c r="AK989">
        <v>479.99900000000002</v>
      </c>
      <c r="AL989">
        <v>16.666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3.3330000000000002</v>
      </c>
      <c r="AT989">
        <v>576.66200000000003</v>
      </c>
      <c r="AU989" t="s">
        <v>34</v>
      </c>
    </row>
    <row r="990" spans="1:47" x14ac:dyDescent="0.2">
      <c r="A990">
        <v>1725</v>
      </c>
      <c r="B990" t="s">
        <v>583</v>
      </c>
      <c r="C990">
        <v>6</v>
      </c>
      <c r="D990" t="s">
        <v>56</v>
      </c>
      <c r="G990" t="str">
        <f t="shared" si="15"/>
        <v>WWW10026BF011</v>
      </c>
      <c r="H990">
        <v>71.367000000000004</v>
      </c>
      <c r="I990">
        <v>-163.78399999999999</v>
      </c>
      <c r="J990" s="3">
        <v>20100820</v>
      </c>
      <c r="K990">
        <v>2010</v>
      </c>
      <c r="L990">
        <v>7.2391899999999998</v>
      </c>
      <c r="M990">
        <v>4.47485</v>
      </c>
      <c r="N990">
        <v>2.1585800000000002</v>
      </c>
      <c r="O990">
        <v>7.6573900000000004</v>
      </c>
      <c r="P990">
        <v>0.27905999999999997</v>
      </c>
      <c r="Q990">
        <v>0</v>
      </c>
      <c r="R990">
        <v>0</v>
      </c>
      <c r="S990">
        <v>0</v>
      </c>
      <c r="T990">
        <v>7.0959999999999995E-2</v>
      </c>
      <c r="U990">
        <v>1.5570000000000001E-2</v>
      </c>
      <c r="V990">
        <v>21.895600000000002</v>
      </c>
      <c r="W990" t="s">
        <v>12</v>
      </c>
      <c r="X990">
        <v>99.816000000000003</v>
      </c>
      <c r="Y990">
        <v>119.98699999999999</v>
      </c>
      <c r="Z990">
        <v>31.204000000000001</v>
      </c>
      <c r="AA990">
        <v>170.16399999999999</v>
      </c>
      <c r="AB990">
        <v>19.933</v>
      </c>
      <c r="AC990">
        <v>0</v>
      </c>
      <c r="AD990">
        <v>0</v>
      </c>
      <c r="AE990">
        <v>0</v>
      </c>
      <c r="AF990">
        <v>0.76300000000000001</v>
      </c>
      <c r="AG990">
        <v>0.34499999999999997</v>
      </c>
      <c r="AH990">
        <v>442.21199999999999</v>
      </c>
      <c r="AI990" t="s">
        <v>24</v>
      </c>
      <c r="AJ990">
        <v>3663.3330000000001</v>
      </c>
      <c r="AK990">
        <v>350.00099999999998</v>
      </c>
      <c r="AL990">
        <v>579.99900000000002</v>
      </c>
      <c r="AM990">
        <v>16.667000000000002</v>
      </c>
      <c r="AN990">
        <v>40</v>
      </c>
      <c r="AO990">
        <v>0</v>
      </c>
      <c r="AP990">
        <v>0</v>
      </c>
      <c r="AQ990">
        <v>0</v>
      </c>
      <c r="AR990">
        <v>10</v>
      </c>
      <c r="AS990">
        <v>13.333</v>
      </c>
      <c r="AT990">
        <v>4673.3329999999996</v>
      </c>
      <c r="AU990" t="s">
        <v>33</v>
      </c>
    </row>
    <row r="991" spans="1:47" x14ac:dyDescent="0.2">
      <c r="A991">
        <v>1726</v>
      </c>
      <c r="B991" t="s">
        <v>583</v>
      </c>
      <c r="C991">
        <v>60</v>
      </c>
      <c r="D991" t="s">
        <v>593</v>
      </c>
      <c r="G991" t="str">
        <f t="shared" si="15"/>
        <v>WWW100260SF018</v>
      </c>
      <c r="H991">
        <v>71.86</v>
      </c>
      <c r="I991">
        <v>-162.95699999999999</v>
      </c>
      <c r="J991" s="3">
        <v>20100826</v>
      </c>
      <c r="K991">
        <v>2010</v>
      </c>
      <c r="L991">
        <v>2.5169000000000001</v>
      </c>
      <c r="M991">
        <v>14.68812</v>
      </c>
      <c r="N991">
        <v>5.6910000000000002E-2</v>
      </c>
      <c r="O991">
        <v>6.8269500000000001</v>
      </c>
      <c r="P991">
        <v>0</v>
      </c>
      <c r="Q991">
        <v>0</v>
      </c>
      <c r="R991">
        <v>3.9829999999999997E-2</v>
      </c>
      <c r="S991">
        <v>8.9840000000000003E-2</v>
      </c>
      <c r="T991">
        <v>2.1389999999999999E-2</v>
      </c>
      <c r="U991">
        <v>4.1399999999999999E-2</v>
      </c>
      <c r="V991">
        <v>24.28134</v>
      </c>
      <c r="W991" t="s">
        <v>10</v>
      </c>
      <c r="X991">
        <v>33.688000000000002</v>
      </c>
      <c r="Y991">
        <v>455.46300000000002</v>
      </c>
      <c r="Z991">
        <v>0.76900000000000002</v>
      </c>
      <c r="AA991">
        <v>151.71</v>
      </c>
      <c r="AB991">
        <v>0</v>
      </c>
      <c r="AC991">
        <v>0</v>
      </c>
      <c r="AD991">
        <v>0.65300000000000002</v>
      </c>
      <c r="AE991">
        <v>6.4169999999999998</v>
      </c>
      <c r="AF991">
        <v>0.23</v>
      </c>
      <c r="AG991">
        <v>0.92</v>
      </c>
      <c r="AH991">
        <v>649.85</v>
      </c>
      <c r="AI991" t="s">
        <v>22</v>
      </c>
      <c r="AJ991">
        <v>433.33300000000003</v>
      </c>
      <c r="AK991">
        <v>406.666</v>
      </c>
      <c r="AL991">
        <v>3.3330000000000002</v>
      </c>
      <c r="AM991">
        <v>10</v>
      </c>
      <c r="AN991">
        <v>0</v>
      </c>
      <c r="AO991">
        <v>0</v>
      </c>
      <c r="AP991">
        <v>3.3330000000000002</v>
      </c>
      <c r="AQ991">
        <v>3.3330000000000002</v>
      </c>
      <c r="AR991">
        <v>6.6669999999999998</v>
      </c>
      <c r="AS991">
        <v>16.667000000000002</v>
      </c>
      <c r="AT991">
        <v>883.33199999999999</v>
      </c>
      <c r="AU991" t="s">
        <v>33</v>
      </c>
    </row>
    <row r="992" spans="1:47" x14ac:dyDescent="0.2">
      <c r="A992">
        <v>1727</v>
      </c>
      <c r="B992" t="s">
        <v>583</v>
      </c>
      <c r="C992">
        <v>61</v>
      </c>
      <c r="D992" t="s">
        <v>594</v>
      </c>
      <c r="G992" t="str">
        <f t="shared" si="15"/>
        <v>WWW100261SF020</v>
      </c>
      <c r="H992">
        <v>71.994</v>
      </c>
      <c r="I992">
        <v>-164.14500000000001</v>
      </c>
      <c r="J992" s="3">
        <v>20100824</v>
      </c>
      <c r="K992">
        <v>2010</v>
      </c>
      <c r="L992">
        <v>3.0331399999999999</v>
      </c>
      <c r="M992">
        <v>2.9442400000000002</v>
      </c>
      <c r="N992">
        <v>0.61831000000000003</v>
      </c>
      <c r="O992">
        <v>0.25996999999999998</v>
      </c>
      <c r="P992">
        <v>0</v>
      </c>
      <c r="Q992">
        <v>0</v>
      </c>
      <c r="R992">
        <v>0.93164999999999998</v>
      </c>
      <c r="S992">
        <v>0</v>
      </c>
      <c r="T992">
        <v>5.9240000000000001E-2</v>
      </c>
      <c r="U992">
        <v>9.4299999999999991E-3</v>
      </c>
      <c r="V992">
        <v>7.8559799999999997</v>
      </c>
      <c r="W992" t="s">
        <v>9</v>
      </c>
      <c r="X992">
        <v>43.131</v>
      </c>
      <c r="Y992">
        <v>146.65199999999999</v>
      </c>
      <c r="Z992">
        <v>8.9870000000000001</v>
      </c>
      <c r="AA992">
        <v>5.7770000000000001</v>
      </c>
      <c r="AB992">
        <v>0</v>
      </c>
      <c r="AC992">
        <v>0</v>
      </c>
      <c r="AD992">
        <v>15.273</v>
      </c>
      <c r="AE992">
        <v>0</v>
      </c>
      <c r="AF992">
        <v>0.63700000000000001</v>
      </c>
      <c r="AG992">
        <v>0.20699999999999999</v>
      </c>
      <c r="AH992">
        <v>220.66399999999999</v>
      </c>
      <c r="AI992" t="s">
        <v>22</v>
      </c>
      <c r="AJ992">
        <v>303.334</v>
      </c>
      <c r="AK992">
        <v>220</v>
      </c>
      <c r="AL992">
        <v>203.33199999999999</v>
      </c>
      <c r="AM992">
        <v>3.3330000000000002</v>
      </c>
      <c r="AN992">
        <v>0</v>
      </c>
      <c r="AO992">
        <v>0</v>
      </c>
      <c r="AP992">
        <v>6.6669999999999998</v>
      </c>
      <c r="AQ992">
        <v>0</v>
      </c>
      <c r="AR992">
        <v>3.3330000000000002</v>
      </c>
      <c r="AS992">
        <v>10</v>
      </c>
      <c r="AT992">
        <v>749.99900000000002</v>
      </c>
      <c r="AU992" t="s">
        <v>33</v>
      </c>
    </row>
    <row r="993" spans="1:47" x14ac:dyDescent="0.2">
      <c r="A993">
        <v>1728</v>
      </c>
      <c r="B993" t="s">
        <v>583</v>
      </c>
      <c r="C993">
        <v>62</v>
      </c>
      <c r="D993" t="s">
        <v>595</v>
      </c>
      <c r="G993" t="str">
        <f t="shared" si="15"/>
        <v>WWW100262SF022</v>
      </c>
      <c r="H993">
        <v>71.986999999999995</v>
      </c>
      <c r="I993">
        <v>-163.346</v>
      </c>
      <c r="J993" s="3">
        <v>20100825</v>
      </c>
      <c r="K993">
        <v>2010</v>
      </c>
      <c r="L993">
        <v>5.4292400000000001</v>
      </c>
      <c r="M993">
        <v>11.225070000000001</v>
      </c>
      <c r="N993">
        <v>0.36121999999999999</v>
      </c>
      <c r="O993">
        <v>1.31657</v>
      </c>
      <c r="P993">
        <v>0</v>
      </c>
      <c r="Q993">
        <v>0</v>
      </c>
      <c r="R993">
        <v>0.32530999999999999</v>
      </c>
      <c r="S993">
        <v>0</v>
      </c>
      <c r="T993">
        <v>0.19716</v>
      </c>
      <c r="U993">
        <v>2.3369999999999998E-2</v>
      </c>
      <c r="V993">
        <v>18.877939999999999</v>
      </c>
      <c r="W993" t="s">
        <v>10</v>
      </c>
      <c r="X993">
        <v>78.385000000000005</v>
      </c>
      <c r="Y993">
        <v>483.928</v>
      </c>
      <c r="Z993">
        <v>5.1760000000000002</v>
      </c>
      <c r="AA993">
        <v>29.257000000000001</v>
      </c>
      <c r="AB993">
        <v>0</v>
      </c>
      <c r="AC993">
        <v>0</v>
      </c>
      <c r="AD993">
        <v>5.3330000000000002</v>
      </c>
      <c r="AE993">
        <v>0</v>
      </c>
      <c r="AF993">
        <v>2.12</v>
      </c>
      <c r="AG993">
        <v>0.503</v>
      </c>
      <c r="AH993">
        <v>604.702</v>
      </c>
      <c r="AI993" t="s">
        <v>22</v>
      </c>
      <c r="AJ993">
        <v>443.33300000000003</v>
      </c>
      <c r="AK993">
        <v>693.33199999999999</v>
      </c>
      <c r="AL993">
        <v>103.333</v>
      </c>
      <c r="AM993">
        <v>6.6669999999999998</v>
      </c>
      <c r="AN993">
        <v>0</v>
      </c>
      <c r="AO993">
        <v>0</v>
      </c>
      <c r="AP993">
        <v>3.3330000000000002</v>
      </c>
      <c r="AQ993">
        <v>0</v>
      </c>
      <c r="AR993">
        <v>3.3330000000000002</v>
      </c>
      <c r="AS993">
        <v>53.332999999999998</v>
      </c>
      <c r="AT993">
        <v>1306.664</v>
      </c>
      <c r="AU993" t="s">
        <v>34</v>
      </c>
    </row>
    <row r="994" spans="1:47" x14ac:dyDescent="0.2">
      <c r="A994">
        <v>1729</v>
      </c>
      <c r="B994" t="s">
        <v>583</v>
      </c>
      <c r="C994">
        <v>63</v>
      </c>
      <c r="D994" t="s">
        <v>596</v>
      </c>
      <c r="G994" t="str">
        <f t="shared" si="15"/>
        <v>WWW100263SR005</v>
      </c>
      <c r="H994">
        <v>71.516999999999996</v>
      </c>
      <c r="I994">
        <v>-164.376</v>
      </c>
      <c r="J994" s="3">
        <v>20100822</v>
      </c>
      <c r="K994">
        <v>2010</v>
      </c>
      <c r="L994">
        <v>5.6210699999999996</v>
      </c>
      <c r="M994">
        <v>1.7504200000000001</v>
      </c>
      <c r="N994">
        <v>0.67042999999999997</v>
      </c>
      <c r="O994">
        <v>2.6028500000000001</v>
      </c>
      <c r="P994">
        <v>0.28000000000000003</v>
      </c>
      <c r="Q994">
        <v>0</v>
      </c>
      <c r="R994">
        <v>0</v>
      </c>
      <c r="S994">
        <v>0</v>
      </c>
      <c r="T994">
        <v>9.9500000000000005E-3</v>
      </c>
      <c r="U994">
        <v>6.8000000000000005E-2</v>
      </c>
      <c r="V994">
        <v>11.00272</v>
      </c>
      <c r="W994" t="s">
        <v>9</v>
      </c>
      <c r="X994">
        <v>81.534999999999997</v>
      </c>
      <c r="Y994">
        <v>66.567999999999998</v>
      </c>
      <c r="Z994">
        <v>9.7539999999999996</v>
      </c>
      <c r="AA994">
        <v>57.841000000000001</v>
      </c>
      <c r="AB994">
        <v>20</v>
      </c>
      <c r="AC994">
        <v>0</v>
      </c>
      <c r="AD994">
        <v>0</v>
      </c>
      <c r="AE994">
        <v>0</v>
      </c>
      <c r="AF994">
        <v>0.107</v>
      </c>
      <c r="AG994">
        <v>1.08</v>
      </c>
      <c r="AH994">
        <v>236.88499999999999</v>
      </c>
      <c r="AI994" t="s">
        <v>21</v>
      </c>
      <c r="AJ994">
        <v>616.66600000000005</v>
      </c>
      <c r="AK994">
        <v>206.666</v>
      </c>
      <c r="AL994">
        <v>453.33300000000003</v>
      </c>
      <c r="AM994">
        <v>10</v>
      </c>
      <c r="AN994">
        <v>23.332999999999998</v>
      </c>
      <c r="AO994">
        <v>0</v>
      </c>
      <c r="AP994">
        <v>0</v>
      </c>
      <c r="AQ994">
        <v>0</v>
      </c>
      <c r="AR994">
        <v>6.6669999999999998</v>
      </c>
      <c r="AS994">
        <v>19.998999999999999</v>
      </c>
      <c r="AT994">
        <v>1336.664</v>
      </c>
      <c r="AU994" t="s">
        <v>33</v>
      </c>
    </row>
    <row r="995" spans="1:47" x14ac:dyDescent="0.2">
      <c r="A995">
        <v>1730</v>
      </c>
      <c r="B995" t="s">
        <v>583</v>
      </c>
      <c r="C995">
        <v>64</v>
      </c>
      <c r="D995" t="s">
        <v>597</v>
      </c>
      <c r="G995" t="str">
        <f t="shared" si="15"/>
        <v>WWW100264SR008</v>
      </c>
      <c r="H995">
        <v>71.515000000000001</v>
      </c>
      <c r="I995">
        <v>-163.98099999999999</v>
      </c>
      <c r="J995" s="3">
        <v>20100821</v>
      </c>
      <c r="K995">
        <v>2010</v>
      </c>
      <c r="L995">
        <v>9.2057099999999998</v>
      </c>
      <c r="M995">
        <v>0.52131000000000005</v>
      </c>
      <c r="N995">
        <v>0.80013999999999996</v>
      </c>
      <c r="O995">
        <v>1.33142</v>
      </c>
      <c r="P995">
        <v>0.27617999999999998</v>
      </c>
      <c r="Q995">
        <v>0</v>
      </c>
      <c r="R995">
        <v>0.35014000000000001</v>
      </c>
      <c r="S995">
        <v>0</v>
      </c>
      <c r="T995">
        <v>0.10388</v>
      </c>
      <c r="U995">
        <v>5.7630000000000001E-2</v>
      </c>
      <c r="V995">
        <v>12.646409999999999</v>
      </c>
      <c r="W995" t="s">
        <v>9</v>
      </c>
      <c r="X995">
        <v>128.69999999999999</v>
      </c>
      <c r="Y995">
        <v>17.981999999999999</v>
      </c>
      <c r="Z995">
        <v>11.622</v>
      </c>
      <c r="AA995">
        <v>29.587</v>
      </c>
      <c r="AB995">
        <v>19.727</v>
      </c>
      <c r="AC995">
        <v>0</v>
      </c>
      <c r="AD995">
        <v>5.74</v>
      </c>
      <c r="AE995">
        <v>0</v>
      </c>
      <c r="AF995">
        <v>1.117</v>
      </c>
      <c r="AG995">
        <v>3.18</v>
      </c>
      <c r="AH995">
        <v>217.655</v>
      </c>
      <c r="AI995" t="s">
        <v>21</v>
      </c>
      <c r="AJ995">
        <v>516.66700000000003</v>
      </c>
      <c r="AK995">
        <v>126.666</v>
      </c>
      <c r="AL995">
        <v>570.00099999999998</v>
      </c>
      <c r="AM995">
        <v>106.666</v>
      </c>
      <c r="AN995">
        <v>76.665999999999997</v>
      </c>
      <c r="AO995">
        <v>0</v>
      </c>
      <c r="AP995">
        <v>3.3330000000000002</v>
      </c>
      <c r="AQ995">
        <v>0</v>
      </c>
      <c r="AR995">
        <v>3.3330000000000002</v>
      </c>
      <c r="AS995">
        <v>40</v>
      </c>
      <c r="AT995">
        <v>1443.3320000000001</v>
      </c>
      <c r="AU995" t="s">
        <v>35</v>
      </c>
    </row>
    <row r="996" spans="1:47" x14ac:dyDescent="0.2">
      <c r="A996">
        <v>1731</v>
      </c>
      <c r="B996" t="s">
        <v>583</v>
      </c>
      <c r="C996">
        <v>65</v>
      </c>
      <c r="D996" t="s">
        <v>598</v>
      </c>
      <c r="G996" t="str">
        <f t="shared" si="15"/>
        <v>WWW100265SR013</v>
      </c>
      <c r="H996">
        <v>71.56</v>
      </c>
      <c r="I996">
        <v>-164.50200000000001</v>
      </c>
      <c r="J996" s="3">
        <v>20100823</v>
      </c>
      <c r="K996">
        <v>2010</v>
      </c>
      <c r="L996">
        <v>2.5053800000000002</v>
      </c>
      <c r="M996">
        <v>0.77895999999999999</v>
      </c>
      <c r="N996">
        <v>2.9340000000000001E-2</v>
      </c>
      <c r="O996">
        <v>0</v>
      </c>
      <c r="P996">
        <v>0.19594</v>
      </c>
      <c r="Q996">
        <v>0</v>
      </c>
      <c r="R996">
        <v>0</v>
      </c>
      <c r="S996">
        <v>0</v>
      </c>
      <c r="T996">
        <v>1.76142</v>
      </c>
      <c r="U996">
        <v>4.5500000000000002E-3</v>
      </c>
      <c r="V996">
        <v>5.2755900000000002</v>
      </c>
      <c r="W996" t="s">
        <v>9</v>
      </c>
      <c r="X996">
        <v>35.856999999999999</v>
      </c>
      <c r="Y996">
        <v>20.526</v>
      </c>
      <c r="Z996">
        <v>0.38600000000000001</v>
      </c>
      <c r="AA996">
        <v>0</v>
      </c>
      <c r="AB996">
        <v>13.996</v>
      </c>
      <c r="AC996">
        <v>0</v>
      </c>
      <c r="AD996">
        <v>0</v>
      </c>
      <c r="AE996">
        <v>0</v>
      </c>
      <c r="AF996">
        <v>18.940000000000001</v>
      </c>
      <c r="AG996">
        <v>0.123</v>
      </c>
      <c r="AH996">
        <v>89.828000000000003</v>
      </c>
      <c r="AI996" t="s">
        <v>21</v>
      </c>
      <c r="AJ996">
        <v>253.334</v>
      </c>
      <c r="AK996">
        <v>103.333</v>
      </c>
      <c r="AL996">
        <v>39.999000000000002</v>
      </c>
      <c r="AM996">
        <v>0</v>
      </c>
      <c r="AN996">
        <v>16.667000000000002</v>
      </c>
      <c r="AO996">
        <v>0</v>
      </c>
      <c r="AP996">
        <v>0</v>
      </c>
      <c r="AQ996">
        <v>0</v>
      </c>
      <c r="AR996">
        <v>23.332999999999998</v>
      </c>
      <c r="AS996">
        <v>9.9990000000000006</v>
      </c>
      <c r="AT996">
        <v>446.66500000000002</v>
      </c>
      <c r="AU996" t="s">
        <v>33</v>
      </c>
    </row>
    <row r="997" spans="1:47" x14ac:dyDescent="0.2">
      <c r="A997">
        <v>1732</v>
      </c>
      <c r="B997" t="s">
        <v>583</v>
      </c>
      <c r="C997">
        <v>66</v>
      </c>
      <c r="D997" t="s">
        <v>599</v>
      </c>
      <c r="G997" t="str">
        <f t="shared" si="15"/>
        <v>WWW100266SR035</v>
      </c>
      <c r="H997">
        <v>71.638999999999996</v>
      </c>
      <c r="I997">
        <v>-163.97300000000001</v>
      </c>
      <c r="J997" s="3">
        <v>20100821</v>
      </c>
      <c r="K997">
        <v>2010</v>
      </c>
      <c r="L997">
        <v>3.9200900000000001</v>
      </c>
      <c r="M997">
        <v>8.0869999999999997</v>
      </c>
      <c r="N997">
        <v>7.8520000000000006E-2</v>
      </c>
      <c r="O997">
        <v>7.4241000000000001</v>
      </c>
      <c r="P997">
        <v>0.21951999999999999</v>
      </c>
      <c r="Q997">
        <v>0</v>
      </c>
      <c r="R997">
        <v>0.67600000000000005</v>
      </c>
      <c r="S997">
        <v>0</v>
      </c>
      <c r="T997">
        <v>0.35804999999999998</v>
      </c>
      <c r="U997">
        <v>0.10599</v>
      </c>
      <c r="V997">
        <v>20.86927</v>
      </c>
      <c r="W997" t="s">
        <v>10</v>
      </c>
      <c r="X997">
        <v>54.529000000000003</v>
      </c>
      <c r="Y997">
        <v>522.74699999999996</v>
      </c>
      <c r="Z997">
        <v>1.113</v>
      </c>
      <c r="AA997">
        <v>164.98</v>
      </c>
      <c r="AB997">
        <v>15.68</v>
      </c>
      <c r="AC997">
        <v>0</v>
      </c>
      <c r="AD997">
        <v>12.558999999999999</v>
      </c>
      <c r="AE997">
        <v>0</v>
      </c>
      <c r="AF997">
        <v>3.85</v>
      </c>
      <c r="AG997">
        <v>3.0459999999999998</v>
      </c>
      <c r="AH997">
        <v>778.50400000000002</v>
      </c>
      <c r="AI997" t="s">
        <v>22</v>
      </c>
      <c r="AJ997">
        <v>1393.3340000000001</v>
      </c>
      <c r="AK997">
        <v>276.66399999999999</v>
      </c>
      <c r="AL997">
        <v>220</v>
      </c>
      <c r="AM997">
        <v>73.332999999999998</v>
      </c>
      <c r="AN997">
        <v>63.334000000000003</v>
      </c>
      <c r="AO997">
        <v>0</v>
      </c>
      <c r="AP997">
        <v>66.667000000000002</v>
      </c>
      <c r="AQ997">
        <v>0</v>
      </c>
      <c r="AR997">
        <v>23.332999999999998</v>
      </c>
      <c r="AS997">
        <v>93.334000000000003</v>
      </c>
      <c r="AT997">
        <v>2209.9989999999998</v>
      </c>
      <c r="AU997" t="s">
        <v>33</v>
      </c>
    </row>
    <row r="998" spans="1:47" x14ac:dyDescent="0.2">
      <c r="A998">
        <v>1733</v>
      </c>
      <c r="B998" t="s">
        <v>583</v>
      </c>
      <c r="C998">
        <v>67</v>
      </c>
      <c r="D998" t="s">
        <v>600</v>
      </c>
      <c r="G998" t="str">
        <f t="shared" si="15"/>
        <v>WWW100267SR051</v>
      </c>
      <c r="H998">
        <v>71.680999999999997</v>
      </c>
      <c r="I998">
        <v>-163.83500000000001</v>
      </c>
      <c r="J998" s="3">
        <v>20100821</v>
      </c>
      <c r="K998">
        <v>2010</v>
      </c>
      <c r="L998">
        <v>3.6626699999999999</v>
      </c>
      <c r="M998">
        <v>20.730460000000001</v>
      </c>
      <c r="N998">
        <v>1.22814</v>
      </c>
      <c r="O998">
        <v>1.5751299999999999</v>
      </c>
      <c r="P998">
        <v>0.22953999999999999</v>
      </c>
      <c r="Q998">
        <v>0</v>
      </c>
      <c r="R998">
        <v>0</v>
      </c>
      <c r="S998">
        <v>4.9700000000000001E-2</v>
      </c>
      <c r="T998">
        <v>1.47963</v>
      </c>
      <c r="U998">
        <v>4.045E-2</v>
      </c>
      <c r="V998">
        <v>28.995719999999999</v>
      </c>
      <c r="W998" t="s">
        <v>10</v>
      </c>
      <c r="X998">
        <v>50.384</v>
      </c>
      <c r="Y998">
        <v>467.60300000000001</v>
      </c>
      <c r="Z998">
        <v>17.332000000000001</v>
      </c>
      <c r="AA998">
        <v>35.003</v>
      </c>
      <c r="AB998">
        <v>16.396000000000001</v>
      </c>
      <c r="AC998">
        <v>0</v>
      </c>
      <c r="AD998">
        <v>0</v>
      </c>
      <c r="AE998">
        <v>3.55</v>
      </c>
      <c r="AF998">
        <v>15.91</v>
      </c>
      <c r="AG998">
        <v>0.93</v>
      </c>
      <c r="AH998">
        <v>607.10799999999995</v>
      </c>
      <c r="AI998" t="s">
        <v>22</v>
      </c>
      <c r="AJ998">
        <v>419.99900000000002</v>
      </c>
      <c r="AK998">
        <v>1093.3330000000001</v>
      </c>
      <c r="AL998">
        <v>176.66499999999999</v>
      </c>
      <c r="AM998">
        <v>6.6669999999999998</v>
      </c>
      <c r="AN998">
        <v>13.334</v>
      </c>
      <c r="AO998">
        <v>0</v>
      </c>
      <c r="AP998">
        <v>0</v>
      </c>
      <c r="AQ998">
        <v>3.3330000000000002</v>
      </c>
      <c r="AR998">
        <v>20</v>
      </c>
      <c r="AS998">
        <v>30</v>
      </c>
      <c r="AT998">
        <v>1763.3309999999999</v>
      </c>
      <c r="AU998" t="s">
        <v>34</v>
      </c>
    </row>
    <row r="999" spans="1:47" x14ac:dyDescent="0.2">
      <c r="A999">
        <v>1734</v>
      </c>
      <c r="B999" t="s">
        <v>583</v>
      </c>
      <c r="C999">
        <v>68</v>
      </c>
      <c r="D999" t="s">
        <v>601</v>
      </c>
      <c r="G999" t="str">
        <f t="shared" si="15"/>
        <v>WWW100268SR077</v>
      </c>
      <c r="H999">
        <v>71.766999999999996</v>
      </c>
      <c r="I999">
        <v>-164.364</v>
      </c>
      <c r="J999" s="3">
        <v>20100823</v>
      </c>
      <c r="K999">
        <v>2010</v>
      </c>
      <c r="L999">
        <v>5.7363299999999997</v>
      </c>
      <c r="M999">
        <v>1.48183</v>
      </c>
      <c r="N999">
        <v>0.16478999999999999</v>
      </c>
      <c r="O999">
        <v>1.319E-2</v>
      </c>
      <c r="P999">
        <v>0</v>
      </c>
      <c r="Q999">
        <v>0</v>
      </c>
      <c r="R999">
        <v>0</v>
      </c>
      <c r="S999">
        <v>6.2120000000000002E-2</v>
      </c>
      <c r="T999">
        <v>6.4999999999999997E-4</v>
      </c>
      <c r="U999">
        <v>2.3650000000000001E-2</v>
      </c>
      <c r="V999">
        <v>7.4825600000000003</v>
      </c>
      <c r="W999" t="s">
        <v>9</v>
      </c>
      <c r="X999">
        <v>81.028000000000006</v>
      </c>
      <c r="Y999">
        <v>86.593999999999994</v>
      </c>
      <c r="Z999">
        <v>2.3889999999999998</v>
      </c>
      <c r="AA999">
        <v>0.29299999999999998</v>
      </c>
      <c r="AB999">
        <v>0</v>
      </c>
      <c r="AC999">
        <v>0</v>
      </c>
      <c r="AD999">
        <v>0</v>
      </c>
      <c r="AE999">
        <v>4.4370000000000003</v>
      </c>
      <c r="AF999">
        <v>7.0000000000000001E-3</v>
      </c>
      <c r="AG999">
        <v>0.47399999999999998</v>
      </c>
      <c r="AH999">
        <v>175.22200000000001</v>
      </c>
      <c r="AI999" t="s">
        <v>22</v>
      </c>
      <c r="AJ999">
        <v>549.99900000000002</v>
      </c>
      <c r="AK999">
        <v>139.999</v>
      </c>
      <c r="AL999">
        <v>89.998999999999995</v>
      </c>
      <c r="AM999">
        <v>3.3330000000000002</v>
      </c>
      <c r="AN999">
        <v>0</v>
      </c>
      <c r="AO999">
        <v>0</v>
      </c>
      <c r="AP999">
        <v>0</v>
      </c>
      <c r="AQ999">
        <v>3.3330000000000002</v>
      </c>
      <c r="AR999">
        <v>3.3330000000000002</v>
      </c>
      <c r="AS999">
        <v>16.666</v>
      </c>
      <c r="AT999">
        <v>806.66200000000003</v>
      </c>
      <c r="AU999" t="s">
        <v>33</v>
      </c>
    </row>
    <row r="1000" spans="1:47" x14ac:dyDescent="0.2">
      <c r="A1000">
        <v>1735</v>
      </c>
      <c r="B1000" t="s">
        <v>583</v>
      </c>
      <c r="C1000">
        <v>69</v>
      </c>
      <c r="D1000" t="s">
        <v>602</v>
      </c>
      <c r="G1000" t="str">
        <f t="shared" si="15"/>
        <v>WWW100269SR083</v>
      </c>
      <c r="H1000">
        <v>71.760000000000005</v>
      </c>
      <c r="I1000">
        <v>-163.57</v>
      </c>
      <c r="J1000" s="3">
        <v>20100828</v>
      </c>
      <c r="K1000">
        <v>2010</v>
      </c>
      <c r="L1000">
        <v>3.3539400000000001</v>
      </c>
      <c r="M1000">
        <v>4.6318200000000003</v>
      </c>
      <c r="N1000">
        <v>0.77736000000000005</v>
      </c>
      <c r="O1000">
        <v>4.666E-2</v>
      </c>
      <c r="P1000">
        <v>0.14069999999999999</v>
      </c>
      <c r="Q1000">
        <v>0</v>
      </c>
      <c r="R1000">
        <v>0</v>
      </c>
      <c r="S1000">
        <v>0.15124000000000001</v>
      </c>
      <c r="T1000">
        <v>4.9570000000000003E-2</v>
      </c>
      <c r="U1000">
        <v>6.3259999999999997E-2</v>
      </c>
      <c r="V1000">
        <v>9.2145499999999991</v>
      </c>
      <c r="W1000" t="s">
        <v>10</v>
      </c>
      <c r="X1000">
        <v>50.34</v>
      </c>
      <c r="Y1000">
        <v>136.928</v>
      </c>
      <c r="Z1000">
        <v>11.381</v>
      </c>
      <c r="AA1000">
        <v>1.0369999999999999</v>
      </c>
      <c r="AB1000">
        <v>10.050000000000001</v>
      </c>
      <c r="AC1000">
        <v>0</v>
      </c>
      <c r="AD1000">
        <v>0</v>
      </c>
      <c r="AE1000">
        <v>10.803000000000001</v>
      </c>
      <c r="AF1000">
        <v>0.53300000000000003</v>
      </c>
      <c r="AG1000">
        <v>1.405</v>
      </c>
      <c r="AH1000">
        <v>222.477</v>
      </c>
      <c r="AI1000" t="s">
        <v>22</v>
      </c>
      <c r="AJ1000">
        <v>353.33100000000002</v>
      </c>
      <c r="AK1000">
        <v>220</v>
      </c>
      <c r="AL1000">
        <v>76.665999999999997</v>
      </c>
      <c r="AM1000">
        <v>6.6669999999999998</v>
      </c>
      <c r="AN1000">
        <v>13.334</v>
      </c>
      <c r="AO1000">
        <v>0</v>
      </c>
      <c r="AP1000">
        <v>0</v>
      </c>
      <c r="AQ1000">
        <v>6.6669999999999998</v>
      </c>
      <c r="AR1000">
        <v>16.667000000000002</v>
      </c>
      <c r="AS1000">
        <v>30</v>
      </c>
      <c r="AT1000">
        <v>723.33199999999999</v>
      </c>
      <c r="AU1000" t="s">
        <v>33</v>
      </c>
    </row>
    <row r="1001" spans="1:47" x14ac:dyDescent="0.2">
      <c r="A1001">
        <v>1736</v>
      </c>
      <c r="B1001" t="s">
        <v>583</v>
      </c>
      <c r="C1001">
        <v>7</v>
      </c>
      <c r="D1001" s="4" t="s">
        <v>782</v>
      </c>
      <c r="E1001" s="4" t="s">
        <v>782</v>
      </c>
      <c r="F1001" s="4" t="s">
        <v>57</v>
      </c>
      <c r="G1001" t="str">
        <f t="shared" si="15"/>
        <v>WWW10027DBO4.4</v>
      </c>
      <c r="H1001">
        <v>71.363</v>
      </c>
      <c r="I1001">
        <v>-163.005</v>
      </c>
      <c r="J1001" s="3">
        <v>20100819</v>
      </c>
      <c r="K1001">
        <v>2010</v>
      </c>
      <c r="L1001">
        <v>11.12669</v>
      </c>
      <c r="M1001">
        <v>1.8641300000000001</v>
      </c>
      <c r="N1001">
        <v>0.72997999999999996</v>
      </c>
      <c r="O1001">
        <v>6.2280000000000002E-2</v>
      </c>
      <c r="P1001">
        <v>0.29648000000000002</v>
      </c>
      <c r="Q1001">
        <v>0</v>
      </c>
      <c r="R1001">
        <v>0.54195000000000004</v>
      </c>
      <c r="S1001">
        <v>0</v>
      </c>
      <c r="T1001">
        <v>0.52759</v>
      </c>
      <c r="U1001">
        <v>6.182E-2</v>
      </c>
      <c r="V1001">
        <v>15.21092</v>
      </c>
      <c r="W1001" t="s">
        <v>9</v>
      </c>
      <c r="X1001">
        <v>152.60499999999999</v>
      </c>
      <c r="Y1001">
        <v>66.662000000000006</v>
      </c>
      <c r="Z1001">
        <v>10.435</v>
      </c>
      <c r="AA1001">
        <v>1.3839999999999999</v>
      </c>
      <c r="AB1001">
        <v>21.177</v>
      </c>
      <c r="AC1001">
        <v>0</v>
      </c>
      <c r="AD1001">
        <v>9.09</v>
      </c>
      <c r="AE1001">
        <v>0</v>
      </c>
      <c r="AF1001">
        <v>5.673</v>
      </c>
      <c r="AG1001">
        <v>2.093</v>
      </c>
      <c r="AH1001">
        <v>269.11900000000003</v>
      </c>
      <c r="AI1001" t="s">
        <v>21</v>
      </c>
      <c r="AJ1001">
        <v>6226.6660000000002</v>
      </c>
      <c r="AK1001">
        <v>443.33499999999998</v>
      </c>
      <c r="AL1001">
        <v>953.33199999999999</v>
      </c>
      <c r="AM1001">
        <v>106.666</v>
      </c>
      <c r="AN1001">
        <v>106.667</v>
      </c>
      <c r="AO1001">
        <v>0</v>
      </c>
      <c r="AP1001">
        <v>6.6660000000000004</v>
      </c>
      <c r="AQ1001">
        <v>0</v>
      </c>
      <c r="AR1001">
        <v>20</v>
      </c>
      <c r="AS1001">
        <v>99.998999999999995</v>
      </c>
      <c r="AT1001">
        <v>7963.3310000000001</v>
      </c>
      <c r="AU1001" t="s">
        <v>33</v>
      </c>
    </row>
    <row r="1002" spans="1:47" x14ac:dyDescent="0.2">
      <c r="A1002">
        <v>1737</v>
      </c>
      <c r="B1002" t="s">
        <v>583</v>
      </c>
      <c r="C1002">
        <v>70</v>
      </c>
      <c r="D1002" t="s">
        <v>603</v>
      </c>
      <c r="G1002" t="str">
        <f t="shared" si="15"/>
        <v>WWW100270SR086</v>
      </c>
      <c r="H1002">
        <v>71.760000000000005</v>
      </c>
      <c r="I1002">
        <v>-163.18</v>
      </c>
      <c r="J1002" s="3">
        <v>20100828</v>
      </c>
      <c r="K1002">
        <v>2010</v>
      </c>
      <c r="L1002">
        <v>0.69630999999999998</v>
      </c>
      <c r="M1002">
        <v>5.1467499999999999</v>
      </c>
      <c r="N1002">
        <v>3.279E-2</v>
      </c>
      <c r="O1002">
        <v>3.1870400000000001</v>
      </c>
      <c r="P1002">
        <v>5.0800000000000003E-3</v>
      </c>
      <c r="Q1002">
        <v>0</v>
      </c>
      <c r="R1002">
        <v>0</v>
      </c>
      <c r="S1002">
        <v>0</v>
      </c>
      <c r="T1002">
        <v>1.116E-2</v>
      </c>
      <c r="U1002">
        <v>1.065E-2</v>
      </c>
      <c r="V1002">
        <v>9.0897799999999993</v>
      </c>
      <c r="W1002" t="s">
        <v>10</v>
      </c>
      <c r="X1002">
        <v>10.375</v>
      </c>
      <c r="Y1002">
        <v>139.006</v>
      </c>
      <c r="Z1002">
        <v>0.45800000000000002</v>
      </c>
      <c r="AA1002">
        <v>70.822999999999993</v>
      </c>
      <c r="AB1002">
        <v>0.36299999999999999</v>
      </c>
      <c r="AC1002">
        <v>0</v>
      </c>
      <c r="AD1002">
        <v>0</v>
      </c>
      <c r="AE1002">
        <v>0</v>
      </c>
      <c r="AF1002">
        <v>0.12</v>
      </c>
      <c r="AG1002">
        <v>0.48</v>
      </c>
      <c r="AH1002">
        <v>221.625</v>
      </c>
      <c r="AI1002" t="s">
        <v>22</v>
      </c>
      <c r="AJ1002">
        <v>193.333</v>
      </c>
      <c r="AK1002">
        <v>146.667</v>
      </c>
      <c r="AL1002">
        <v>19.998999999999999</v>
      </c>
      <c r="AM1002">
        <v>3.3330000000000002</v>
      </c>
      <c r="AN1002">
        <v>6.6669999999999998</v>
      </c>
      <c r="AO1002">
        <v>0</v>
      </c>
      <c r="AP1002">
        <v>0</v>
      </c>
      <c r="AQ1002">
        <v>0</v>
      </c>
      <c r="AR1002">
        <v>6.6669999999999998</v>
      </c>
      <c r="AS1002">
        <v>16.667000000000002</v>
      </c>
      <c r="AT1002">
        <v>393.33300000000003</v>
      </c>
      <c r="AU1002" t="s">
        <v>33</v>
      </c>
    </row>
    <row r="1003" spans="1:47" x14ac:dyDescent="0.2">
      <c r="A1003">
        <v>1738</v>
      </c>
      <c r="B1003" t="s">
        <v>583</v>
      </c>
      <c r="C1003">
        <v>71</v>
      </c>
      <c r="D1003" t="s">
        <v>604</v>
      </c>
      <c r="G1003" t="str">
        <f t="shared" si="15"/>
        <v>WWW100271SR093</v>
      </c>
      <c r="H1003">
        <v>71.807000000000002</v>
      </c>
      <c r="I1003">
        <v>-164.23099999999999</v>
      </c>
      <c r="J1003" s="3">
        <v>20100823</v>
      </c>
      <c r="K1003">
        <v>2010</v>
      </c>
      <c r="L1003">
        <v>5.3677799999999998</v>
      </c>
      <c r="M1003">
        <v>3.8341799999999999</v>
      </c>
      <c r="N1003">
        <v>0.17069000000000001</v>
      </c>
      <c r="O1003">
        <v>0</v>
      </c>
      <c r="P1003">
        <v>0.12623999999999999</v>
      </c>
      <c r="Q1003">
        <v>0</v>
      </c>
      <c r="R1003">
        <v>8.3570000000000005E-2</v>
      </c>
      <c r="S1003">
        <v>0.30453999999999998</v>
      </c>
      <c r="T1003">
        <v>2.4459999999999999E-2</v>
      </c>
      <c r="U1003">
        <v>0.1046</v>
      </c>
      <c r="V1003">
        <v>10.01606</v>
      </c>
      <c r="W1003" t="s">
        <v>9</v>
      </c>
      <c r="X1003">
        <v>76.524000000000001</v>
      </c>
      <c r="Y1003">
        <v>136.893</v>
      </c>
      <c r="Z1003">
        <v>2.5070000000000001</v>
      </c>
      <c r="AA1003">
        <v>0</v>
      </c>
      <c r="AB1003">
        <v>9.0169999999999995</v>
      </c>
      <c r="AC1003">
        <v>0</v>
      </c>
      <c r="AD1003">
        <v>1.37</v>
      </c>
      <c r="AE1003">
        <v>21.753</v>
      </c>
      <c r="AF1003">
        <v>0.26300000000000001</v>
      </c>
      <c r="AG1003">
        <v>2.1</v>
      </c>
      <c r="AH1003">
        <v>250.42699999999999</v>
      </c>
      <c r="AI1003" t="s">
        <v>22</v>
      </c>
      <c r="AJ1003">
        <v>366.66399999999999</v>
      </c>
      <c r="AK1003">
        <v>176.666</v>
      </c>
      <c r="AL1003">
        <v>56.665999999999997</v>
      </c>
      <c r="AM1003">
        <v>0</v>
      </c>
      <c r="AN1003">
        <v>3.3330000000000002</v>
      </c>
      <c r="AO1003">
        <v>0</v>
      </c>
      <c r="AP1003">
        <v>3.3330000000000002</v>
      </c>
      <c r="AQ1003">
        <v>6.6669999999999998</v>
      </c>
      <c r="AR1003">
        <v>10</v>
      </c>
      <c r="AS1003">
        <v>26.667000000000002</v>
      </c>
      <c r="AT1003">
        <v>649.99599999999998</v>
      </c>
      <c r="AU1003" t="s">
        <v>33</v>
      </c>
    </row>
    <row r="1004" spans="1:47" x14ac:dyDescent="0.2">
      <c r="A1004">
        <v>1739</v>
      </c>
      <c r="B1004" t="s">
        <v>583</v>
      </c>
      <c r="C1004">
        <v>72</v>
      </c>
      <c r="D1004" t="s">
        <v>605</v>
      </c>
      <c r="G1004" t="str">
        <f t="shared" si="15"/>
        <v>WWW100272SR094</v>
      </c>
      <c r="H1004">
        <v>71.807000000000002</v>
      </c>
      <c r="I1004">
        <v>-164.09299999999999</v>
      </c>
      <c r="J1004" s="3">
        <v>20100825</v>
      </c>
      <c r="K1004">
        <v>2010</v>
      </c>
      <c r="L1004">
        <v>8.7956599999999998</v>
      </c>
      <c r="M1004">
        <v>16.090450000000001</v>
      </c>
      <c r="N1004">
        <v>0.75283999999999995</v>
      </c>
      <c r="O1004">
        <v>5.7942</v>
      </c>
      <c r="P1004">
        <v>0.1449</v>
      </c>
      <c r="Q1004">
        <v>0</v>
      </c>
      <c r="R1004">
        <v>0</v>
      </c>
      <c r="S1004">
        <v>0.56410000000000005</v>
      </c>
      <c r="T1004">
        <v>0.52730999999999995</v>
      </c>
      <c r="U1004">
        <v>7.4609999999999996E-2</v>
      </c>
      <c r="V1004">
        <v>32.744070000000001</v>
      </c>
      <c r="W1004" t="s">
        <v>10</v>
      </c>
      <c r="X1004">
        <v>129.95400000000001</v>
      </c>
      <c r="Y1004">
        <v>972.346</v>
      </c>
      <c r="Z1004">
        <v>11.004</v>
      </c>
      <c r="AA1004">
        <v>128.76</v>
      </c>
      <c r="AB1004">
        <v>10.35</v>
      </c>
      <c r="AC1004">
        <v>0</v>
      </c>
      <c r="AD1004">
        <v>0</v>
      </c>
      <c r="AE1004">
        <v>40.292999999999999</v>
      </c>
      <c r="AF1004">
        <v>5.67</v>
      </c>
      <c r="AG1004">
        <v>2.27</v>
      </c>
      <c r="AH1004">
        <v>1300.6469999999999</v>
      </c>
      <c r="AI1004" t="s">
        <v>22</v>
      </c>
      <c r="AJ1004">
        <v>953.33299999999997</v>
      </c>
      <c r="AK1004">
        <v>573.33299999999997</v>
      </c>
      <c r="AL1004">
        <v>279.99900000000002</v>
      </c>
      <c r="AM1004">
        <v>13.333</v>
      </c>
      <c r="AN1004">
        <v>3.3330000000000002</v>
      </c>
      <c r="AO1004">
        <v>0</v>
      </c>
      <c r="AP1004">
        <v>0</v>
      </c>
      <c r="AQ1004">
        <v>13.333</v>
      </c>
      <c r="AR1004">
        <v>16.667000000000002</v>
      </c>
      <c r="AS1004">
        <v>56.665999999999997</v>
      </c>
      <c r="AT1004">
        <v>1909.9970000000001</v>
      </c>
      <c r="AU1004" t="s">
        <v>33</v>
      </c>
    </row>
    <row r="1005" spans="1:47" x14ac:dyDescent="0.2">
      <c r="A1005">
        <v>1740</v>
      </c>
      <c r="B1005" t="s">
        <v>583</v>
      </c>
      <c r="C1005">
        <v>73</v>
      </c>
      <c r="D1005" t="s">
        <v>606</v>
      </c>
      <c r="G1005" t="str">
        <f t="shared" si="15"/>
        <v>WWW100273SR104</v>
      </c>
      <c r="H1005">
        <v>71.849999999999994</v>
      </c>
      <c r="I1005">
        <v>-164.76300000000001</v>
      </c>
      <c r="J1005" s="3">
        <v>20100821</v>
      </c>
      <c r="K1005">
        <v>2010</v>
      </c>
      <c r="L1005">
        <v>2.2675299999999998</v>
      </c>
      <c r="M1005">
        <v>1.0222899999999999</v>
      </c>
      <c r="N1005">
        <v>0.11917999999999999</v>
      </c>
      <c r="O1005">
        <v>0</v>
      </c>
      <c r="P1005">
        <v>0</v>
      </c>
      <c r="Q1005">
        <v>0</v>
      </c>
      <c r="R1005">
        <v>1.0771999999999999</v>
      </c>
      <c r="S1005">
        <v>0</v>
      </c>
      <c r="T1005">
        <v>1.9000000000000001E-4</v>
      </c>
      <c r="U1005">
        <v>5.0899999999999999E-3</v>
      </c>
      <c r="V1005">
        <v>4.4914800000000001</v>
      </c>
      <c r="W1005" t="s">
        <v>9</v>
      </c>
      <c r="X1005">
        <v>33.534999999999997</v>
      </c>
      <c r="Y1005">
        <v>23.196000000000002</v>
      </c>
      <c r="Z1005">
        <v>1.7370000000000001</v>
      </c>
      <c r="AA1005">
        <v>0</v>
      </c>
      <c r="AB1005">
        <v>0</v>
      </c>
      <c r="AC1005">
        <v>0</v>
      </c>
      <c r="AD1005">
        <v>26.93</v>
      </c>
      <c r="AE1005">
        <v>0</v>
      </c>
      <c r="AF1005">
        <v>2E-3</v>
      </c>
      <c r="AG1005">
        <v>0.113</v>
      </c>
      <c r="AH1005">
        <v>85.513000000000005</v>
      </c>
      <c r="AI1005" t="s">
        <v>21</v>
      </c>
      <c r="AJ1005">
        <v>196.667</v>
      </c>
      <c r="AK1005">
        <v>60</v>
      </c>
      <c r="AL1005">
        <v>46.665999999999997</v>
      </c>
      <c r="AM1005">
        <v>0</v>
      </c>
      <c r="AN1005">
        <v>0</v>
      </c>
      <c r="AO1005">
        <v>0</v>
      </c>
      <c r="AP1005">
        <v>3.3330000000000002</v>
      </c>
      <c r="AQ1005">
        <v>0</v>
      </c>
      <c r="AR1005">
        <v>3.3330000000000002</v>
      </c>
      <c r="AS1005">
        <v>10</v>
      </c>
      <c r="AT1005">
        <v>319.99900000000002</v>
      </c>
      <c r="AU1005" t="s">
        <v>33</v>
      </c>
    </row>
    <row r="1006" spans="1:47" x14ac:dyDescent="0.2">
      <c r="A1006">
        <v>1741</v>
      </c>
      <c r="B1006" t="s">
        <v>583</v>
      </c>
      <c r="C1006">
        <v>74</v>
      </c>
      <c r="D1006" t="s">
        <v>607</v>
      </c>
      <c r="G1006" t="str">
        <f t="shared" si="15"/>
        <v>WWW100274SR116</v>
      </c>
      <c r="H1006">
        <v>71.841999999999999</v>
      </c>
      <c r="I1006">
        <v>-163.16300000000001</v>
      </c>
      <c r="J1006" s="3">
        <v>20100826</v>
      </c>
      <c r="K1006">
        <v>2010</v>
      </c>
      <c r="L1006">
        <v>2.8627600000000002</v>
      </c>
      <c r="M1006">
        <v>26.888500000000001</v>
      </c>
      <c r="N1006">
        <v>0.68013999999999997</v>
      </c>
      <c r="O1006">
        <v>0</v>
      </c>
      <c r="P1006">
        <v>2.912E-2</v>
      </c>
      <c r="Q1006">
        <v>0</v>
      </c>
      <c r="R1006">
        <v>0</v>
      </c>
      <c r="S1006">
        <v>0.29214000000000001</v>
      </c>
      <c r="T1006">
        <v>1.7670000000000002E-2</v>
      </c>
      <c r="U1006">
        <v>0.29996</v>
      </c>
      <c r="V1006">
        <v>31.07029</v>
      </c>
      <c r="W1006" t="s">
        <v>10</v>
      </c>
      <c r="X1006">
        <v>39.256</v>
      </c>
      <c r="Y1006">
        <v>752.69399999999996</v>
      </c>
      <c r="Z1006">
        <v>9.9290000000000003</v>
      </c>
      <c r="AA1006">
        <v>0</v>
      </c>
      <c r="AB1006">
        <v>2.08</v>
      </c>
      <c r="AC1006">
        <v>0</v>
      </c>
      <c r="AD1006">
        <v>0</v>
      </c>
      <c r="AE1006">
        <v>20.867000000000001</v>
      </c>
      <c r="AF1006">
        <v>0.19</v>
      </c>
      <c r="AG1006">
        <v>6.6630000000000003</v>
      </c>
      <c r="AH1006">
        <v>831.67899999999997</v>
      </c>
      <c r="AI1006" t="s">
        <v>22</v>
      </c>
      <c r="AJ1006">
        <v>930.00099999999998</v>
      </c>
      <c r="AK1006">
        <v>826.66600000000005</v>
      </c>
      <c r="AL1006">
        <v>129.999</v>
      </c>
      <c r="AM1006">
        <v>0</v>
      </c>
      <c r="AN1006">
        <v>0</v>
      </c>
      <c r="AO1006">
        <v>0</v>
      </c>
      <c r="AP1006">
        <v>0</v>
      </c>
      <c r="AQ1006">
        <v>13.333</v>
      </c>
      <c r="AR1006">
        <v>3.3330000000000002</v>
      </c>
      <c r="AS1006">
        <v>69.998999999999995</v>
      </c>
      <c r="AT1006">
        <v>1973.3309999999999</v>
      </c>
      <c r="AU1006" t="s">
        <v>33</v>
      </c>
    </row>
    <row r="1007" spans="1:47" x14ac:dyDescent="0.2">
      <c r="A1007">
        <v>1742</v>
      </c>
      <c r="B1007" t="s">
        <v>583</v>
      </c>
      <c r="C1007">
        <v>75</v>
      </c>
      <c r="D1007" t="s">
        <v>608</v>
      </c>
      <c r="G1007" t="str">
        <f t="shared" si="15"/>
        <v>WWW100275SR137</v>
      </c>
      <c r="H1007">
        <v>71.974000000000004</v>
      </c>
      <c r="I1007">
        <v>-164.35900000000001</v>
      </c>
      <c r="J1007" s="3">
        <v>20100823</v>
      </c>
      <c r="K1007">
        <v>2010</v>
      </c>
      <c r="L1007">
        <v>5.9147999999999996</v>
      </c>
      <c r="M1007">
        <v>0.76417000000000002</v>
      </c>
      <c r="N1007">
        <v>0.58992999999999995</v>
      </c>
      <c r="O1007">
        <v>9.9000000000000008E-3</v>
      </c>
      <c r="P1007">
        <v>0</v>
      </c>
      <c r="Q1007">
        <v>0</v>
      </c>
      <c r="R1007">
        <v>0.22500000000000001</v>
      </c>
      <c r="S1007">
        <v>0</v>
      </c>
      <c r="T1007">
        <v>1.1440000000000001E-2</v>
      </c>
      <c r="U1007">
        <v>4.0599999999999997E-2</v>
      </c>
      <c r="V1007">
        <v>7.5558399999999999</v>
      </c>
      <c r="W1007" t="s">
        <v>9</v>
      </c>
      <c r="X1007">
        <v>83.659000000000006</v>
      </c>
      <c r="Y1007">
        <v>32.921999999999997</v>
      </c>
      <c r="Z1007">
        <v>8.5660000000000007</v>
      </c>
      <c r="AA1007">
        <v>0.22</v>
      </c>
      <c r="AB1007">
        <v>0</v>
      </c>
      <c r="AC1007">
        <v>0</v>
      </c>
      <c r="AD1007">
        <v>3.6930000000000001</v>
      </c>
      <c r="AE1007">
        <v>0</v>
      </c>
      <c r="AF1007">
        <v>0.123</v>
      </c>
      <c r="AG1007">
        <v>0.84199999999999997</v>
      </c>
      <c r="AH1007">
        <v>130.02500000000001</v>
      </c>
      <c r="AI1007" t="s">
        <v>21</v>
      </c>
      <c r="AJ1007">
        <v>516.66499999999996</v>
      </c>
      <c r="AK1007">
        <v>140</v>
      </c>
      <c r="AL1007">
        <v>176.666</v>
      </c>
      <c r="AM1007">
        <v>6.6669999999999998</v>
      </c>
      <c r="AN1007">
        <v>0</v>
      </c>
      <c r="AO1007">
        <v>0</v>
      </c>
      <c r="AP1007">
        <v>6.6660000000000004</v>
      </c>
      <c r="AQ1007">
        <v>0</v>
      </c>
      <c r="AR1007">
        <v>0</v>
      </c>
      <c r="AS1007">
        <v>33.332999999999998</v>
      </c>
      <c r="AT1007">
        <v>879.99699999999996</v>
      </c>
      <c r="AU1007" t="s">
        <v>33</v>
      </c>
    </row>
    <row r="1008" spans="1:47" x14ac:dyDescent="0.2">
      <c r="A1008">
        <v>1743</v>
      </c>
      <c r="B1008" t="s">
        <v>583</v>
      </c>
      <c r="C1008">
        <v>76</v>
      </c>
      <c r="D1008" t="s">
        <v>609</v>
      </c>
      <c r="G1008" t="str">
        <f t="shared" si="15"/>
        <v>WWW100276TF001</v>
      </c>
      <c r="H1008">
        <v>70.998000000000005</v>
      </c>
      <c r="I1008">
        <v>-164.18799999999999</v>
      </c>
      <c r="J1008" s="3">
        <v>20100824</v>
      </c>
      <c r="K1008">
        <v>2010</v>
      </c>
      <c r="L1008">
        <v>23.060120000000001</v>
      </c>
      <c r="M1008">
        <v>4.3181799999999999</v>
      </c>
      <c r="N1008">
        <v>0.22631999999999999</v>
      </c>
      <c r="O1008">
        <v>12.070270000000001</v>
      </c>
      <c r="P1008">
        <v>0.38111</v>
      </c>
      <c r="Q1008">
        <v>0</v>
      </c>
      <c r="R1008">
        <v>0</v>
      </c>
      <c r="S1008">
        <v>2.14E-3</v>
      </c>
      <c r="T1008">
        <v>5.1799999999999999E-2</v>
      </c>
      <c r="U1008">
        <v>0.20186999999999999</v>
      </c>
      <c r="V1008">
        <v>40.311810000000001</v>
      </c>
      <c r="W1008" t="s">
        <v>9</v>
      </c>
      <c r="X1008">
        <v>342.55900000000003</v>
      </c>
      <c r="Y1008">
        <v>178.101</v>
      </c>
      <c r="Z1008">
        <v>3.073</v>
      </c>
      <c r="AA1008">
        <v>268.22800000000001</v>
      </c>
      <c r="AB1008">
        <v>27.222000000000001</v>
      </c>
      <c r="AC1008">
        <v>0</v>
      </c>
      <c r="AD1008">
        <v>0</v>
      </c>
      <c r="AE1008">
        <v>0.153</v>
      </c>
      <c r="AF1008">
        <v>0.55700000000000005</v>
      </c>
      <c r="AG1008">
        <v>4.4630000000000001</v>
      </c>
      <c r="AH1008">
        <v>824.35599999999999</v>
      </c>
      <c r="AI1008" t="s">
        <v>21</v>
      </c>
      <c r="AJ1008">
        <v>1356.6659999999999</v>
      </c>
      <c r="AK1008">
        <v>536.66600000000005</v>
      </c>
      <c r="AL1008">
        <v>860</v>
      </c>
      <c r="AM1008">
        <v>106.667</v>
      </c>
      <c r="AN1008">
        <v>83.332999999999998</v>
      </c>
      <c r="AO1008">
        <v>0</v>
      </c>
      <c r="AP1008">
        <v>0</v>
      </c>
      <c r="AQ1008">
        <v>3.3330000000000002</v>
      </c>
      <c r="AR1008">
        <v>30</v>
      </c>
      <c r="AS1008">
        <v>76.667000000000002</v>
      </c>
      <c r="AT1008">
        <v>3053.3319999999999</v>
      </c>
      <c r="AU1008" t="s">
        <v>33</v>
      </c>
    </row>
    <row r="1009" spans="1:47" x14ac:dyDescent="0.2">
      <c r="A1009">
        <v>1744</v>
      </c>
      <c r="B1009" t="s">
        <v>583</v>
      </c>
      <c r="C1009">
        <v>77</v>
      </c>
      <c r="D1009" t="s">
        <v>610</v>
      </c>
      <c r="G1009" t="str">
        <f t="shared" si="15"/>
        <v>WWW100277TF003</v>
      </c>
      <c r="H1009">
        <v>71.248000000000005</v>
      </c>
      <c r="I1009">
        <v>-164.571</v>
      </c>
      <c r="J1009" s="3">
        <v>20100823</v>
      </c>
      <c r="K1009">
        <v>2010</v>
      </c>
      <c r="L1009">
        <v>5.1181000000000001</v>
      </c>
      <c r="M1009">
        <v>2.12541</v>
      </c>
      <c r="N1009">
        <v>6.3740000000000005E-2</v>
      </c>
      <c r="O1009">
        <v>2.3130099999999998</v>
      </c>
      <c r="P1009">
        <v>0.20982000000000001</v>
      </c>
      <c r="Q1009">
        <v>0</v>
      </c>
      <c r="R1009">
        <v>0</v>
      </c>
      <c r="S1009">
        <v>0</v>
      </c>
      <c r="T1009">
        <v>7.7189999999999995E-2</v>
      </c>
      <c r="U1009">
        <v>2.7210000000000002E-2</v>
      </c>
      <c r="V1009">
        <v>9.9344800000000006</v>
      </c>
      <c r="W1009" t="s">
        <v>9</v>
      </c>
      <c r="X1009">
        <v>74.432000000000002</v>
      </c>
      <c r="Y1009">
        <v>50.255000000000003</v>
      </c>
      <c r="Z1009">
        <v>0.91100000000000003</v>
      </c>
      <c r="AA1009">
        <v>51.4</v>
      </c>
      <c r="AB1009">
        <v>14.987</v>
      </c>
      <c r="AC1009">
        <v>0</v>
      </c>
      <c r="AD1009">
        <v>0</v>
      </c>
      <c r="AE1009">
        <v>0</v>
      </c>
      <c r="AF1009">
        <v>0.83</v>
      </c>
      <c r="AG1009">
        <v>0.48899999999999999</v>
      </c>
      <c r="AH1009">
        <v>193.304</v>
      </c>
      <c r="AI1009" t="s">
        <v>21</v>
      </c>
      <c r="AJ1009">
        <v>363.33300000000003</v>
      </c>
      <c r="AK1009">
        <v>173.33199999999999</v>
      </c>
      <c r="AL1009">
        <v>63.332999999999998</v>
      </c>
      <c r="AM1009">
        <v>20</v>
      </c>
      <c r="AN1009">
        <v>46.667000000000002</v>
      </c>
      <c r="AO1009">
        <v>0</v>
      </c>
      <c r="AP1009">
        <v>0</v>
      </c>
      <c r="AQ1009">
        <v>0</v>
      </c>
      <c r="AR1009">
        <v>3.3330000000000002</v>
      </c>
      <c r="AS1009">
        <v>40</v>
      </c>
      <c r="AT1009">
        <v>709.99800000000005</v>
      </c>
      <c r="AU1009" t="s">
        <v>33</v>
      </c>
    </row>
    <row r="1010" spans="1:47" x14ac:dyDescent="0.2">
      <c r="A1010">
        <v>1745</v>
      </c>
      <c r="B1010" t="s">
        <v>583</v>
      </c>
      <c r="C1010">
        <v>78</v>
      </c>
      <c r="D1010" t="s">
        <v>611</v>
      </c>
      <c r="G1010" t="str">
        <f t="shared" si="15"/>
        <v>WWW100278TF005</v>
      </c>
      <c r="H1010">
        <v>71.373000000000005</v>
      </c>
      <c r="I1010">
        <v>-164.56700000000001</v>
      </c>
      <c r="J1010" s="3">
        <v>20100823</v>
      </c>
      <c r="K1010">
        <v>2010</v>
      </c>
      <c r="L1010">
        <v>9.6358200000000007</v>
      </c>
      <c r="M1010">
        <v>4.3239000000000001</v>
      </c>
      <c r="N1010">
        <v>0.22524</v>
      </c>
      <c r="O1010">
        <v>6.5816999999999997</v>
      </c>
      <c r="P1010">
        <v>0.33516000000000001</v>
      </c>
      <c r="Q1010">
        <v>0</v>
      </c>
      <c r="R1010">
        <v>0</v>
      </c>
      <c r="S1010">
        <v>0</v>
      </c>
      <c r="T1010">
        <v>0.74214000000000002</v>
      </c>
      <c r="U1010">
        <v>0.13222999999999999</v>
      </c>
      <c r="V1010">
        <v>21.976189999999999</v>
      </c>
      <c r="W1010" t="s">
        <v>9</v>
      </c>
      <c r="X1010">
        <v>134.43</v>
      </c>
      <c r="Y1010">
        <v>191.51599999999999</v>
      </c>
      <c r="Z1010">
        <v>3.097</v>
      </c>
      <c r="AA1010">
        <v>146.26</v>
      </c>
      <c r="AB1010">
        <v>23.94</v>
      </c>
      <c r="AC1010">
        <v>0</v>
      </c>
      <c r="AD1010">
        <v>0</v>
      </c>
      <c r="AE1010">
        <v>0</v>
      </c>
      <c r="AF1010">
        <v>7.98</v>
      </c>
      <c r="AG1010">
        <v>2.7509999999999999</v>
      </c>
      <c r="AH1010">
        <v>509.97399999999999</v>
      </c>
      <c r="AI1010" t="s">
        <v>22</v>
      </c>
      <c r="AJ1010">
        <v>363.33199999999999</v>
      </c>
      <c r="AK1010">
        <v>179.999</v>
      </c>
      <c r="AL1010">
        <v>126.667</v>
      </c>
      <c r="AM1010">
        <v>20</v>
      </c>
      <c r="AN1010">
        <v>50</v>
      </c>
      <c r="AO1010">
        <v>0</v>
      </c>
      <c r="AP1010">
        <v>0</v>
      </c>
      <c r="AQ1010">
        <v>0</v>
      </c>
      <c r="AR1010">
        <v>13.333</v>
      </c>
      <c r="AS1010">
        <v>23.332000000000001</v>
      </c>
      <c r="AT1010">
        <v>776.66300000000001</v>
      </c>
      <c r="AU1010" t="s">
        <v>33</v>
      </c>
    </row>
    <row r="1011" spans="1:47" x14ac:dyDescent="0.2">
      <c r="A1011">
        <v>1746</v>
      </c>
      <c r="B1011" t="s">
        <v>583</v>
      </c>
      <c r="C1011">
        <v>79</v>
      </c>
      <c r="D1011" t="s">
        <v>612</v>
      </c>
      <c r="G1011" t="str">
        <f t="shared" si="15"/>
        <v>WWW100279TF006</v>
      </c>
      <c r="H1011">
        <v>71.37</v>
      </c>
      <c r="I1011">
        <v>-164.178</v>
      </c>
      <c r="J1011" s="3">
        <v>20100919</v>
      </c>
      <c r="K1011">
        <v>2010</v>
      </c>
      <c r="L1011">
        <v>3.7625199999999999</v>
      </c>
      <c r="M1011">
        <v>1.91364</v>
      </c>
      <c r="N1011">
        <v>1.52813</v>
      </c>
      <c r="O1011">
        <v>8.0889299999999995</v>
      </c>
      <c r="P1011">
        <v>0.32262999999999997</v>
      </c>
      <c r="Q1011">
        <v>0</v>
      </c>
      <c r="R1011">
        <v>0</v>
      </c>
      <c r="S1011">
        <v>0.24182000000000001</v>
      </c>
      <c r="T1011">
        <v>0.77934000000000003</v>
      </c>
      <c r="U1011">
        <v>0.13589000000000001</v>
      </c>
      <c r="V1011">
        <v>16.7729</v>
      </c>
      <c r="W1011" t="s">
        <v>12</v>
      </c>
      <c r="X1011">
        <v>56.426000000000002</v>
      </c>
      <c r="Y1011">
        <v>54.216999999999999</v>
      </c>
      <c r="Z1011">
        <v>22.305</v>
      </c>
      <c r="AA1011">
        <v>179.75399999999999</v>
      </c>
      <c r="AB1011">
        <v>23.045000000000002</v>
      </c>
      <c r="AC1011">
        <v>0</v>
      </c>
      <c r="AD1011">
        <v>0</v>
      </c>
      <c r="AE1011">
        <v>17.273</v>
      </c>
      <c r="AF1011">
        <v>8.3800000000000008</v>
      </c>
      <c r="AG1011">
        <v>3.8069999999999999</v>
      </c>
      <c r="AH1011">
        <v>365.20699999999999</v>
      </c>
      <c r="AI1011" t="s">
        <v>24</v>
      </c>
      <c r="AJ1011">
        <v>759.99900000000002</v>
      </c>
      <c r="AK1011">
        <v>270</v>
      </c>
      <c r="AL1011">
        <v>556.66600000000005</v>
      </c>
      <c r="AM1011">
        <v>16.666</v>
      </c>
      <c r="AN1011">
        <v>60</v>
      </c>
      <c r="AO1011">
        <v>0</v>
      </c>
      <c r="AP1011">
        <v>0</v>
      </c>
      <c r="AQ1011">
        <v>3.3330000000000002</v>
      </c>
      <c r="AR1011">
        <v>6.6669999999999998</v>
      </c>
      <c r="AS1011">
        <v>50</v>
      </c>
      <c r="AT1011">
        <v>1723.3309999999999</v>
      </c>
      <c r="AU1011" t="s">
        <v>33</v>
      </c>
    </row>
    <row r="1012" spans="1:47" x14ac:dyDescent="0.2">
      <c r="A1012">
        <v>1747</v>
      </c>
      <c r="B1012" t="s">
        <v>583</v>
      </c>
      <c r="C1012">
        <v>8</v>
      </c>
      <c r="D1012" t="s">
        <v>58</v>
      </c>
      <c r="G1012" t="str">
        <f t="shared" si="15"/>
        <v>WWW10028BF015</v>
      </c>
      <c r="H1012">
        <v>71.352000000000004</v>
      </c>
      <c r="I1012">
        <v>-162.232</v>
      </c>
      <c r="J1012" s="3">
        <v>20100816</v>
      </c>
      <c r="K1012">
        <v>2010</v>
      </c>
      <c r="L1012">
        <v>3.3809200000000001</v>
      </c>
      <c r="M1012">
        <v>7.6630000000000003</v>
      </c>
      <c r="N1012">
        <v>0.28667999999999999</v>
      </c>
      <c r="O1012">
        <v>1.1088</v>
      </c>
      <c r="P1012">
        <v>0.17136000000000001</v>
      </c>
      <c r="Q1012">
        <v>0</v>
      </c>
      <c r="R1012">
        <v>0</v>
      </c>
      <c r="S1012">
        <v>7.2480000000000003E-2</v>
      </c>
      <c r="T1012">
        <v>0.57567000000000002</v>
      </c>
      <c r="U1012">
        <v>0.16255</v>
      </c>
      <c r="V1012">
        <v>13.42146</v>
      </c>
      <c r="W1012" t="s">
        <v>10</v>
      </c>
      <c r="X1012">
        <v>50.313000000000002</v>
      </c>
      <c r="Y1012">
        <v>217.791</v>
      </c>
      <c r="Z1012">
        <v>4.0609999999999999</v>
      </c>
      <c r="AA1012">
        <v>24.64</v>
      </c>
      <c r="AB1012">
        <v>12.24</v>
      </c>
      <c r="AC1012">
        <v>0</v>
      </c>
      <c r="AD1012">
        <v>0</v>
      </c>
      <c r="AE1012">
        <v>5.1769999999999996</v>
      </c>
      <c r="AF1012">
        <v>6.19</v>
      </c>
      <c r="AG1012">
        <v>3.13</v>
      </c>
      <c r="AH1012">
        <v>323.54199999999997</v>
      </c>
      <c r="AI1012" t="s">
        <v>22</v>
      </c>
      <c r="AJ1012">
        <v>380</v>
      </c>
      <c r="AK1012">
        <v>506.66500000000002</v>
      </c>
      <c r="AL1012">
        <v>476.66699999999997</v>
      </c>
      <c r="AM1012">
        <v>6.6660000000000004</v>
      </c>
      <c r="AN1012">
        <v>23.334</v>
      </c>
      <c r="AO1012">
        <v>0</v>
      </c>
      <c r="AP1012">
        <v>0</v>
      </c>
      <c r="AQ1012">
        <v>6.6669999999999998</v>
      </c>
      <c r="AR1012">
        <v>6.6669999999999998</v>
      </c>
      <c r="AS1012">
        <v>46.665999999999997</v>
      </c>
      <c r="AT1012">
        <v>1453.3320000000001</v>
      </c>
      <c r="AU1012" t="s">
        <v>34</v>
      </c>
    </row>
    <row r="1013" spans="1:47" x14ac:dyDescent="0.2">
      <c r="A1013">
        <v>1748</v>
      </c>
      <c r="B1013" t="s">
        <v>583</v>
      </c>
      <c r="C1013">
        <v>80</v>
      </c>
      <c r="D1013" t="s">
        <v>577</v>
      </c>
      <c r="G1013" t="str">
        <f t="shared" si="15"/>
        <v>WWW100280TM001</v>
      </c>
      <c r="H1013">
        <v>70.885000000000005</v>
      </c>
      <c r="I1013">
        <v>-160.738</v>
      </c>
      <c r="J1013" s="3">
        <v>20100517</v>
      </c>
      <c r="K1013">
        <v>2010</v>
      </c>
      <c r="L1013">
        <v>8.4090199999999999</v>
      </c>
      <c r="M1013">
        <v>1.31776</v>
      </c>
      <c r="N1013">
        <v>2.3358099999999999</v>
      </c>
      <c r="O1013">
        <v>1.18215</v>
      </c>
      <c r="P1013">
        <v>2.46096</v>
      </c>
      <c r="Q1013">
        <v>0</v>
      </c>
      <c r="R1013">
        <v>0</v>
      </c>
      <c r="S1013">
        <v>8.9481999999999999</v>
      </c>
      <c r="T1013">
        <v>2.5100000000000001E-3</v>
      </c>
      <c r="U1013">
        <v>0.1101</v>
      </c>
      <c r="V1013">
        <v>24.76651</v>
      </c>
      <c r="W1013" t="s">
        <v>16</v>
      </c>
      <c r="X1013">
        <v>118.49299999999999</v>
      </c>
      <c r="Y1013">
        <v>33.231000000000002</v>
      </c>
      <c r="Z1013">
        <v>31.565999999999999</v>
      </c>
      <c r="AA1013">
        <v>26.27</v>
      </c>
      <c r="AB1013">
        <v>175.78299999999999</v>
      </c>
      <c r="AC1013">
        <v>0</v>
      </c>
      <c r="AD1013">
        <v>0</v>
      </c>
      <c r="AE1013">
        <v>639.15700000000004</v>
      </c>
      <c r="AF1013">
        <v>2.7E-2</v>
      </c>
      <c r="AG1013">
        <v>4.7759999999999998</v>
      </c>
      <c r="AH1013">
        <v>1029.3030000000001</v>
      </c>
      <c r="AI1013" t="s">
        <v>28</v>
      </c>
      <c r="AJ1013">
        <v>2073.3359999999998</v>
      </c>
      <c r="AK1013">
        <v>1113.3330000000001</v>
      </c>
      <c r="AL1013">
        <v>1406.664</v>
      </c>
      <c r="AM1013">
        <v>1453.3330000000001</v>
      </c>
      <c r="AN1013">
        <v>1093.3330000000001</v>
      </c>
      <c r="AO1013">
        <v>0</v>
      </c>
      <c r="AP1013">
        <v>0</v>
      </c>
      <c r="AQ1013">
        <v>86.667000000000002</v>
      </c>
      <c r="AR1013">
        <v>3.3330000000000002</v>
      </c>
      <c r="AS1013">
        <v>176.666</v>
      </c>
      <c r="AT1013">
        <v>7406.665</v>
      </c>
      <c r="AU1013" t="s">
        <v>33</v>
      </c>
    </row>
    <row r="1014" spans="1:47" x14ac:dyDescent="0.2">
      <c r="A1014">
        <v>1749</v>
      </c>
      <c r="B1014" t="s">
        <v>583</v>
      </c>
      <c r="C1014">
        <v>81</v>
      </c>
      <c r="D1014" t="s">
        <v>578</v>
      </c>
      <c r="G1014" t="str">
        <f t="shared" si="15"/>
        <v>WWW100281TM002</v>
      </c>
      <c r="H1014">
        <v>70.867999999999995</v>
      </c>
      <c r="I1014">
        <v>-160.739</v>
      </c>
      <c r="J1014" s="3">
        <v>20100829</v>
      </c>
      <c r="K1014">
        <v>2010</v>
      </c>
      <c r="L1014">
        <v>2.1703199999999998</v>
      </c>
      <c r="M1014">
        <v>1.0652600000000001</v>
      </c>
      <c r="N1014">
        <v>7.5784900000000004</v>
      </c>
      <c r="O1014">
        <v>5.8950000000000002E-2</v>
      </c>
      <c r="P1014">
        <v>2.2000000000000001E-4</v>
      </c>
      <c r="Q1014">
        <v>0</v>
      </c>
      <c r="R1014">
        <v>0.22449</v>
      </c>
      <c r="S1014">
        <v>8.0000000000000004E-4</v>
      </c>
      <c r="T1014">
        <v>7.8119999999999995E-2</v>
      </c>
      <c r="U1014">
        <v>1.251E-2</v>
      </c>
      <c r="V1014">
        <v>11.189159999999999</v>
      </c>
      <c r="W1014" t="s">
        <v>11</v>
      </c>
      <c r="X1014">
        <v>31.170999999999999</v>
      </c>
      <c r="Y1014">
        <v>54.99</v>
      </c>
      <c r="Z1014">
        <v>107.334</v>
      </c>
      <c r="AA1014">
        <v>1.31</v>
      </c>
      <c r="AB1014">
        <v>1.6E-2</v>
      </c>
      <c r="AC1014">
        <v>0</v>
      </c>
      <c r="AD1014">
        <v>3.6869999999999998</v>
      </c>
      <c r="AE1014">
        <v>5.7000000000000002E-2</v>
      </c>
      <c r="AF1014">
        <v>0.84</v>
      </c>
      <c r="AG1014">
        <v>0.95699999999999996</v>
      </c>
      <c r="AH1014">
        <v>200.36199999999999</v>
      </c>
      <c r="AI1014" t="s">
        <v>23</v>
      </c>
      <c r="AJ1014">
        <v>966.66700000000003</v>
      </c>
      <c r="AK1014">
        <v>263.334</v>
      </c>
      <c r="AL1014">
        <v>8946.6659999999993</v>
      </c>
      <c r="AM1014">
        <v>100</v>
      </c>
      <c r="AN1014">
        <v>3.3330000000000002</v>
      </c>
      <c r="AO1014">
        <v>0</v>
      </c>
      <c r="AP1014">
        <v>10</v>
      </c>
      <c r="AQ1014">
        <v>6.6669999999999998</v>
      </c>
      <c r="AR1014">
        <v>10</v>
      </c>
      <c r="AS1014">
        <v>56.667000000000002</v>
      </c>
      <c r="AT1014">
        <v>10363.334000000001</v>
      </c>
      <c r="AU1014" t="s">
        <v>35</v>
      </c>
    </row>
    <row r="1015" spans="1:47" x14ac:dyDescent="0.2">
      <c r="A1015">
        <v>1750</v>
      </c>
      <c r="B1015" t="s">
        <v>583</v>
      </c>
      <c r="C1015">
        <v>82</v>
      </c>
      <c r="D1015" t="s">
        <v>579</v>
      </c>
      <c r="G1015" t="str">
        <f t="shared" si="15"/>
        <v>WWW100282TM003</v>
      </c>
      <c r="H1015">
        <v>70.850999999999999</v>
      </c>
      <c r="I1015">
        <v>-160.73599999999999</v>
      </c>
      <c r="J1015" s="3">
        <v>20100829</v>
      </c>
      <c r="K1015">
        <v>2010</v>
      </c>
      <c r="L1015">
        <v>4.0370499999999998</v>
      </c>
      <c r="M1015">
        <v>2.84111</v>
      </c>
      <c r="N1015">
        <v>12.63571</v>
      </c>
      <c r="O1015">
        <v>9.4640000000000002E-2</v>
      </c>
      <c r="P1015">
        <v>6.6899999999999998E-3</v>
      </c>
      <c r="Q1015">
        <v>0</v>
      </c>
      <c r="R1015">
        <v>7.8869999999999996E-2</v>
      </c>
      <c r="S1015">
        <v>0.14643999999999999</v>
      </c>
      <c r="T1015">
        <v>0.15559000000000001</v>
      </c>
      <c r="U1015">
        <v>0.75090999999999997</v>
      </c>
      <c r="V1015">
        <v>20.74701</v>
      </c>
      <c r="W1015" t="s">
        <v>11</v>
      </c>
      <c r="X1015">
        <v>55.814999999999998</v>
      </c>
      <c r="Y1015">
        <v>179.84700000000001</v>
      </c>
      <c r="Z1015">
        <v>180.03200000000001</v>
      </c>
      <c r="AA1015">
        <v>2.1030000000000002</v>
      </c>
      <c r="AB1015">
        <v>0.47799999999999998</v>
      </c>
      <c r="AC1015">
        <v>0</v>
      </c>
      <c r="AD1015">
        <v>1.2929999999999999</v>
      </c>
      <c r="AE1015">
        <v>10.46</v>
      </c>
      <c r="AF1015">
        <v>1.673</v>
      </c>
      <c r="AG1015">
        <v>41.741999999999997</v>
      </c>
      <c r="AH1015">
        <v>473.44299999999998</v>
      </c>
      <c r="AI1015" t="s">
        <v>23</v>
      </c>
      <c r="AJ1015">
        <v>996.66600000000005</v>
      </c>
      <c r="AK1015">
        <v>370</v>
      </c>
      <c r="AL1015">
        <v>13203.332</v>
      </c>
      <c r="AM1015">
        <v>216.667</v>
      </c>
      <c r="AN1015">
        <v>23.332999999999998</v>
      </c>
      <c r="AO1015">
        <v>0</v>
      </c>
      <c r="AP1015">
        <v>16.667000000000002</v>
      </c>
      <c r="AQ1015">
        <v>13.333</v>
      </c>
      <c r="AR1015">
        <v>20</v>
      </c>
      <c r="AS1015">
        <v>73.334000000000003</v>
      </c>
      <c r="AT1015">
        <v>14933.332</v>
      </c>
      <c r="AU1015" t="s">
        <v>35</v>
      </c>
    </row>
    <row r="1016" spans="1:47" x14ac:dyDescent="0.2">
      <c r="A1016">
        <v>1751</v>
      </c>
      <c r="B1016" t="s">
        <v>583</v>
      </c>
      <c r="C1016">
        <v>9</v>
      </c>
      <c r="D1016" s="4" t="s">
        <v>781</v>
      </c>
      <c r="E1016" s="4" t="s">
        <v>781</v>
      </c>
      <c r="F1016" s="4" t="s">
        <v>59</v>
      </c>
      <c r="G1016" t="str">
        <f t="shared" si="15"/>
        <v>WWW10029DBO4.5</v>
      </c>
      <c r="H1016">
        <v>71.489999999999995</v>
      </c>
      <c r="I1016">
        <v>-163.393</v>
      </c>
      <c r="J1016" s="3">
        <v>20100820</v>
      </c>
      <c r="K1016">
        <v>2010</v>
      </c>
      <c r="L1016">
        <v>4.4447200000000002</v>
      </c>
      <c r="M1016">
        <v>3.7132200000000002</v>
      </c>
      <c r="N1016">
        <v>3.7670000000000002E-2</v>
      </c>
      <c r="O1016">
        <v>6.3074300000000001</v>
      </c>
      <c r="P1016">
        <v>0.25140000000000001</v>
      </c>
      <c r="Q1016">
        <v>0</v>
      </c>
      <c r="R1016">
        <v>0</v>
      </c>
      <c r="S1016">
        <v>0</v>
      </c>
      <c r="T1016">
        <v>7.0029999999999995E-2</v>
      </c>
      <c r="U1016">
        <v>9.6540000000000001E-2</v>
      </c>
      <c r="V1016">
        <v>14.921010000000001</v>
      </c>
      <c r="W1016" t="s">
        <v>12</v>
      </c>
      <c r="X1016">
        <v>58.287999999999997</v>
      </c>
      <c r="Y1016">
        <v>184.745</v>
      </c>
      <c r="Z1016">
        <v>0.51</v>
      </c>
      <c r="AA1016">
        <v>140.16499999999999</v>
      </c>
      <c r="AB1016">
        <v>17.957000000000001</v>
      </c>
      <c r="AC1016">
        <v>0</v>
      </c>
      <c r="AD1016">
        <v>0</v>
      </c>
      <c r="AE1016">
        <v>0</v>
      </c>
      <c r="AF1016">
        <v>0.753</v>
      </c>
      <c r="AG1016">
        <v>2.5169999999999999</v>
      </c>
      <c r="AH1016">
        <v>404.935</v>
      </c>
      <c r="AI1016" t="s">
        <v>22</v>
      </c>
      <c r="AJ1016">
        <v>703.33199999999999</v>
      </c>
      <c r="AK1016">
        <v>199.999</v>
      </c>
      <c r="AL1016">
        <v>229.99799999999999</v>
      </c>
      <c r="AM1016">
        <v>153.333</v>
      </c>
      <c r="AN1016">
        <v>43.332999999999998</v>
      </c>
      <c r="AO1016">
        <v>0</v>
      </c>
      <c r="AP1016">
        <v>0</v>
      </c>
      <c r="AQ1016">
        <v>0</v>
      </c>
      <c r="AR1016">
        <v>10</v>
      </c>
      <c r="AS1016">
        <v>66.667000000000002</v>
      </c>
      <c r="AT1016">
        <v>1406.662</v>
      </c>
      <c r="AU1016" t="s">
        <v>33</v>
      </c>
    </row>
    <row r="1017" spans="1:47" x14ac:dyDescent="0.2">
      <c r="A1017">
        <v>1905</v>
      </c>
      <c r="B1017" t="s">
        <v>687</v>
      </c>
      <c r="C1017">
        <v>1</v>
      </c>
      <c r="D1017" t="s">
        <v>688</v>
      </c>
      <c r="G1017" t="str">
        <f t="shared" si="15"/>
        <v>AKMAP_J20101LB001</v>
      </c>
      <c r="H1017">
        <v>69.837999999999994</v>
      </c>
      <c r="I1017">
        <v>-163.81</v>
      </c>
      <c r="J1017" s="3">
        <v>20100823</v>
      </c>
      <c r="K1017">
        <v>2010</v>
      </c>
      <c r="L1017">
        <v>0.28297</v>
      </c>
      <c r="M1017">
        <v>4.9009999999999998E-2</v>
      </c>
      <c r="N1017">
        <v>1.6369999999999999E-2</v>
      </c>
      <c r="O1017">
        <v>0</v>
      </c>
      <c r="P1017">
        <v>1.3999999999999999E-4</v>
      </c>
      <c r="Q1017">
        <v>4.1786399999999997</v>
      </c>
      <c r="R1017">
        <v>0</v>
      </c>
      <c r="S1017">
        <v>1.9879999999999998E-2</v>
      </c>
      <c r="T1017">
        <v>2.7999999999999998E-4</v>
      </c>
      <c r="U1017">
        <v>0.63682000000000005</v>
      </c>
      <c r="V1017">
        <v>5.1841100000000004</v>
      </c>
      <c r="W1017" t="s">
        <v>14</v>
      </c>
      <c r="X1017">
        <v>4.7770000000000001</v>
      </c>
      <c r="Y1017">
        <v>1.7250000000000001</v>
      </c>
      <c r="Z1017">
        <v>0.221</v>
      </c>
      <c r="AA1017">
        <v>0</v>
      </c>
      <c r="AB1017">
        <v>0.01</v>
      </c>
      <c r="AC1017">
        <v>522.33000000000004</v>
      </c>
      <c r="AD1017">
        <v>0</v>
      </c>
      <c r="AE1017">
        <v>1.42</v>
      </c>
      <c r="AF1017">
        <v>3.0000000000000001E-3</v>
      </c>
      <c r="AG1017">
        <v>30.378</v>
      </c>
      <c r="AH1017">
        <v>560.86400000000003</v>
      </c>
      <c r="AI1017" t="s">
        <v>26</v>
      </c>
      <c r="AJ1017">
        <v>203.333</v>
      </c>
      <c r="AK1017">
        <v>133.333</v>
      </c>
      <c r="AL1017">
        <v>123.33199999999999</v>
      </c>
      <c r="AM1017">
        <v>0</v>
      </c>
      <c r="AN1017">
        <v>3.3330000000000002</v>
      </c>
      <c r="AO1017">
        <v>136.667</v>
      </c>
      <c r="AP1017">
        <v>0</v>
      </c>
      <c r="AQ1017">
        <v>140</v>
      </c>
      <c r="AR1017">
        <v>3.3330000000000002</v>
      </c>
      <c r="AS1017">
        <v>76.667000000000002</v>
      </c>
      <c r="AT1017">
        <v>819.99800000000005</v>
      </c>
      <c r="AU1017" t="s">
        <v>33</v>
      </c>
    </row>
    <row r="1018" spans="1:47" x14ac:dyDescent="0.2">
      <c r="A1018">
        <v>1906</v>
      </c>
      <c r="B1018" t="s">
        <v>687</v>
      </c>
      <c r="C1018">
        <v>2</v>
      </c>
      <c r="D1018" t="s">
        <v>689</v>
      </c>
      <c r="G1018" t="str">
        <f t="shared" si="15"/>
        <v>AKMAP_J20102LB002</v>
      </c>
      <c r="H1018">
        <v>69.406999999999996</v>
      </c>
      <c r="I1018">
        <v>-165.41800000000001</v>
      </c>
      <c r="J1018" s="3">
        <v>20100827</v>
      </c>
      <c r="K1018">
        <v>2010</v>
      </c>
      <c r="L1018">
        <v>2.23088</v>
      </c>
      <c r="M1018">
        <v>2.9381699999999999</v>
      </c>
      <c r="N1018">
        <v>7.9170000000000004E-2</v>
      </c>
      <c r="O1018">
        <v>0</v>
      </c>
      <c r="P1018">
        <v>4.0000000000000003E-5</v>
      </c>
      <c r="Q1018">
        <v>0</v>
      </c>
      <c r="R1018">
        <v>0</v>
      </c>
      <c r="S1018">
        <v>0.18914</v>
      </c>
      <c r="T1018">
        <v>5.8599999999999998E-3</v>
      </c>
      <c r="U1018">
        <v>5.9490000000000001E-2</v>
      </c>
      <c r="V1018">
        <v>5.5027499999999998</v>
      </c>
      <c r="W1018" t="s">
        <v>10</v>
      </c>
      <c r="X1018">
        <v>42.546999999999997</v>
      </c>
      <c r="Y1018">
        <v>81.688000000000002</v>
      </c>
      <c r="Z1018">
        <v>1.145</v>
      </c>
      <c r="AA1018">
        <v>0</v>
      </c>
      <c r="AB1018">
        <v>3.0000000000000001E-3</v>
      </c>
      <c r="AC1018">
        <v>0</v>
      </c>
      <c r="AD1018">
        <v>0</v>
      </c>
      <c r="AE1018">
        <v>13.51</v>
      </c>
      <c r="AF1018">
        <v>6.3E-2</v>
      </c>
      <c r="AG1018">
        <v>1.329</v>
      </c>
      <c r="AH1018">
        <v>140.285</v>
      </c>
      <c r="AI1018" t="s">
        <v>22</v>
      </c>
      <c r="AJ1018">
        <v>1743.3340000000001</v>
      </c>
      <c r="AK1018">
        <v>559.99900000000002</v>
      </c>
      <c r="AL1018">
        <v>180</v>
      </c>
      <c r="AM1018">
        <v>0</v>
      </c>
      <c r="AN1018">
        <v>3.3330000000000002</v>
      </c>
      <c r="AO1018">
        <v>0</v>
      </c>
      <c r="AP1018">
        <v>0</v>
      </c>
      <c r="AQ1018">
        <v>3.3330000000000002</v>
      </c>
      <c r="AR1018">
        <v>10</v>
      </c>
      <c r="AS1018">
        <v>16.666</v>
      </c>
      <c r="AT1018">
        <v>2516.665</v>
      </c>
      <c r="AU1018" t="s">
        <v>33</v>
      </c>
    </row>
    <row r="1019" spans="1:47" x14ac:dyDescent="0.2">
      <c r="A1019">
        <v>1907</v>
      </c>
      <c r="B1019" t="s">
        <v>687</v>
      </c>
      <c r="C1019">
        <v>3</v>
      </c>
      <c r="D1019" t="s">
        <v>690</v>
      </c>
      <c r="G1019" t="str">
        <f t="shared" si="15"/>
        <v>AKMAP_J20103LB003</v>
      </c>
      <c r="H1019">
        <v>69.150000000000006</v>
      </c>
      <c r="I1019">
        <v>-164.84800000000001</v>
      </c>
      <c r="J1019" s="3">
        <v>20100829</v>
      </c>
      <c r="K1019">
        <v>2010</v>
      </c>
      <c r="L1019">
        <v>1.17452</v>
      </c>
      <c r="M1019">
        <v>0.22555</v>
      </c>
      <c r="N1019">
        <v>0.18229000000000001</v>
      </c>
      <c r="O1019">
        <v>2.1909999999999999E-2</v>
      </c>
      <c r="P1019">
        <v>8.8199999999999997E-3</v>
      </c>
      <c r="Q1019">
        <v>0</v>
      </c>
      <c r="R1019">
        <v>0</v>
      </c>
      <c r="S1019">
        <v>0.78844000000000003</v>
      </c>
      <c r="T1019">
        <v>5.8869999999999999E-2</v>
      </c>
      <c r="U1019">
        <v>1.38513</v>
      </c>
      <c r="V1019">
        <v>3.8455300000000001</v>
      </c>
      <c r="W1019" t="s">
        <v>18</v>
      </c>
      <c r="X1019">
        <v>16.414999999999999</v>
      </c>
      <c r="Y1019">
        <v>7.15</v>
      </c>
      <c r="Z1019">
        <v>2.452</v>
      </c>
      <c r="AA1019">
        <v>0.48699999999999999</v>
      </c>
      <c r="AB1019">
        <v>0.63</v>
      </c>
      <c r="AC1019">
        <v>0</v>
      </c>
      <c r="AD1019">
        <v>0</v>
      </c>
      <c r="AE1019">
        <v>56.317</v>
      </c>
      <c r="AF1019">
        <v>0.63300000000000001</v>
      </c>
      <c r="AG1019">
        <v>76.95</v>
      </c>
      <c r="AH1019">
        <v>161.03399999999999</v>
      </c>
      <c r="AI1019" t="s">
        <v>30</v>
      </c>
      <c r="AJ1019">
        <v>2626.665</v>
      </c>
      <c r="AK1019">
        <v>336.666</v>
      </c>
      <c r="AL1019">
        <v>740</v>
      </c>
      <c r="AM1019">
        <v>26.667000000000002</v>
      </c>
      <c r="AN1019">
        <v>310</v>
      </c>
      <c r="AO1019">
        <v>0</v>
      </c>
      <c r="AP1019">
        <v>0</v>
      </c>
      <c r="AQ1019">
        <v>73.332999999999998</v>
      </c>
      <c r="AR1019">
        <v>113.333</v>
      </c>
      <c r="AS1019">
        <v>76.665000000000006</v>
      </c>
      <c r="AT1019">
        <v>4303.3289999999997</v>
      </c>
      <c r="AU1019" t="s">
        <v>33</v>
      </c>
    </row>
    <row r="1020" spans="1:47" x14ac:dyDescent="0.2">
      <c r="A1020">
        <v>1908</v>
      </c>
      <c r="B1020" t="s">
        <v>687</v>
      </c>
      <c r="C1020">
        <v>4</v>
      </c>
      <c r="D1020" t="s">
        <v>691</v>
      </c>
      <c r="G1020" t="str">
        <f t="shared" si="15"/>
        <v>AKMAP_J20104LB004</v>
      </c>
      <c r="H1020">
        <v>68.994</v>
      </c>
      <c r="I1020">
        <v>-167.34200000000001</v>
      </c>
      <c r="J1020" s="3">
        <v>20100901</v>
      </c>
      <c r="K1020">
        <v>2010</v>
      </c>
      <c r="L1020">
        <v>1.5233699999999999</v>
      </c>
      <c r="M1020">
        <v>1.54E-2</v>
      </c>
      <c r="N1020">
        <v>1.18E-2</v>
      </c>
      <c r="O1020">
        <v>0</v>
      </c>
      <c r="P1020">
        <v>3.2000000000000003E-4</v>
      </c>
      <c r="Q1020">
        <v>0</v>
      </c>
      <c r="R1020">
        <v>0</v>
      </c>
      <c r="S1020">
        <v>0</v>
      </c>
      <c r="T1020">
        <v>0.53010000000000002</v>
      </c>
      <c r="U1020">
        <v>1.004E-2</v>
      </c>
      <c r="V1020">
        <v>2.0910299999999999</v>
      </c>
      <c r="W1020" t="s">
        <v>9</v>
      </c>
      <c r="X1020">
        <v>22.175000000000001</v>
      </c>
      <c r="Y1020">
        <v>0.48</v>
      </c>
      <c r="Z1020">
        <v>0.159</v>
      </c>
      <c r="AA1020">
        <v>0</v>
      </c>
      <c r="AB1020">
        <v>2.3E-2</v>
      </c>
      <c r="AC1020">
        <v>0</v>
      </c>
      <c r="AD1020">
        <v>0</v>
      </c>
      <c r="AE1020">
        <v>0</v>
      </c>
      <c r="AF1020">
        <v>5.7</v>
      </c>
      <c r="AG1020">
        <v>0.32300000000000001</v>
      </c>
      <c r="AH1020">
        <v>28.86</v>
      </c>
      <c r="AI1020" t="s">
        <v>21</v>
      </c>
      <c r="AJ1020">
        <v>436.66500000000002</v>
      </c>
      <c r="AK1020">
        <v>106.667</v>
      </c>
      <c r="AL1020">
        <v>49.997</v>
      </c>
      <c r="AM1020">
        <v>0</v>
      </c>
      <c r="AN1020">
        <v>13.333</v>
      </c>
      <c r="AO1020">
        <v>0</v>
      </c>
      <c r="AP1020">
        <v>0</v>
      </c>
      <c r="AQ1020">
        <v>0</v>
      </c>
      <c r="AR1020">
        <v>16.667000000000002</v>
      </c>
      <c r="AS1020">
        <v>16.667000000000002</v>
      </c>
      <c r="AT1020">
        <v>639.99599999999998</v>
      </c>
      <c r="AU1020" t="s">
        <v>33</v>
      </c>
    </row>
    <row r="1021" spans="1:47" x14ac:dyDescent="0.2">
      <c r="A1021">
        <v>1909</v>
      </c>
      <c r="B1021" t="s">
        <v>687</v>
      </c>
      <c r="C1021">
        <v>5</v>
      </c>
      <c r="D1021" t="s">
        <v>692</v>
      </c>
      <c r="G1021" t="str">
        <f t="shared" si="15"/>
        <v>AKMAP_J20105LB005</v>
      </c>
      <c r="H1021">
        <v>69.611999999999995</v>
      </c>
      <c r="I1021">
        <v>-163.721</v>
      </c>
      <c r="J1021" s="3">
        <v>20100825</v>
      </c>
      <c r="K1021">
        <v>2010</v>
      </c>
      <c r="L1021">
        <v>1.4424699999999999</v>
      </c>
      <c r="M1021">
        <v>1.74597</v>
      </c>
      <c r="N1021">
        <v>0.26308999999999999</v>
      </c>
      <c r="O1021">
        <v>4.4999999999999999E-4</v>
      </c>
      <c r="P1021">
        <v>4.5199999999999997E-3</v>
      </c>
      <c r="Q1021">
        <v>0</v>
      </c>
      <c r="R1021">
        <v>0</v>
      </c>
      <c r="S1021">
        <v>2.4920000000000001E-2</v>
      </c>
      <c r="T1021">
        <v>5.8599999999999998E-3</v>
      </c>
      <c r="U1021">
        <v>7.6000000000000004E-4</v>
      </c>
      <c r="V1021">
        <v>3.4880399999999998</v>
      </c>
      <c r="W1021" t="s">
        <v>10</v>
      </c>
      <c r="X1021">
        <v>20.811</v>
      </c>
      <c r="Y1021">
        <v>111.991</v>
      </c>
      <c r="Z1021">
        <v>3.6520000000000001</v>
      </c>
      <c r="AA1021">
        <v>0.01</v>
      </c>
      <c r="AB1021">
        <v>0.32300000000000001</v>
      </c>
      <c r="AC1021">
        <v>0</v>
      </c>
      <c r="AD1021">
        <v>0</v>
      </c>
      <c r="AE1021">
        <v>1.78</v>
      </c>
      <c r="AF1021">
        <v>6.3E-2</v>
      </c>
      <c r="AG1021">
        <v>4.7E-2</v>
      </c>
      <c r="AH1021">
        <v>138.67699999999999</v>
      </c>
      <c r="AI1021" t="s">
        <v>22</v>
      </c>
      <c r="AJ1021">
        <v>4333.3320000000003</v>
      </c>
      <c r="AK1021">
        <v>530</v>
      </c>
      <c r="AL1021">
        <v>883.33299999999997</v>
      </c>
      <c r="AM1021">
        <v>6.6669999999999998</v>
      </c>
      <c r="AN1021">
        <v>13.333</v>
      </c>
      <c r="AO1021">
        <v>0</v>
      </c>
      <c r="AP1021">
        <v>0</v>
      </c>
      <c r="AQ1021">
        <v>650</v>
      </c>
      <c r="AR1021">
        <v>33.332999999999998</v>
      </c>
      <c r="AS1021">
        <v>10</v>
      </c>
      <c r="AT1021">
        <v>6459.9979999999996</v>
      </c>
      <c r="AU1021" t="s">
        <v>33</v>
      </c>
    </row>
    <row r="1022" spans="1:47" x14ac:dyDescent="0.2">
      <c r="A1022">
        <v>1910</v>
      </c>
      <c r="B1022" t="s">
        <v>687</v>
      </c>
      <c r="C1022">
        <v>6</v>
      </c>
      <c r="D1022" t="s">
        <v>693</v>
      </c>
      <c r="G1022" t="str">
        <f t="shared" si="15"/>
        <v>AKMAP_J20106LB006</v>
      </c>
      <c r="H1022">
        <v>69.048000000000002</v>
      </c>
      <c r="I1022">
        <v>-165.488</v>
      </c>
      <c r="J1022" s="3">
        <v>20100829</v>
      </c>
      <c r="K1022">
        <v>2010</v>
      </c>
      <c r="L1022">
        <v>1.5753699999999999</v>
      </c>
      <c r="M1022">
        <v>2.4404400000000002</v>
      </c>
      <c r="N1022">
        <v>3.42441</v>
      </c>
      <c r="O1022">
        <v>0</v>
      </c>
      <c r="P1022">
        <v>2.5440000000000001E-2</v>
      </c>
      <c r="Q1022">
        <v>1.12E-2</v>
      </c>
      <c r="R1022">
        <v>0</v>
      </c>
      <c r="S1022">
        <v>5.1999999999999995E-4</v>
      </c>
      <c r="T1022">
        <v>3.9710000000000002E-2</v>
      </c>
      <c r="U1022">
        <v>0.31458999999999998</v>
      </c>
      <c r="V1022">
        <v>7.8316800000000004</v>
      </c>
      <c r="W1022" t="s">
        <v>11</v>
      </c>
      <c r="X1022">
        <v>24.550999999999998</v>
      </c>
      <c r="Y1022">
        <v>71.414000000000001</v>
      </c>
      <c r="Z1022">
        <v>48.948</v>
      </c>
      <c r="AA1022">
        <v>0</v>
      </c>
      <c r="AB1022">
        <v>1.8169999999999999</v>
      </c>
      <c r="AC1022">
        <v>1.4</v>
      </c>
      <c r="AD1022">
        <v>0</v>
      </c>
      <c r="AE1022">
        <v>3.6999999999999998E-2</v>
      </c>
      <c r="AF1022">
        <v>0.42699999999999999</v>
      </c>
      <c r="AG1022">
        <v>6.2539999999999996</v>
      </c>
      <c r="AH1022">
        <v>154.84800000000001</v>
      </c>
      <c r="AI1022" t="s">
        <v>22</v>
      </c>
      <c r="AJ1022">
        <v>816.66499999999996</v>
      </c>
      <c r="AK1022">
        <v>213.33199999999999</v>
      </c>
      <c r="AL1022">
        <v>653.33399999999995</v>
      </c>
      <c r="AM1022">
        <v>0</v>
      </c>
      <c r="AN1022">
        <v>243.333</v>
      </c>
      <c r="AO1022">
        <v>113.333</v>
      </c>
      <c r="AP1022">
        <v>0</v>
      </c>
      <c r="AQ1022">
        <v>6.6669999999999998</v>
      </c>
      <c r="AR1022">
        <v>23.332999999999998</v>
      </c>
      <c r="AS1022">
        <v>73.331999999999994</v>
      </c>
      <c r="AT1022">
        <v>2143.3290000000002</v>
      </c>
      <c r="AU1022" t="s">
        <v>33</v>
      </c>
    </row>
    <row r="1023" spans="1:47" x14ac:dyDescent="0.2">
      <c r="A1023">
        <v>1911</v>
      </c>
      <c r="B1023" t="s">
        <v>687</v>
      </c>
      <c r="C1023">
        <v>7</v>
      </c>
      <c r="D1023" t="s">
        <v>694</v>
      </c>
      <c r="G1023" t="str">
        <f t="shared" si="15"/>
        <v>AKMAP_J20107LB007</v>
      </c>
      <c r="H1023">
        <v>69.209999999999994</v>
      </c>
      <c r="I1023">
        <v>-164.62200000000001</v>
      </c>
      <c r="J1023" s="3">
        <v>20100828</v>
      </c>
      <c r="K1023">
        <v>2010</v>
      </c>
      <c r="L1023">
        <v>2.7947600000000001</v>
      </c>
      <c r="M1023">
        <v>0.40675</v>
      </c>
      <c r="N1023">
        <v>0.28151999999999999</v>
      </c>
      <c r="O1023">
        <v>2.5059999999999999E-2</v>
      </c>
      <c r="P1023">
        <v>6.7600000000000004E-3</v>
      </c>
      <c r="Q1023">
        <v>1.3999999999999999E-4</v>
      </c>
      <c r="R1023">
        <v>0</v>
      </c>
      <c r="S1023">
        <v>3.54522</v>
      </c>
      <c r="T1023">
        <v>0.1076</v>
      </c>
      <c r="U1023">
        <v>0.78856000000000004</v>
      </c>
      <c r="V1023">
        <v>7.9563699999999997</v>
      </c>
      <c r="W1023" t="s">
        <v>16</v>
      </c>
      <c r="X1023">
        <v>38.487000000000002</v>
      </c>
      <c r="Y1023">
        <v>24.120999999999999</v>
      </c>
      <c r="Z1023">
        <v>3.8359999999999999</v>
      </c>
      <c r="AA1023">
        <v>0.55700000000000005</v>
      </c>
      <c r="AB1023">
        <v>0.48299999999999998</v>
      </c>
      <c r="AC1023">
        <v>1.7000000000000001E-2</v>
      </c>
      <c r="AD1023">
        <v>0</v>
      </c>
      <c r="AE1023">
        <v>253.23</v>
      </c>
      <c r="AF1023">
        <v>1.157</v>
      </c>
      <c r="AG1023">
        <v>45.249000000000002</v>
      </c>
      <c r="AH1023">
        <v>367.137</v>
      </c>
      <c r="AI1023" t="s">
        <v>28</v>
      </c>
      <c r="AJ1023">
        <v>4683.3329999999996</v>
      </c>
      <c r="AK1023">
        <v>280</v>
      </c>
      <c r="AL1023">
        <v>1796.6659999999999</v>
      </c>
      <c r="AM1023">
        <v>36.667000000000002</v>
      </c>
      <c r="AN1023">
        <v>493.33300000000003</v>
      </c>
      <c r="AO1023">
        <v>6.6669999999999998</v>
      </c>
      <c r="AP1023">
        <v>0</v>
      </c>
      <c r="AQ1023">
        <v>173.333</v>
      </c>
      <c r="AR1023">
        <v>133.333</v>
      </c>
      <c r="AS1023">
        <v>136.66499999999999</v>
      </c>
      <c r="AT1023">
        <v>7739.9970000000003</v>
      </c>
      <c r="AU1023" t="s">
        <v>33</v>
      </c>
    </row>
    <row r="1024" spans="1:47" x14ac:dyDescent="0.2">
      <c r="A1024">
        <v>1912</v>
      </c>
      <c r="B1024" t="s">
        <v>687</v>
      </c>
      <c r="C1024">
        <v>8</v>
      </c>
      <c r="D1024" t="s">
        <v>695</v>
      </c>
      <c r="G1024" t="str">
        <f t="shared" si="15"/>
        <v>AKMAP_J20108LB008</v>
      </c>
      <c r="H1024">
        <v>69.025999999999996</v>
      </c>
      <c r="I1024">
        <v>-166.559</v>
      </c>
      <c r="J1024" s="3">
        <v>20100901</v>
      </c>
      <c r="K1024">
        <v>2010</v>
      </c>
      <c r="L1024">
        <v>1.9804900000000001</v>
      </c>
      <c r="M1024">
        <v>0.39245999999999998</v>
      </c>
      <c r="N1024">
        <v>0.31017</v>
      </c>
      <c r="O1024">
        <v>9.5409999999999995E-2</v>
      </c>
      <c r="P1024">
        <v>1.8600000000000001E-3</v>
      </c>
      <c r="Q1024">
        <v>0</v>
      </c>
      <c r="R1024">
        <v>0</v>
      </c>
      <c r="S1024">
        <v>1.4939800000000001</v>
      </c>
      <c r="T1024">
        <v>0.1953</v>
      </c>
      <c r="U1024">
        <v>7.5939999999999994E-2</v>
      </c>
      <c r="V1024">
        <v>4.5456099999999999</v>
      </c>
      <c r="W1024" t="s">
        <v>9</v>
      </c>
      <c r="X1024">
        <v>31.872</v>
      </c>
      <c r="Y1024">
        <v>19.417000000000002</v>
      </c>
      <c r="Z1024">
        <v>4.1900000000000004</v>
      </c>
      <c r="AA1024">
        <v>2.12</v>
      </c>
      <c r="AB1024">
        <v>0.13300000000000001</v>
      </c>
      <c r="AC1024">
        <v>0</v>
      </c>
      <c r="AD1024">
        <v>0</v>
      </c>
      <c r="AE1024">
        <v>36.479999999999997</v>
      </c>
      <c r="AF1024">
        <v>2.1</v>
      </c>
      <c r="AG1024">
        <v>4.6900000000000004</v>
      </c>
      <c r="AH1024">
        <v>101.002</v>
      </c>
      <c r="AI1024" t="s">
        <v>28</v>
      </c>
      <c r="AJ1024">
        <v>2679.9989999999998</v>
      </c>
      <c r="AK1024">
        <v>269.99799999999999</v>
      </c>
      <c r="AL1024">
        <v>833.33299999999997</v>
      </c>
      <c r="AM1024">
        <v>110</v>
      </c>
      <c r="AN1024">
        <v>63.332999999999998</v>
      </c>
      <c r="AO1024">
        <v>0</v>
      </c>
      <c r="AP1024">
        <v>0</v>
      </c>
      <c r="AQ1024">
        <v>30</v>
      </c>
      <c r="AR1024">
        <v>126.667</v>
      </c>
      <c r="AS1024">
        <v>93.331999999999994</v>
      </c>
      <c r="AT1024">
        <v>4206.6620000000003</v>
      </c>
      <c r="AU1024" t="s">
        <v>33</v>
      </c>
    </row>
    <row r="1025" spans="1:47" x14ac:dyDescent="0.2">
      <c r="A1025">
        <v>1913</v>
      </c>
      <c r="B1025" t="s">
        <v>687</v>
      </c>
      <c r="C1025">
        <v>9</v>
      </c>
      <c r="D1025" t="s">
        <v>696</v>
      </c>
      <c r="G1025" t="str">
        <f t="shared" si="15"/>
        <v>AKMAP_J20109LB009</v>
      </c>
      <c r="H1025">
        <v>69.185000000000002</v>
      </c>
      <c r="I1025">
        <v>-165.16</v>
      </c>
      <c r="J1025" s="3">
        <v>20100829</v>
      </c>
      <c r="K1025">
        <v>2010</v>
      </c>
      <c r="L1025">
        <v>1.19459</v>
      </c>
      <c r="M1025">
        <v>0.11176</v>
      </c>
      <c r="N1025">
        <v>0.14183000000000001</v>
      </c>
      <c r="O1025">
        <v>0</v>
      </c>
      <c r="P1025">
        <v>6.6E-4</v>
      </c>
      <c r="Q1025">
        <v>0</v>
      </c>
      <c r="R1025">
        <v>0</v>
      </c>
      <c r="S1025">
        <v>5.1399999999999996E-3</v>
      </c>
      <c r="T1025">
        <v>1.3950000000000001E-2</v>
      </c>
      <c r="U1025">
        <v>0.18199000000000001</v>
      </c>
      <c r="V1025">
        <v>1.6499200000000001</v>
      </c>
      <c r="W1025" t="s">
        <v>9</v>
      </c>
      <c r="X1025">
        <v>17.001000000000001</v>
      </c>
      <c r="Y1025">
        <v>3.4460000000000002</v>
      </c>
      <c r="Z1025">
        <v>2.0139999999999998</v>
      </c>
      <c r="AA1025">
        <v>0</v>
      </c>
      <c r="AB1025">
        <v>4.7E-2</v>
      </c>
      <c r="AC1025">
        <v>0</v>
      </c>
      <c r="AD1025">
        <v>0</v>
      </c>
      <c r="AE1025">
        <v>0.36699999999999999</v>
      </c>
      <c r="AF1025">
        <v>0.15</v>
      </c>
      <c r="AG1025">
        <v>10.032</v>
      </c>
      <c r="AH1025">
        <v>33.057000000000002</v>
      </c>
      <c r="AI1025" t="s">
        <v>21</v>
      </c>
      <c r="AJ1025">
        <v>3273.33</v>
      </c>
      <c r="AK1025">
        <v>343.33300000000003</v>
      </c>
      <c r="AL1025">
        <v>1246.665</v>
      </c>
      <c r="AM1025">
        <v>0</v>
      </c>
      <c r="AN1025">
        <v>43.332999999999998</v>
      </c>
      <c r="AO1025">
        <v>0</v>
      </c>
      <c r="AP1025">
        <v>0</v>
      </c>
      <c r="AQ1025">
        <v>123.333</v>
      </c>
      <c r="AR1025">
        <v>73.332999999999998</v>
      </c>
      <c r="AS1025">
        <v>53.332000000000001</v>
      </c>
      <c r="AT1025">
        <v>5156.6589999999997</v>
      </c>
      <c r="AU1025" t="s">
        <v>33</v>
      </c>
    </row>
    <row r="1026" spans="1:47" x14ac:dyDescent="0.2">
      <c r="A1026">
        <v>1914</v>
      </c>
      <c r="B1026" t="s">
        <v>687</v>
      </c>
      <c r="C1026">
        <v>10</v>
      </c>
      <c r="D1026" t="s">
        <v>697</v>
      </c>
      <c r="G1026" t="str">
        <f t="shared" si="15"/>
        <v>AKMAP_J201010LB010</v>
      </c>
      <c r="H1026">
        <v>69.667000000000002</v>
      </c>
      <c r="I1026">
        <v>-164.297</v>
      </c>
      <c r="J1026" s="3">
        <v>20100825</v>
      </c>
      <c r="K1026">
        <v>2010</v>
      </c>
      <c r="L1026">
        <v>0.89339999999999997</v>
      </c>
      <c r="M1026">
        <v>1.15757</v>
      </c>
      <c r="N1026">
        <v>2.5510000000000001E-2</v>
      </c>
      <c r="O1026">
        <v>0</v>
      </c>
      <c r="P1026">
        <v>1.1E-4</v>
      </c>
      <c r="Q1026">
        <v>6.6479999999999997</v>
      </c>
      <c r="R1026">
        <v>0.49428</v>
      </c>
      <c r="S1026">
        <v>1.652E-2</v>
      </c>
      <c r="T1026">
        <v>4.3699999999999998E-3</v>
      </c>
      <c r="U1026">
        <v>0.16405</v>
      </c>
      <c r="V1026">
        <v>9.40381</v>
      </c>
      <c r="W1026" t="s">
        <v>14</v>
      </c>
      <c r="X1026">
        <v>13.331</v>
      </c>
      <c r="Y1026">
        <v>75.84</v>
      </c>
      <c r="Z1026">
        <v>0.34100000000000003</v>
      </c>
      <c r="AA1026">
        <v>0</v>
      </c>
      <c r="AB1026">
        <v>8.0000000000000002E-3</v>
      </c>
      <c r="AC1026">
        <v>831</v>
      </c>
      <c r="AD1026">
        <v>8.1029999999999998</v>
      </c>
      <c r="AE1026">
        <v>1.18</v>
      </c>
      <c r="AF1026">
        <v>4.7E-2</v>
      </c>
      <c r="AG1026">
        <v>7.843</v>
      </c>
      <c r="AH1026">
        <v>937.69299999999998</v>
      </c>
      <c r="AI1026" t="s">
        <v>26</v>
      </c>
      <c r="AJ1026">
        <v>710.00099999999998</v>
      </c>
      <c r="AK1026">
        <v>146.66499999999999</v>
      </c>
      <c r="AL1026">
        <v>50</v>
      </c>
      <c r="AM1026">
        <v>0</v>
      </c>
      <c r="AN1026">
        <v>13.333</v>
      </c>
      <c r="AO1026">
        <v>223.333</v>
      </c>
      <c r="AP1026">
        <v>6.6669999999999998</v>
      </c>
      <c r="AQ1026">
        <v>36.667000000000002</v>
      </c>
      <c r="AR1026">
        <v>23.332999999999998</v>
      </c>
      <c r="AS1026">
        <v>203.333</v>
      </c>
      <c r="AT1026">
        <v>1413.3320000000001</v>
      </c>
      <c r="AU1026" t="s">
        <v>33</v>
      </c>
    </row>
    <row r="1027" spans="1:47" x14ac:dyDescent="0.2">
      <c r="A1027">
        <v>1915</v>
      </c>
      <c r="B1027" t="s">
        <v>687</v>
      </c>
      <c r="C1027">
        <v>11</v>
      </c>
      <c r="D1027" t="s">
        <v>698</v>
      </c>
      <c r="G1027" t="str">
        <f t="shared" ref="G1027:G1090" si="16">CONCATENATE(B1027,C1027,D1027)</f>
        <v>AKMAP_J201011LB011</v>
      </c>
      <c r="H1027">
        <v>69.960999999999999</v>
      </c>
      <c r="I1027">
        <v>-164.626</v>
      </c>
      <c r="J1027" s="3">
        <v>20100824</v>
      </c>
      <c r="K1027">
        <v>2010</v>
      </c>
      <c r="L1027">
        <v>3.07131</v>
      </c>
      <c r="M1027">
        <v>1.1998599999999999</v>
      </c>
      <c r="N1027">
        <v>0.12225999999999999</v>
      </c>
      <c r="O1027">
        <v>0</v>
      </c>
      <c r="P1027">
        <v>1.7000000000000001E-4</v>
      </c>
      <c r="Q1027">
        <v>0</v>
      </c>
      <c r="R1027">
        <v>0</v>
      </c>
      <c r="S1027">
        <v>2.0799999999999999E-2</v>
      </c>
      <c r="T1027">
        <v>1.3950000000000001E-2</v>
      </c>
      <c r="U1027">
        <v>1.6900000000000001E-3</v>
      </c>
      <c r="V1027">
        <v>4.43004</v>
      </c>
      <c r="W1027" t="s">
        <v>9</v>
      </c>
      <c r="X1027">
        <v>38.759</v>
      </c>
      <c r="Y1027">
        <v>34.648000000000003</v>
      </c>
      <c r="Z1027">
        <v>1.6910000000000001</v>
      </c>
      <c r="AA1027">
        <v>0</v>
      </c>
      <c r="AB1027">
        <v>1.2E-2</v>
      </c>
      <c r="AC1027">
        <v>0</v>
      </c>
      <c r="AD1027">
        <v>0</v>
      </c>
      <c r="AE1027">
        <v>1.486</v>
      </c>
      <c r="AF1027">
        <v>0.15</v>
      </c>
      <c r="AG1027">
        <v>0.1</v>
      </c>
      <c r="AH1027">
        <v>76.846000000000004</v>
      </c>
      <c r="AI1027" t="s">
        <v>21</v>
      </c>
      <c r="AJ1027">
        <v>1509.999</v>
      </c>
      <c r="AK1027">
        <v>260.00099999999998</v>
      </c>
      <c r="AL1027">
        <v>1320</v>
      </c>
      <c r="AM1027">
        <v>0</v>
      </c>
      <c r="AN1027">
        <v>13.333</v>
      </c>
      <c r="AO1027">
        <v>0</v>
      </c>
      <c r="AP1027">
        <v>0</v>
      </c>
      <c r="AQ1027">
        <v>10</v>
      </c>
      <c r="AR1027">
        <v>33.332999999999998</v>
      </c>
      <c r="AS1027">
        <v>26.664999999999999</v>
      </c>
      <c r="AT1027">
        <v>3173.3310000000001</v>
      </c>
      <c r="AU1027" t="s">
        <v>33</v>
      </c>
    </row>
    <row r="1028" spans="1:47" x14ac:dyDescent="0.2">
      <c r="A1028">
        <v>1916</v>
      </c>
      <c r="B1028" t="s">
        <v>687</v>
      </c>
      <c r="C1028">
        <v>12</v>
      </c>
      <c r="D1028" t="s">
        <v>699</v>
      </c>
      <c r="G1028" t="str">
        <f t="shared" si="16"/>
        <v>AKMAP_J201012LB012</v>
      </c>
      <c r="H1028">
        <v>68.531999999999996</v>
      </c>
      <c r="I1028">
        <v>-167.173</v>
      </c>
      <c r="J1028" s="3">
        <v>20100903</v>
      </c>
      <c r="K1028">
        <v>2010</v>
      </c>
      <c r="L1028">
        <v>1.6667799999999999</v>
      </c>
      <c r="M1028">
        <v>2.1568299999999998</v>
      </c>
      <c r="N1028">
        <v>1.214E-2</v>
      </c>
      <c r="O1028">
        <v>0</v>
      </c>
      <c r="P1028">
        <v>5.0000000000000001E-3</v>
      </c>
      <c r="Q1028">
        <v>7.6000000000000004E-4</v>
      </c>
      <c r="R1028">
        <v>0</v>
      </c>
      <c r="S1028">
        <v>0</v>
      </c>
      <c r="T1028">
        <v>1.116E-2</v>
      </c>
      <c r="U1028">
        <v>0.65703</v>
      </c>
      <c r="V1028">
        <v>4.5096999999999996</v>
      </c>
      <c r="W1028" t="s">
        <v>10</v>
      </c>
      <c r="X1028">
        <v>23.620999999999999</v>
      </c>
      <c r="Y1028">
        <v>75.989999999999995</v>
      </c>
      <c r="Z1028">
        <v>0.17699999999999999</v>
      </c>
      <c r="AA1028">
        <v>0</v>
      </c>
      <c r="AB1028">
        <v>0.35699999999999998</v>
      </c>
      <c r="AC1028">
        <v>9.4E-2</v>
      </c>
      <c r="AD1028">
        <v>0</v>
      </c>
      <c r="AE1028">
        <v>0</v>
      </c>
      <c r="AF1028">
        <v>0.12</v>
      </c>
      <c r="AG1028">
        <v>31.213000000000001</v>
      </c>
      <c r="AH1028">
        <v>131.572</v>
      </c>
      <c r="AI1028" t="s">
        <v>22</v>
      </c>
      <c r="AJ1028">
        <v>1956.6669999999999</v>
      </c>
      <c r="AK1028">
        <v>159.99799999999999</v>
      </c>
      <c r="AL1028">
        <v>136.666</v>
      </c>
      <c r="AM1028">
        <v>0</v>
      </c>
      <c r="AN1028">
        <v>60</v>
      </c>
      <c r="AO1028">
        <v>16.666</v>
      </c>
      <c r="AP1028">
        <v>0</v>
      </c>
      <c r="AQ1028">
        <v>0</v>
      </c>
      <c r="AR1028">
        <v>46.667000000000002</v>
      </c>
      <c r="AS1028">
        <v>33.332000000000001</v>
      </c>
      <c r="AT1028">
        <v>2409.9960000000001</v>
      </c>
      <c r="AU1028" t="s">
        <v>33</v>
      </c>
    </row>
    <row r="1029" spans="1:47" x14ac:dyDescent="0.2">
      <c r="A1029">
        <v>1917</v>
      </c>
      <c r="B1029" t="s">
        <v>687</v>
      </c>
      <c r="C1029">
        <v>13</v>
      </c>
      <c r="D1029" t="s">
        <v>700</v>
      </c>
      <c r="G1029" t="str">
        <f t="shared" si="16"/>
        <v>AKMAP_J201013LB013</v>
      </c>
      <c r="H1029">
        <v>69.27</v>
      </c>
      <c r="I1029">
        <v>-166.56200000000001</v>
      </c>
      <c r="J1029" s="3">
        <v>20100831</v>
      </c>
      <c r="K1029">
        <v>2010</v>
      </c>
      <c r="L1029">
        <v>3.61151</v>
      </c>
      <c r="M1029">
        <v>0.11039</v>
      </c>
      <c r="N1029">
        <v>4.0400000000000002E-3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6.4999999999999997E-4</v>
      </c>
      <c r="U1029">
        <v>2.5400000000000002E-3</v>
      </c>
      <c r="V1029">
        <v>3.7291300000000001</v>
      </c>
      <c r="W1029" t="s">
        <v>9</v>
      </c>
      <c r="X1029">
        <v>49.917999999999999</v>
      </c>
      <c r="Y1029">
        <v>3.77</v>
      </c>
      <c r="Z1029">
        <v>5.6000000000000001E-2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7.0000000000000001E-3</v>
      </c>
      <c r="AG1029">
        <v>0.123</v>
      </c>
      <c r="AH1029">
        <v>53.874000000000002</v>
      </c>
      <c r="AI1029" t="s">
        <v>21</v>
      </c>
      <c r="AJ1029">
        <v>456.66699999999997</v>
      </c>
      <c r="AK1029">
        <v>196.667</v>
      </c>
      <c r="AL1029">
        <v>16.666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3.3330000000000002</v>
      </c>
      <c r="AS1029">
        <v>9.9990000000000006</v>
      </c>
      <c r="AT1029">
        <v>683.33199999999999</v>
      </c>
      <c r="AU1029" t="s">
        <v>33</v>
      </c>
    </row>
    <row r="1030" spans="1:47" x14ac:dyDescent="0.2">
      <c r="A1030">
        <v>1918</v>
      </c>
      <c r="B1030" t="s">
        <v>687</v>
      </c>
      <c r="C1030">
        <v>14</v>
      </c>
      <c r="D1030" t="s">
        <v>701</v>
      </c>
      <c r="G1030" t="str">
        <f t="shared" si="16"/>
        <v>AKMAP_J201014LB014</v>
      </c>
      <c r="H1030">
        <v>69.539000000000001</v>
      </c>
      <c r="I1030">
        <v>-165.048</v>
      </c>
      <c r="J1030" s="3">
        <v>20100826</v>
      </c>
      <c r="K1030">
        <v>2010</v>
      </c>
      <c r="L1030">
        <v>5.4982600000000001</v>
      </c>
      <c r="M1030">
        <v>3.3565200000000002</v>
      </c>
      <c r="N1030">
        <v>0.11149000000000001</v>
      </c>
      <c r="O1030">
        <v>0</v>
      </c>
      <c r="P1030">
        <v>6.9999999999999994E-5</v>
      </c>
      <c r="Q1030">
        <v>0</v>
      </c>
      <c r="R1030">
        <v>0</v>
      </c>
      <c r="S1030">
        <v>1.124E-2</v>
      </c>
      <c r="T1030">
        <v>1.2370000000000001E-2</v>
      </c>
      <c r="U1030">
        <v>2.743E-2</v>
      </c>
      <c r="V1030">
        <v>9.0173799999999993</v>
      </c>
      <c r="W1030" t="s">
        <v>9</v>
      </c>
      <c r="X1030">
        <v>80.05</v>
      </c>
      <c r="Y1030">
        <v>165.625</v>
      </c>
      <c r="Z1030">
        <v>1.556</v>
      </c>
      <c r="AA1030">
        <v>0</v>
      </c>
      <c r="AB1030">
        <v>5.0000000000000001E-3</v>
      </c>
      <c r="AC1030">
        <v>0</v>
      </c>
      <c r="AD1030">
        <v>0</v>
      </c>
      <c r="AE1030">
        <v>0.80300000000000005</v>
      </c>
      <c r="AF1030">
        <v>0.13300000000000001</v>
      </c>
      <c r="AG1030">
        <v>0.875</v>
      </c>
      <c r="AH1030">
        <v>249.047</v>
      </c>
      <c r="AI1030" t="s">
        <v>22</v>
      </c>
      <c r="AJ1030">
        <v>4409.9989999999998</v>
      </c>
      <c r="AK1030">
        <v>306.66500000000002</v>
      </c>
      <c r="AL1030">
        <v>500</v>
      </c>
      <c r="AM1030">
        <v>0</v>
      </c>
      <c r="AN1030">
        <v>6.6669999999999998</v>
      </c>
      <c r="AO1030">
        <v>0</v>
      </c>
      <c r="AP1030">
        <v>0</v>
      </c>
      <c r="AQ1030">
        <v>23.332999999999998</v>
      </c>
      <c r="AR1030">
        <v>36.667000000000002</v>
      </c>
      <c r="AS1030">
        <v>33.331000000000003</v>
      </c>
      <c r="AT1030">
        <v>5316.6620000000003</v>
      </c>
      <c r="AU1030" t="s">
        <v>33</v>
      </c>
    </row>
    <row r="1031" spans="1:47" x14ac:dyDescent="0.2">
      <c r="A1031">
        <v>1919</v>
      </c>
      <c r="B1031" t="s">
        <v>687</v>
      </c>
      <c r="C1031">
        <v>15</v>
      </c>
      <c r="D1031" t="s">
        <v>702</v>
      </c>
      <c r="G1031" t="str">
        <f t="shared" si="16"/>
        <v>AKMAP_J201015LB015</v>
      </c>
      <c r="H1031">
        <v>69.203000000000003</v>
      </c>
      <c r="I1031">
        <v>-166.71899999999999</v>
      </c>
      <c r="J1031" s="3">
        <v>20100830</v>
      </c>
      <c r="K1031">
        <v>2010</v>
      </c>
      <c r="L1031">
        <v>8.2991200000000003</v>
      </c>
      <c r="M1031">
        <v>0.18104000000000001</v>
      </c>
      <c r="N1031">
        <v>0.23122000000000001</v>
      </c>
      <c r="O1031">
        <v>0.17716999999999999</v>
      </c>
      <c r="P1031">
        <v>2.1839999999999998E-2</v>
      </c>
      <c r="Q1031">
        <v>0</v>
      </c>
      <c r="R1031">
        <v>0</v>
      </c>
      <c r="S1031">
        <v>1E-4</v>
      </c>
      <c r="T1031">
        <v>0.16525999999999999</v>
      </c>
      <c r="U1031">
        <v>0.11669</v>
      </c>
      <c r="V1031">
        <v>9.1924399999999995</v>
      </c>
      <c r="W1031" t="s">
        <v>9</v>
      </c>
      <c r="X1031">
        <v>127.441</v>
      </c>
      <c r="Y1031">
        <v>6.3230000000000004</v>
      </c>
      <c r="Z1031">
        <v>3.1080000000000001</v>
      </c>
      <c r="AA1031">
        <v>3.9369999999999998</v>
      </c>
      <c r="AB1031">
        <v>1.56</v>
      </c>
      <c r="AC1031">
        <v>0</v>
      </c>
      <c r="AD1031">
        <v>0</v>
      </c>
      <c r="AE1031">
        <v>7.0000000000000001E-3</v>
      </c>
      <c r="AF1031">
        <v>1.7769999999999999</v>
      </c>
      <c r="AG1031">
        <v>8.202</v>
      </c>
      <c r="AH1031">
        <v>152.35499999999999</v>
      </c>
      <c r="AI1031" t="s">
        <v>21</v>
      </c>
      <c r="AJ1031">
        <v>1926.6659999999999</v>
      </c>
      <c r="AK1031">
        <v>200</v>
      </c>
      <c r="AL1031">
        <v>696.66499999999996</v>
      </c>
      <c r="AM1031">
        <v>23.332999999999998</v>
      </c>
      <c r="AN1031">
        <v>40</v>
      </c>
      <c r="AO1031">
        <v>0</v>
      </c>
      <c r="AP1031">
        <v>0</v>
      </c>
      <c r="AQ1031">
        <v>3.3330000000000002</v>
      </c>
      <c r="AR1031">
        <v>33.332999999999998</v>
      </c>
      <c r="AS1031">
        <v>80</v>
      </c>
      <c r="AT1031">
        <v>3003.33</v>
      </c>
      <c r="AU1031" t="s">
        <v>33</v>
      </c>
    </row>
    <row r="1032" spans="1:47" x14ac:dyDescent="0.2">
      <c r="A1032">
        <v>1920</v>
      </c>
      <c r="B1032" t="s">
        <v>687</v>
      </c>
      <c r="C1032">
        <v>16</v>
      </c>
      <c r="D1032" t="s">
        <v>703</v>
      </c>
      <c r="G1032" t="str">
        <f t="shared" si="16"/>
        <v>AKMAP_J201016LB016</v>
      </c>
      <c r="H1032">
        <v>68.676000000000002</v>
      </c>
      <c r="I1032">
        <v>-167.833</v>
      </c>
      <c r="J1032" s="3">
        <v>20100903</v>
      </c>
      <c r="K1032">
        <v>2010</v>
      </c>
      <c r="L1032">
        <v>1.95749</v>
      </c>
      <c r="M1032">
        <v>0.30814000000000002</v>
      </c>
      <c r="N1032">
        <v>7.6400000000000001E-3</v>
      </c>
      <c r="O1032">
        <v>0</v>
      </c>
      <c r="P1032">
        <v>4.6000000000000001E-4</v>
      </c>
      <c r="Q1032">
        <v>0</v>
      </c>
      <c r="R1032">
        <v>0</v>
      </c>
      <c r="S1032">
        <v>0</v>
      </c>
      <c r="T1032">
        <v>0</v>
      </c>
      <c r="U1032">
        <v>0.18049999999999999</v>
      </c>
      <c r="V1032">
        <v>2.4542299999999999</v>
      </c>
      <c r="W1032" t="s">
        <v>9</v>
      </c>
      <c r="X1032">
        <v>29.605</v>
      </c>
      <c r="Y1032">
        <v>9.1609999999999996</v>
      </c>
      <c r="Z1032">
        <v>0.10299999999999999</v>
      </c>
      <c r="AA1032">
        <v>0</v>
      </c>
      <c r="AB1032">
        <v>3.3000000000000002E-2</v>
      </c>
      <c r="AC1032">
        <v>0</v>
      </c>
      <c r="AD1032">
        <v>0</v>
      </c>
      <c r="AE1032">
        <v>0</v>
      </c>
      <c r="AF1032">
        <v>0</v>
      </c>
      <c r="AG1032">
        <v>2.9340000000000002</v>
      </c>
      <c r="AH1032">
        <v>41.835999999999999</v>
      </c>
      <c r="AI1032" t="s">
        <v>21</v>
      </c>
      <c r="AJ1032">
        <v>290</v>
      </c>
      <c r="AK1032">
        <v>306.666</v>
      </c>
      <c r="AL1032">
        <v>53.332999999999998</v>
      </c>
      <c r="AM1032">
        <v>0</v>
      </c>
      <c r="AN1032">
        <v>10</v>
      </c>
      <c r="AO1032">
        <v>0</v>
      </c>
      <c r="AP1032">
        <v>0</v>
      </c>
      <c r="AQ1032">
        <v>0</v>
      </c>
      <c r="AR1032">
        <v>0</v>
      </c>
      <c r="AS1032">
        <v>43.334000000000003</v>
      </c>
      <c r="AT1032">
        <v>703.33299999999997</v>
      </c>
      <c r="AU1032" t="s">
        <v>34</v>
      </c>
    </row>
    <row r="1033" spans="1:47" x14ac:dyDescent="0.2">
      <c r="A1033">
        <v>1921</v>
      </c>
      <c r="B1033" t="s">
        <v>687</v>
      </c>
      <c r="C1033">
        <v>17</v>
      </c>
      <c r="D1033" t="s">
        <v>704</v>
      </c>
      <c r="G1033" t="str">
        <f t="shared" si="16"/>
        <v>AKMAP_J201017LB017</v>
      </c>
      <c r="H1033">
        <v>69.173000000000002</v>
      </c>
      <c r="I1033">
        <v>-165.709</v>
      </c>
      <c r="J1033" s="3">
        <v>20100830</v>
      </c>
      <c r="K1033">
        <v>2010</v>
      </c>
      <c r="L1033">
        <v>3.5884999999999998</v>
      </c>
      <c r="M1033">
        <v>0.33678000000000002</v>
      </c>
      <c r="N1033">
        <v>7.0099999999999997E-3</v>
      </c>
      <c r="O1033">
        <v>0</v>
      </c>
      <c r="P1033">
        <v>0</v>
      </c>
      <c r="Q1033">
        <v>0</v>
      </c>
      <c r="R1033">
        <v>0</v>
      </c>
      <c r="S1033">
        <v>7.0660000000000001E-2</v>
      </c>
      <c r="T1033">
        <v>2.14E-3</v>
      </c>
      <c r="U1033">
        <v>2.2069999999999999E-2</v>
      </c>
      <c r="V1033">
        <v>4.0271600000000003</v>
      </c>
      <c r="W1033" t="s">
        <v>9</v>
      </c>
      <c r="X1033">
        <v>53.741</v>
      </c>
      <c r="Y1033">
        <v>10.516999999999999</v>
      </c>
      <c r="Z1033">
        <v>0.10100000000000001</v>
      </c>
      <c r="AA1033">
        <v>0</v>
      </c>
      <c r="AB1033">
        <v>0</v>
      </c>
      <c r="AC1033">
        <v>0</v>
      </c>
      <c r="AD1033">
        <v>0</v>
      </c>
      <c r="AE1033">
        <v>5.0469999999999997</v>
      </c>
      <c r="AF1033">
        <v>2.3E-2</v>
      </c>
      <c r="AG1033">
        <v>0.76800000000000002</v>
      </c>
      <c r="AH1033">
        <v>70.197000000000003</v>
      </c>
      <c r="AI1033" t="s">
        <v>21</v>
      </c>
      <c r="AJ1033">
        <v>4389.9989999999998</v>
      </c>
      <c r="AK1033">
        <v>273.33300000000003</v>
      </c>
      <c r="AL1033">
        <v>123.33199999999999</v>
      </c>
      <c r="AM1033">
        <v>0</v>
      </c>
      <c r="AN1033">
        <v>0</v>
      </c>
      <c r="AO1033">
        <v>0</v>
      </c>
      <c r="AP1033">
        <v>0</v>
      </c>
      <c r="AQ1033">
        <v>16.666</v>
      </c>
      <c r="AR1033">
        <v>10</v>
      </c>
      <c r="AS1033">
        <v>36.665999999999997</v>
      </c>
      <c r="AT1033">
        <v>4849.9960000000001</v>
      </c>
      <c r="AU1033" t="s">
        <v>33</v>
      </c>
    </row>
    <row r="1034" spans="1:47" x14ac:dyDescent="0.2">
      <c r="A1034">
        <v>1922</v>
      </c>
      <c r="B1034" t="s">
        <v>687</v>
      </c>
      <c r="C1034">
        <v>18</v>
      </c>
      <c r="D1034" t="s">
        <v>705</v>
      </c>
      <c r="G1034" t="str">
        <f t="shared" si="16"/>
        <v>AKMAP_J201018LB018</v>
      </c>
      <c r="H1034">
        <v>69.819000000000003</v>
      </c>
      <c r="I1034">
        <v>-164.88200000000001</v>
      </c>
      <c r="J1034" s="3">
        <v>20100824</v>
      </c>
      <c r="K1034">
        <v>2010</v>
      </c>
      <c r="L1034">
        <v>1.1629700000000001</v>
      </c>
      <c r="M1034">
        <v>1.34348</v>
      </c>
      <c r="N1034">
        <v>8.616E-2</v>
      </c>
      <c r="O1034">
        <v>0</v>
      </c>
      <c r="P1034">
        <v>2.6199999999999999E-3</v>
      </c>
      <c r="Q1034">
        <v>0</v>
      </c>
      <c r="R1034">
        <v>0</v>
      </c>
      <c r="S1034">
        <v>2.3560000000000001E-2</v>
      </c>
      <c r="T1034">
        <v>1.8600000000000001E-3</v>
      </c>
      <c r="U1034">
        <v>1.9000000000000001E-4</v>
      </c>
      <c r="V1034">
        <v>2.6208399999999998</v>
      </c>
      <c r="W1034" t="s">
        <v>10</v>
      </c>
      <c r="X1034">
        <v>18.937000000000001</v>
      </c>
      <c r="Y1034">
        <v>84.278000000000006</v>
      </c>
      <c r="Z1034">
        <v>1.173</v>
      </c>
      <c r="AA1034">
        <v>0</v>
      </c>
      <c r="AB1034">
        <v>0.187</v>
      </c>
      <c r="AC1034">
        <v>0</v>
      </c>
      <c r="AD1034">
        <v>0</v>
      </c>
      <c r="AE1034">
        <v>1.6830000000000001</v>
      </c>
      <c r="AF1034">
        <v>0.02</v>
      </c>
      <c r="AG1034">
        <v>8.9999999999999993E-3</v>
      </c>
      <c r="AH1034">
        <v>106.28700000000001</v>
      </c>
      <c r="AI1034" t="s">
        <v>22</v>
      </c>
      <c r="AJ1034">
        <v>1593.3320000000001</v>
      </c>
      <c r="AK1034">
        <v>90</v>
      </c>
      <c r="AL1034">
        <v>259.99799999999999</v>
      </c>
      <c r="AM1034">
        <v>0</v>
      </c>
      <c r="AN1034">
        <v>3.3330000000000002</v>
      </c>
      <c r="AO1034">
        <v>0</v>
      </c>
      <c r="AP1034">
        <v>0</v>
      </c>
      <c r="AQ1034">
        <v>6.6660000000000004</v>
      </c>
      <c r="AR1034">
        <v>16.667000000000002</v>
      </c>
      <c r="AS1034">
        <v>6.6660000000000004</v>
      </c>
      <c r="AT1034">
        <v>1976.662</v>
      </c>
      <c r="AU1034" t="s">
        <v>33</v>
      </c>
    </row>
    <row r="1035" spans="1:47" x14ac:dyDescent="0.2">
      <c r="A1035">
        <v>1923</v>
      </c>
      <c r="B1035" t="s">
        <v>687</v>
      </c>
      <c r="C1035">
        <v>19</v>
      </c>
      <c r="D1035" t="s">
        <v>706</v>
      </c>
      <c r="G1035" t="str">
        <f t="shared" si="16"/>
        <v>AKMAP_J201019LB019</v>
      </c>
      <c r="H1035">
        <v>69.484999999999999</v>
      </c>
      <c r="I1035">
        <v>-166.59</v>
      </c>
      <c r="J1035" s="3">
        <v>20100831</v>
      </c>
      <c r="K1035">
        <v>2010</v>
      </c>
      <c r="L1035">
        <v>1.3883399999999999</v>
      </c>
      <c r="M1035">
        <v>0.75116000000000005</v>
      </c>
      <c r="N1035">
        <v>1.4579999999999999E-2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3.1900000000000001E-3</v>
      </c>
      <c r="V1035">
        <v>2.15727</v>
      </c>
      <c r="W1035" t="s">
        <v>9</v>
      </c>
      <c r="X1035">
        <v>22.023</v>
      </c>
      <c r="Y1035">
        <v>40.442999999999998</v>
      </c>
      <c r="Z1035">
        <v>0.21299999999999999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0.11</v>
      </c>
      <c r="AH1035">
        <v>62.789000000000001</v>
      </c>
      <c r="AI1035" t="s">
        <v>22</v>
      </c>
      <c r="AJ1035">
        <v>270</v>
      </c>
      <c r="AK1035">
        <v>59.999000000000002</v>
      </c>
      <c r="AL1035">
        <v>23.332999999999998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13.332000000000001</v>
      </c>
      <c r="AT1035">
        <v>366.66399999999999</v>
      </c>
      <c r="AU1035" t="s">
        <v>33</v>
      </c>
    </row>
    <row r="1036" spans="1:47" x14ac:dyDescent="0.2">
      <c r="A1036">
        <v>1924</v>
      </c>
      <c r="B1036" t="s">
        <v>687</v>
      </c>
      <c r="C1036">
        <v>20</v>
      </c>
      <c r="D1036" t="s">
        <v>707</v>
      </c>
      <c r="G1036" t="str">
        <f t="shared" si="16"/>
        <v>AKMAP_J201020LB020</v>
      </c>
      <c r="H1036">
        <v>69.826999999999998</v>
      </c>
      <c r="I1036">
        <v>-164.452</v>
      </c>
      <c r="J1036" s="3">
        <v>20100825</v>
      </c>
      <c r="K1036">
        <v>2010</v>
      </c>
      <c r="L1036">
        <v>0.61960000000000004</v>
      </c>
      <c r="M1036">
        <v>2.4075000000000002</v>
      </c>
      <c r="N1036">
        <v>0.25247999999999998</v>
      </c>
      <c r="O1036">
        <v>0</v>
      </c>
      <c r="P1036">
        <v>6.9999999999999999E-4</v>
      </c>
      <c r="Q1036">
        <v>4.7643800000000001</v>
      </c>
      <c r="R1036">
        <v>0</v>
      </c>
      <c r="S1036">
        <v>1.376E-2</v>
      </c>
      <c r="T1036">
        <v>0</v>
      </c>
      <c r="U1036">
        <v>4.666E-2</v>
      </c>
      <c r="V1036">
        <v>8.1050799999999992</v>
      </c>
      <c r="W1036" t="s">
        <v>14</v>
      </c>
      <c r="X1036">
        <v>9.5329999999999995</v>
      </c>
      <c r="Y1036">
        <v>155.96600000000001</v>
      </c>
      <c r="Z1036">
        <v>3.1230000000000002</v>
      </c>
      <c r="AA1036">
        <v>0</v>
      </c>
      <c r="AB1036">
        <v>0.05</v>
      </c>
      <c r="AC1036">
        <v>595.54700000000003</v>
      </c>
      <c r="AD1036">
        <v>0</v>
      </c>
      <c r="AE1036">
        <v>0.98299999999999998</v>
      </c>
      <c r="AF1036">
        <v>0</v>
      </c>
      <c r="AG1036">
        <v>2.137</v>
      </c>
      <c r="AH1036">
        <v>767.33900000000006</v>
      </c>
      <c r="AI1036" t="s">
        <v>26</v>
      </c>
      <c r="AJ1036">
        <v>639.99900000000002</v>
      </c>
      <c r="AK1036">
        <v>170</v>
      </c>
      <c r="AL1036">
        <v>43.332999999999998</v>
      </c>
      <c r="AM1036">
        <v>0</v>
      </c>
      <c r="AN1036">
        <v>33.334000000000003</v>
      </c>
      <c r="AO1036">
        <v>286.66699999999997</v>
      </c>
      <c r="AP1036">
        <v>0</v>
      </c>
      <c r="AQ1036">
        <v>23.332999999999998</v>
      </c>
      <c r="AR1036">
        <v>0</v>
      </c>
      <c r="AS1036">
        <v>49.999000000000002</v>
      </c>
      <c r="AT1036">
        <v>1246.665</v>
      </c>
      <c r="AU1036" t="s">
        <v>33</v>
      </c>
    </row>
    <row r="1037" spans="1:47" x14ac:dyDescent="0.2">
      <c r="A1037">
        <v>1925</v>
      </c>
      <c r="B1037" t="s">
        <v>687</v>
      </c>
      <c r="C1037">
        <v>21</v>
      </c>
      <c r="D1037" t="s">
        <v>708</v>
      </c>
      <c r="G1037" t="str">
        <f t="shared" si="16"/>
        <v>AKMAP_J201021LB021</v>
      </c>
      <c r="H1037">
        <v>69.075000000000003</v>
      </c>
      <c r="I1037">
        <v>-166.28700000000001</v>
      </c>
      <c r="J1037" s="3">
        <v>20100830</v>
      </c>
      <c r="K1037">
        <v>2010</v>
      </c>
      <c r="L1037">
        <v>3.03206</v>
      </c>
      <c r="M1037">
        <v>3.4821499999999999</v>
      </c>
      <c r="N1037">
        <v>0.12948999999999999</v>
      </c>
      <c r="O1037">
        <v>0</v>
      </c>
      <c r="P1037">
        <v>5.2999999999999998E-4</v>
      </c>
      <c r="Q1037">
        <v>0</v>
      </c>
      <c r="R1037">
        <v>0</v>
      </c>
      <c r="S1037">
        <v>1.0959999999999999E-2</v>
      </c>
      <c r="T1037">
        <v>2.14E-3</v>
      </c>
      <c r="U1037">
        <v>0.12263</v>
      </c>
      <c r="V1037">
        <v>6.77996</v>
      </c>
      <c r="W1037" t="s">
        <v>10</v>
      </c>
      <c r="X1037">
        <v>45.241999999999997</v>
      </c>
      <c r="Y1037">
        <v>164.16300000000001</v>
      </c>
      <c r="Z1037">
        <v>1.73</v>
      </c>
      <c r="AA1037">
        <v>0</v>
      </c>
      <c r="AB1037">
        <v>3.7999999999999999E-2</v>
      </c>
      <c r="AC1037">
        <v>0</v>
      </c>
      <c r="AD1037">
        <v>0</v>
      </c>
      <c r="AE1037">
        <v>0.78300000000000003</v>
      </c>
      <c r="AF1037">
        <v>2.3E-2</v>
      </c>
      <c r="AG1037">
        <v>5.82</v>
      </c>
      <c r="AH1037">
        <v>217.79900000000001</v>
      </c>
      <c r="AI1037" t="s">
        <v>22</v>
      </c>
      <c r="AJ1037">
        <v>2216.6669999999999</v>
      </c>
      <c r="AK1037">
        <v>159.999</v>
      </c>
      <c r="AL1037">
        <v>173.33099999999999</v>
      </c>
      <c r="AM1037">
        <v>0</v>
      </c>
      <c r="AN1037">
        <v>36.667000000000002</v>
      </c>
      <c r="AO1037">
        <v>0</v>
      </c>
      <c r="AP1037">
        <v>0</v>
      </c>
      <c r="AQ1037">
        <v>16.667000000000002</v>
      </c>
      <c r="AR1037">
        <v>10</v>
      </c>
      <c r="AS1037">
        <v>413.334</v>
      </c>
      <c r="AT1037">
        <v>3026.665</v>
      </c>
      <c r="AU1037" t="s">
        <v>33</v>
      </c>
    </row>
    <row r="1038" spans="1:47" x14ac:dyDescent="0.2">
      <c r="A1038">
        <v>1926</v>
      </c>
      <c r="B1038" t="s">
        <v>687</v>
      </c>
      <c r="C1038">
        <v>22</v>
      </c>
      <c r="D1038" t="s">
        <v>709</v>
      </c>
      <c r="G1038" t="str">
        <f t="shared" si="16"/>
        <v>AKMAP_J201022LB022</v>
      </c>
      <c r="H1038">
        <v>69.381</v>
      </c>
      <c r="I1038">
        <v>-166.88200000000001</v>
      </c>
      <c r="J1038" s="3">
        <v>20100831</v>
      </c>
      <c r="K1038">
        <v>2010</v>
      </c>
      <c r="L1038">
        <v>2.5762499999999999</v>
      </c>
      <c r="M1038">
        <v>1.23E-2</v>
      </c>
      <c r="N1038">
        <v>1.9720000000000001E-2</v>
      </c>
      <c r="O1038">
        <v>3.01891</v>
      </c>
      <c r="P1038">
        <v>1E-4</v>
      </c>
      <c r="Q1038">
        <v>0</v>
      </c>
      <c r="R1038">
        <v>0</v>
      </c>
      <c r="S1038">
        <v>0</v>
      </c>
      <c r="T1038">
        <v>1.1199999999999999E-3</v>
      </c>
      <c r="U1038">
        <v>9.3999999999999997E-4</v>
      </c>
      <c r="V1038">
        <v>5.62934</v>
      </c>
      <c r="W1038" t="s">
        <v>12</v>
      </c>
      <c r="X1038">
        <v>37.860999999999997</v>
      </c>
      <c r="Y1038">
        <v>0.36099999999999999</v>
      </c>
      <c r="Z1038">
        <v>0.28699999999999998</v>
      </c>
      <c r="AA1038">
        <v>67.087000000000003</v>
      </c>
      <c r="AB1038">
        <v>7.0000000000000001E-3</v>
      </c>
      <c r="AC1038">
        <v>0</v>
      </c>
      <c r="AD1038">
        <v>0</v>
      </c>
      <c r="AE1038">
        <v>0</v>
      </c>
      <c r="AF1038">
        <v>1.2E-2</v>
      </c>
      <c r="AG1038">
        <v>4.2999999999999997E-2</v>
      </c>
      <c r="AH1038">
        <v>105.658</v>
      </c>
      <c r="AI1038" t="s">
        <v>24</v>
      </c>
      <c r="AJ1038">
        <v>443.334</v>
      </c>
      <c r="AK1038">
        <v>69.998999999999995</v>
      </c>
      <c r="AL1038">
        <v>33.332999999999998</v>
      </c>
      <c r="AM1038">
        <v>6.6669999999999998</v>
      </c>
      <c r="AN1038">
        <v>6.6669999999999998</v>
      </c>
      <c r="AO1038">
        <v>0</v>
      </c>
      <c r="AP1038">
        <v>0</v>
      </c>
      <c r="AQ1038">
        <v>0</v>
      </c>
      <c r="AR1038">
        <v>6.6669999999999998</v>
      </c>
      <c r="AS1038">
        <v>9.9990000000000006</v>
      </c>
      <c r="AT1038">
        <v>576.66600000000005</v>
      </c>
      <c r="AU1038" t="s">
        <v>33</v>
      </c>
    </row>
    <row r="1039" spans="1:47" x14ac:dyDescent="0.2">
      <c r="A1039">
        <v>1927</v>
      </c>
      <c r="B1039" t="s">
        <v>687</v>
      </c>
      <c r="C1039">
        <v>23</v>
      </c>
      <c r="D1039" t="s">
        <v>710</v>
      </c>
      <c r="G1039" t="str">
        <f t="shared" si="16"/>
        <v>AKMAP_J201023LB023</v>
      </c>
      <c r="H1039">
        <v>69.010000000000005</v>
      </c>
      <c r="I1039">
        <v>-165.82499999999999</v>
      </c>
      <c r="J1039" s="3">
        <v>20100829</v>
      </c>
      <c r="K1039">
        <v>2010</v>
      </c>
      <c r="L1039">
        <v>2.4393600000000002</v>
      </c>
      <c r="M1039">
        <v>1.0973999999999999</v>
      </c>
      <c r="N1039">
        <v>2.6749999999999999E-2</v>
      </c>
      <c r="O1039">
        <v>0</v>
      </c>
      <c r="P1039">
        <v>6.9999999999999999E-4</v>
      </c>
      <c r="Q1039">
        <v>0</v>
      </c>
      <c r="R1039">
        <v>0</v>
      </c>
      <c r="S1039">
        <v>8.4000000000000003E-4</v>
      </c>
      <c r="T1039">
        <v>2.725E-2</v>
      </c>
      <c r="U1039">
        <v>1.358E-2</v>
      </c>
      <c r="V1039">
        <v>3.60588</v>
      </c>
      <c r="W1039" t="s">
        <v>9</v>
      </c>
      <c r="X1039">
        <v>35.476999999999997</v>
      </c>
      <c r="Y1039">
        <v>29</v>
      </c>
      <c r="Z1039">
        <v>0.36399999999999999</v>
      </c>
      <c r="AA1039">
        <v>0</v>
      </c>
      <c r="AB1039">
        <v>0.05</v>
      </c>
      <c r="AC1039">
        <v>0</v>
      </c>
      <c r="AD1039">
        <v>0</v>
      </c>
      <c r="AE1039">
        <v>0.06</v>
      </c>
      <c r="AF1039">
        <v>0.29299999999999998</v>
      </c>
      <c r="AG1039">
        <v>0.28999999999999998</v>
      </c>
      <c r="AH1039">
        <v>65.534000000000006</v>
      </c>
      <c r="AI1039" t="s">
        <v>21</v>
      </c>
      <c r="AJ1039">
        <v>8566.6669999999995</v>
      </c>
      <c r="AK1039">
        <v>306.66500000000002</v>
      </c>
      <c r="AL1039">
        <v>209.999</v>
      </c>
      <c r="AM1039">
        <v>0</v>
      </c>
      <c r="AN1039">
        <v>120</v>
      </c>
      <c r="AO1039">
        <v>0</v>
      </c>
      <c r="AP1039">
        <v>0</v>
      </c>
      <c r="AQ1039">
        <v>50</v>
      </c>
      <c r="AR1039">
        <v>30</v>
      </c>
      <c r="AS1039">
        <v>166.666</v>
      </c>
      <c r="AT1039">
        <v>9449.9969999999994</v>
      </c>
      <c r="AU1039" t="s">
        <v>33</v>
      </c>
    </row>
    <row r="1040" spans="1:47" x14ac:dyDescent="0.2">
      <c r="A1040">
        <v>1928</v>
      </c>
      <c r="B1040" t="s">
        <v>687</v>
      </c>
      <c r="C1040">
        <v>24</v>
      </c>
      <c r="D1040" t="s">
        <v>711</v>
      </c>
      <c r="G1040" t="str">
        <f t="shared" si="16"/>
        <v>AKMAP_J201024LB024</v>
      </c>
      <c r="H1040">
        <v>68.844999999999999</v>
      </c>
      <c r="I1040">
        <v>-167.114</v>
      </c>
      <c r="J1040" s="3">
        <v>20100901</v>
      </c>
      <c r="K1040">
        <v>2010</v>
      </c>
      <c r="L1040">
        <v>0.81015999999999999</v>
      </c>
      <c r="M1040">
        <v>0.39305000000000001</v>
      </c>
      <c r="N1040">
        <v>3.0400000000000002E-3</v>
      </c>
      <c r="O1040">
        <v>0</v>
      </c>
      <c r="P1040">
        <v>2.48E-3</v>
      </c>
      <c r="Q1040">
        <v>0</v>
      </c>
      <c r="R1040">
        <v>0</v>
      </c>
      <c r="S1040">
        <v>0</v>
      </c>
      <c r="T1040">
        <v>0</v>
      </c>
      <c r="U1040">
        <v>2.6499999999999999E-2</v>
      </c>
      <c r="V1040">
        <v>1.2352300000000001</v>
      </c>
      <c r="W1040" t="s">
        <v>9</v>
      </c>
      <c r="X1040">
        <v>12.76</v>
      </c>
      <c r="Y1040">
        <v>10.254</v>
      </c>
      <c r="Z1040">
        <v>4.1000000000000002E-2</v>
      </c>
      <c r="AA1040">
        <v>0</v>
      </c>
      <c r="AB1040">
        <v>0.17699999999999999</v>
      </c>
      <c r="AC1040">
        <v>0</v>
      </c>
      <c r="AD1040">
        <v>0</v>
      </c>
      <c r="AE1040">
        <v>0</v>
      </c>
      <c r="AF1040">
        <v>0</v>
      </c>
      <c r="AG1040">
        <v>0.83299999999999996</v>
      </c>
      <c r="AH1040">
        <v>24.065000000000001</v>
      </c>
      <c r="AI1040" t="s">
        <v>21</v>
      </c>
      <c r="AJ1040">
        <v>219.99799999999999</v>
      </c>
      <c r="AK1040">
        <v>533.33199999999999</v>
      </c>
      <c r="AL1040">
        <v>20</v>
      </c>
      <c r="AM1040">
        <v>0</v>
      </c>
      <c r="AN1040">
        <v>20</v>
      </c>
      <c r="AO1040">
        <v>0</v>
      </c>
      <c r="AP1040">
        <v>0</v>
      </c>
      <c r="AQ1040">
        <v>0</v>
      </c>
      <c r="AR1040">
        <v>0</v>
      </c>
      <c r="AS1040">
        <v>59.999000000000002</v>
      </c>
      <c r="AT1040">
        <v>853.32899999999995</v>
      </c>
      <c r="AU1040" t="s">
        <v>34</v>
      </c>
    </row>
    <row r="1041" spans="1:47" x14ac:dyDescent="0.2">
      <c r="A1041">
        <v>1929</v>
      </c>
      <c r="B1041" t="s">
        <v>687</v>
      </c>
      <c r="C1041">
        <v>26</v>
      </c>
      <c r="D1041" t="s">
        <v>712</v>
      </c>
      <c r="G1041" t="str">
        <f t="shared" si="16"/>
        <v>AKMAP_J201026LB026</v>
      </c>
      <c r="H1041">
        <v>68.802999999999997</v>
      </c>
      <c r="I1041">
        <v>-166.69900000000001</v>
      </c>
      <c r="J1041" s="3">
        <v>20100902</v>
      </c>
      <c r="K1041">
        <v>2010</v>
      </c>
      <c r="L1041">
        <v>0.29227999999999998</v>
      </c>
      <c r="M1041">
        <v>0.10469000000000001</v>
      </c>
      <c r="N1041">
        <v>2.1160000000000002E-2</v>
      </c>
      <c r="O1041">
        <v>0</v>
      </c>
      <c r="P1041">
        <v>2.7999999999999998E-4</v>
      </c>
      <c r="Q1041">
        <v>0</v>
      </c>
      <c r="R1041">
        <v>0</v>
      </c>
      <c r="S1041">
        <v>0</v>
      </c>
      <c r="T1041">
        <v>0</v>
      </c>
      <c r="U1041">
        <v>6.4400000000000004E-3</v>
      </c>
      <c r="V1041">
        <v>0.42485000000000001</v>
      </c>
      <c r="W1041" t="s">
        <v>9</v>
      </c>
      <c r="X1041">
        <v>5.2949999999999999</v>
      </c>
      <c r="Y1041">
        <v>4.2439999999999998</v>
      </c>
      <c r="Z1041">
        <v>0.26300000000000001</v>
      </c>
      <c r="AA1041">
        <v>0</v>
      </c>
      <c r="AB1041">
        <v>0.02</v>
      </c>
      <c r="AC1041">
        <v>0</v>
      </c>
      <c r="AD1041">
        <v>0</v>
      </c>
      <c r="AE1041">
        <v>0</v>
      </c>
      <c r="AF1041">
        <v>0</v>
      </c>
      <c r="AG1041">
        <v>0.19</v>
      </c>
      <c r="AH1041">
        <v>10.012</v>
      </c>
      <c r="AI1041" t="s">
        <v>21</v>
      </c>
      <c r="AJ1041">
        <v>230</v>
      </c>
      <c r="AK1041">
        <v>816.66600000000005</v>
      </c>
      <c r="AL1041">
        <v>36.667000000000002</v>
      </c>
      <c r="AM1041">
        <v>0</v>
      </c>
      <c r="AN1041">
        <v>20</v>
      </c>
      <c r="AO1041">
        <v>0</v>
      </c>
      <c r="AP1041">
        <v>0</v>
      </c>
      <c r="AQ1041">
        <v>0</v>
      </c>
      <c r="AR1041">
        <v>0</v>
      </c>
      <c r="AS1041">
        <v>10</v>
      </c>
      <c r="AT1041">
        <v>1113.3330000000001</v>
      </c>
      <c r="AU1041" t="s">
        <v>34</v>
      </c>
    </row>
    <row r="1042" spans="1:47" x14ac:dyDescent="0.2">
      <c r="A1042">
        <v>1930</v>
      </c>
      <c r="B1042" t="s">
        <v>687</v>
      </c>
      <c r="C1042">
        <v>27</v>
      </c>
      <c r="D1042" t="s">
        <v>713</v>
      </c>
      <c r="G1042" t="str">
        <f t="shared" si="16"/>
        <v>AKMAP_J201027LB027</v>
      </c>
      <c r="H1042">
        <v>69.53</v>
      </c>
      <c r="I1042">
        <v>-164.54</v>
      </c>
      <c r="J1042" s="3">
        <v>20100826</v>
      </c>
      <c r="K1042">
        <v>2010</v>
      </c>
      <c r="L1042">
        <v>2.2193900000000002</v>
      </c>
      <c r="M1042">
        <v>4.2915599999999996</v>
      </c>
      <c r="N1042">
        <v>0.17388999999999999</v>
      </c>
      <c r="O1042">
        <v>0</v>
      </c>
      <c r="P1042">
        <v>6.9999999999999994E-5</v>
      </c>
      <c r="Q1042">
        <v>0</v>
      </c>
      <c r="R1042">
        <v>0</v>
      </c>
      <c r="S1042">
        <v>0.1842</v>
      </c>
      <c r="T1042">
        <v>7.1599999999999997E-3</v>
      </c>
      <c r="U1042">
        <v>2.5100000000000001E-3</v>
      </c>
      <c r="V1042">
        <v>6.8787799999999999</v>
      </c>
      <c r="W1042" t="s">
        <v>10</v>
      </c>
      <c r="X1042">
        <v>37.619999999999997</v>
      </c>
      <c r="Y1042">
        <v>226.59100000000001</v>
      </c>
      <c r="Z1042">
        <v>2.5030000000000001</v>
      </c>
      <c r="AA1042">
        <v>0</v>
      </c>
      <c r="AB1042">
        <v>5.0000000000000001E-3</v>
      </c>
      <c r="AC1042">
        <v>0</v>
      </c>
      <c r="AD1042">
        <v>0</v>
      </c>
      <c r="AE1042">
        <v>13.157</v>
      </c>
      <c r="AF1042">
        <v>7.6999999999999999E-2</v>
      </c>
      <c r="AG1042">
        <v>0.106</v>
      </c>
      <c r="AH1042">
        <v>280.05900000000003</v>
      </c>
      <c r="AI1042" t="s">
        <v>22</v>
      </c>
      <c r="AJ1042">
        <v>3883.3339999999998</v>
      </c>
      <c r="AK1042">
        <v>313.33300000000003</v>
      </c>
      <c r="AL1042">
        <v>1240.001</v>
      </c>
      <c r="AM1042">
        <v>0</v>
      </c>
      <c r="AN1042">
        <v>6.6660000000000004</v>
      </c>
      <c r="AO1042">
        <v>0</v>
      </c>
      <c r="AP1042">
        <v>0</v>
      </c>
      <c r="AQ1042">
        <v>13.333</v>
      </c>
      <c r="AR1042">
        <v>6.6669999999999998</v>
      </c>
      <c r="AS1042">
        <v>33.332000000000001</v>
      </c>
      <c r="AT1042">
        <v>5496.6660000000002</v>
      </c>
      <c r="AU1042" t="s">
        <v>33</v>
      </c>
    </row>
    <row r="1043" spans="1:47" x14ac:dyDescent="0.2">
      <c r="A1043">
        <v>1931</v>
      </c>
      <c r="B1043" t="s">
        <v>687</v>
      </c>
      <c r="C1043">
        <v>28</v>
      </c>
      <c r="D1043" t="s">
        <v>714</v>
      </c>
      <c r="G1043" t="str">
        <f t="shared" si="16"/>
        <v>AKMAP_J201028LB028</v>
      </c>
      <c r="H1043">
        <v>68.677000000000007</v>
      </c>
      <c r="I1043">
        <v>-166.50399999999999</v>
      </c>
      <c r="J1043" s="3">
        <v>20100902</v>
      </c>
      <c r="K1043">
        <v>2010</v>
      </c>
      <c r="L1043">
        <v>0.73041</v>
      </c>
      <c r="M1043">
        <v>1.0827500000000001</v>
      </c>
      <c r="N1043">
        <v>0</v>
      </c>
      <c r="O1043">
        <v>0</v>
      </c>
      <c r="P1043">
        <v>9.7000000000000005E-4</v>
      </c>
      <c r="Q1043">
        <v>0</v>
      </c>
      <c r="R1043">
        <v>0</v>
      </c>
      <c r="S1043">
        <v>7.28E-3</v>
      </c>
      <c r="T1043">
        <v>7.1599999999999997E-3</v>
      </c>
      <c r="U1043">
        <v>4.3900000000000002E-2</v>
      </c>
      <c r="V1043">
        <v>1.8724700000000001</v>
      </c>
      <c r="W1043" t="s">
        <v>10</v>
      </c>
      <c r="X1043">
        <v>11.182</v>
      </c>
      <c r="Y1043">
        <v>29.814</v>
      </c>
      <c r="Z1043">
        <v>0</v>
      </c>
      <c r="AA1043">
        <v>0</v>
      </c>
      <c r="AB1043">
        <v>6.9000000000000006E-2</v>
      </c>
      <c r="AC1043">
        <v>0</v>
      </c>
      <c r="AD1043">
        <v>0</v>
      </c>
      <c r="AE1043">
        <v>0.52</v>
      </c>
      <c r="AF1043">
        <v>7.6999999999999999E-2</v>
      </c>
      <c r="AG1043">
        <v>2.6419999999999999</v>
      </c>
      <c r="AH1043">
        <v>44.304000000000002</v>
      </c>
      <c r="AI1043" t="s">
        <v>22</v>
      </c>
      <c r="AJ1043">
        <v>240</v>
      </c>
      <c r="AK1043">
        <v>153.333</v>
      </c>
      <c r="AL1043">
        <v>0</v>
      </c>
      <c r="AM1043">
        <v>0</v>
      </c>
      <c r="AN1043">
        <v>6.6669999999999998</v>
      </c>
      <c r="AO1043">
        <v>0</v>
      </c>
      <c r="AP1043">
        <v>0</v>
      </c>
      <c r="AQ1043">
        <v>10</v>
      </c>
      <c r="AR1043">
        <v>106.667</v>
      </c>
      <c r="AS1043">
        <v>16.666</v>
      </c>
      <c r="AT1043">
        <v>533.33299999999997</v>
      </c>
      <c r="AU1043" t="s">
        <v>33</v>
      </c>
    </row>
    <row r="1044" spans="1:47" x14ac:dyDescent="0.2">
      <c r="A1044">
        <v>1932</v>
      </c>
      <c r="B1044" t="s">
        <v>687</v>
      </c>
      <c r="C1044">
        <v>29</v>
      </c>
      <c r="D1044" t="s">
        <v>715</v>
      </c>
      <c r="G1044" t="str">
        <f t="shared" si="16"/>
        <v>AKMAP_J201029LB029</v>
      </c>
      <c r="H1044">
        <v>69.353999999999999</v>
      </c>
      <c r="I1044">
        <v>-164.108</v>
      </c>
      <c r="J1044" s="3">
        <v>20100826</v>
      </c>
      <c r="K1044">
        <v>2010</v>
      </c>
      <c r="L1044">
        <v>6.0398399999999999</v>
      </c>
      <c r="M1044">
        <v>1.95997</v>
      </c>
      <c r="N1044">
        <v>0.18004000000000001</v>
      </c>
      <c r="O1044">
        <v>0</v>
      </c>
      <c r="P1044">
        <v>9.4500000000000001E-3</v>
      </c>
      <c r="Q1044">
        <v>2.0000000000000002E-5</v>
      </c>
      <c r="R1044">
        <v>0</v>
      </c>
      <c r="S1044">
        <v>3.0400000000000002E-3</v>
      </c>
      <c r="T1044">
        <v>3.041E-2</v>
      </c>
      <c r="U1044">
        <v>1.8500000000000001E-3</v>
      </c>
      <c r="V1044">
        <v>8.2246199999999998</v>
      </c>
      <c r="W1044" t="s">
        <v>9</v>
      </c>
      <c r="X1044">
        <v>87.381</v>
      </c>
      <c r="Y1044">
        <v>109.03400000000001</v>
      </c>
      <c r="Z1044">
        <v>2.6120000000000001</v>
      </c>
      <c r="AA1044">
        <v>0</v>
      </c>
      <c r="AB1044">
        <v>0.67500000000000004</v>
      </c>
      <c r="AC1044">
        <v>2E-3</v>
      </c>
      <c r="AD1044">
        <v>0</v>
      </c>
      <c r="AE1044">
        <v>0.217</v>
      </c>
      <c r="AF1044">
        <v>0.32700000000000001</v>
      </c>
      <c r="AG1044">
        <v>5.5E-2</v>
      </c>
      <c r="AH1044">
        <v>200.303</v>
      </c>
      <c r="AI1044" t="s">
        <v>22</v>
      </c>
      <c r="AJ1044">
        <v>16653.328000000001</v>
      </c>
      <c r="AK1044">
        <v>486.666</v>
      </c>
      <c r="AL1044">
        <v>263.33199999999999</v>
      </c>
      <c r="AM1044">
        <v>0</v>
      </c>
      <c r="AN1044">
        <v>603.33299999999997</v>
      </c>
      <c r="AO1044">
        <v>3.3330000000000002</v>
      </c>
      <c r="AP1044">
        <v>0</v>
      </c>
      <c r="AQ1044">
        <v>40</v>
      </c>
      <c r="AR1044">
        <v>46.667000000000002</v>
      </c>
      <c r="AS1044">
        <v>23.332999999999998</v>
      </c>
      <c r="AT1044">
        <v>18119.991999999998</v>
      </c>
      <c r="AU1044" t="s">
        <v>33</v>
      </c>
    </row>
    <row r="1045" spans="1:47" x14ac:dyDescent="0.2">
      <c r="A1045">
        <v>1933</v>
      </c>
      <c r="B1045" t="s">
        <v>687</v>
      </c>
      <c r="C1045">
        <v>30</v>
      </c>
      <c r="D1045" t="s">
        <v>716</v>
      </c>
      <c r="G1045" t="str">
        <f t="shared" si="16"/>
        <v>AKMAP_J201030LB030</v>
      </c>
      <c r="H1045">
        <v>68.423000000000002</v>
      </c>
      <c r="I1045">
        <v>-166.83099999999999</v>
      </c>
      <c r="J1045" s="3">
        <v>20100902</v>
      </c>
      <c r="K1045">
        <v>2010</v>
      </c>
      <c r="L1045">
        <v>2.4497499999999999</v>
      </c>
      <c r="M1045">
        <v>4.1869999999999997E-2</v>
      </c>
      <c r="N1045">
        <v>1.9959999999999999E-2</v>
      </c>
      <c r="O1045">
        <v>0</v>
      </c>
      <c r="P1045">
        <v>1.554E-2</v>
      </c>
      <c r="Q1045">
        <v>0</v>
      </c>
      <c r="R1045">
        <v>0</v>
      </c>
      <c r="S1045">
        <v>1.3999999999999999E-4</v>
      </c>
      <c r="T1045">
        <v>9.393E-2</v>
      </c>
      <c r="U1045">
        <v>2.8700000000000002E-3</v>
      </c>
      <c r="V1045">
        <v>2.6240600000000001</v>
      </c>
      <c r="W1045" t="s">
        <v>9</v>
      </c>
      <c r="X1045">
        <v>34.972000000000001</v>
      </c>
      <c r="Y1045">
        <v>0.90600000000000003</v>
      </c>
      <c r="Z1045">
        <v>0.26200000000000001</v>
      </c>
      <c r="AA1045">
        <v>0</v>
      </c>
      <c r="AB1045">
        <v>1.1100000000000001</v>
      </c>
      <c r="AC1045">
        <v>0</v>
      </c>
      <c r="AD1045">
        <v>0</v>
      </c>
      <c r="AE1045">
        <v>0.01</v>
      </c>
      <c r="AF1045">
        <v>1.01</v>
      </c>
      <c r="AG1045">
        <v>8.5000000000000006E-2</v>
      </c>
      <c r="AH1045">
        <v>38.354999999999997</v>
      </c>
      <c r="AI1045" t="s">
        <v>21</v>
      </c>
      <c r="AJ1045">
        <v>6593.3320000000003</v>
      </c>
      <c r="AK1045">
        <v>49.999000000000002</v>
      </c>
      <c r="AL1045">
        <v>149.999</v>
      </c>
      <c r="AM1045">
        <v>0</v>
      </c>
      <c r="AN1045">
        <v>453.33300000000003</v>
      </c>
      <c r="AO1045">
        <v>0</v>
      </c>
      <c r="AP1045">
        <v>0</v>
      </c>
      <c r="AQ1045">
        <v>26.667000000000002</v>
      </c>
      <c r="AR1045">
        <v>190</v>
      </c>
      <c r="AS1045">
        <v>86.667000000000002</v>
      </c>
      <c r="AT1045">
        <v>7549.9970000000003</v>
      </c>
      <c r="AU1045" t="s">
        <v>33</v>
      </c>
    </row>
    <row r="1046" spans="1:47" x14ac:dyDescent="0.2">
      <c r="A1046">
        <v>1934</v>
      </c>
      <c r="B1046" t="s">
        <v>687</v>
      </c>
      <c r="C1046">
        <v>105</v>
      </c>
      <c r="D1046" t="s">
        <v>717</v>
      </c>
      <c r="G1046" t="str">
        <f t="shared" si="16"/>
        <v>AKMAP_J2010105LB105</v>
      </c>
      <c r="H1046">
        <v>69.619</v>
      </c>
      <c r="I1046">
        <v>-165.51300000000001</v>
      </c>
      <c r="J1046" s="3">
        <v>20100827</v>
      </c>
      <c r="K1046">
        <v>2010</v>
      </c>
      <c r="L1046">
        <v>2.7096800000000001</v>
      </c>
      <c r="M1046">
        <v>4.3540000000000002E-2</v>
      </c>
      <c r="N1046">
        <v>2.3939999999999999E-2</v>
      </c>
      <c r="O1046">
        <v>0</v>
      </c>
      <c r="P1046">
        <v>0</v>
      </c>
      <c r="Q1046">
        <v>0</v>
      </c>
      <c r="R1046">
        <v>0</v>
      </c>
      <c r="S1046">
        <v>0.76800000000000002</v>
      </c>
      <c r="T1046">
        <v>1.1650100000000001</v>
      </c>
      <c r="U1046">
        <v>7.6899999999999998E-3</v>
      </c>
      <c r="V1046">
        <v>4.7178599999999999</v>
      </c>
      <c r="W1046" t="s">
        <v>9</v>
      </c>
      <c r="X1046">
        <v>42.783000000000001</v>
      </c>
      <c r="Y1046">
        <v>1.2909999999999999</v>
      </c>
      <c r="Z1046">
        <v>0.34599999999999997</v>
      </c>
      <c r="AA1046">
        <v>0</v>
      </c>
      <c r="AB1046">
        <v>0</v>
      </c>
      <c r="AC1046">
        <v>0</v>
      </c>
      <c r="AD1046">
        <v>0</v>
      </c>
      <c r="AE1046">
        <v>54.856999999999999</v>
      </c>
      <c r="AF1046">
        <v>12.526999999999999</v>
      </c>
      <c r="AG1046">
        <v>0.34100000000000003</v>
      </c>
      <c r="AH1046">
        <v>112.145</v>
      </c>
      <c r="AI1046" t="s">
        <v>28</v>
      </c>
      <c r="AJ1046">
        <v>1036.664</v>
      </c>
      <c r="AK1046">
        <v>199.999</v>
      </c>
      <c r="AL1046">
        <v>266.66699999999997</v>
      </c>
      <c r="AM1046">
        <v>0</v>
      </c>
      <c r="AN1046">
        <v>0</v>
      </c>
      <c r="AO1046">
        <v>0</v>
      </c>
      <c r="AP1046">
        <v>0</v>
      </c>
      <c r="AQ1046">
        <v>3.3330000000000002</v>
      </c>
      <c r="AR1046">
        <v>10</v>
      </c>
      <c r="AS1046">
        <v>23.332000000000001</v>
      </c>
      <c r="AT1046">
        <v>1539.9949999999999</v>
      </c>
      <c r="AU1046" t="s">
        <v>33</v>
      </c>
    </row>
    <row r="1047" spans="1:47" x14ac:dyDescent="0.2">
      <c r="A1047">
        <v>1535</v>
      </c>
      <c r="B1047" t="s">
        <v>574</v>
      </c>
      <c r="C1047">
        <v>10</v>
      </c>
      <c r="D1047" t="s">
        <v>557</v>
      </c>
      <c r="G1047" t="str">
        <f t="shared" si="16"/>
        <v>SWL201110UTBS2</v>
      </c>
      <c r="H1047">
        <v>64.680216999999999</v>
      </c>
      <c r="I1047">
        <v>-169.09986699999999</v>
      </c>
      <c r="J1047" s="3">
        <v>20110716</v>
      </c>
      <c r="K1047">
        <v>2011</v>
      </c>
      <c r="L1047">
        <v>0.93874000000000002</v>
      </c>
      <c r="M1047">
        <v>1.1408199999999999</v>
      </c>
      <c r="N1047">
        <v>11.831799999999999</v>
      </c>
      <c r="O1047">
        <v>3.2719999999999999E-2</v>
      </c>
      <c r="P1047">
        <v>0</v>
      </c>
      <c r="Q1047">
        <v>6.9999999999999994E-5</v>
      </c>
      <c r="R1047">
        <v>4.8799999999999998E-3</v>
      </c>
      <c r="S1047">
        <v>2.6769999999999999E-2</v>
      </c>
      <c r="T1047">
        <v>0.22227</v>
      </c>
      <c r="U1047">
        <v>3.4000000000000002E-4</v>
      </c>
      <c r="V1047">
        <v>14.198410000000001</v>
      </c>
      <c r="W1047" t="s">
        <v>11</v>
      </c>
      <c r="X1047">
        <v>13.387</v>
      </c>
      <c r="Y1047">
        <v>58.93</v>
      </c>
      <c r="Z1047">
        <v>172.40199999999999</v>
      </c>
      <c r="AA1047">
        <v>0.72699999999999998</v>
      </c>
      <c r="AB1047">
        <v>0</v>
      </c>
      <c r="AC1047">
        <v>6.0000000000000001E-3</v>
      </c>
      <c r="AD1047">
        <v>0.08</v>
      </c>
      <c r="AE1047">
        <v>1.9119999999999999</v>
      </c>
      <c r="AF1047">
        <v>2.39</v>
      </c>
      <c r="AG1047">
        <v>0.01</v>
      </c>
      <c r="AH1047">
        <v>249.84399999999999</v>
      </c>
      <c r="AI1047" t="s">
        <v>23</v>
      </c>
      <c r="AJ1047">
        <v>740</v>
      </c>
      <c r="AK1047">
        <v>1362.5</v>
      </c>
      <c r="AL1047">
        <v>19642.5</v>
      </c>
      <c r="AM1047">
        <v>12.5</v>
      </c>
      <c r="AN1047">
        <v>0</v>
      </c>
      <c r="AO1047">
        <v>32.5</v>
      </c>
      <c r="AP1047">
        <v>0</v>
      </c>
      <c r="AQ1047">
        <v>0</v>
      </c>
      <c r="AR1047">
        <v>160</v>
      </c>
      <c r="AS1047">
        <v>7.5</v>
      </c>
      <c r="AT1047">
        <v>21957.5</v>
      </c>
      <c r="AU1047" t="s">
        <v>35</v>
      </c>
    </row>
    <row r="1048" spans="1:47" x14ac:dyDescent="0.2">
      <c r="A1048">
        <v>1536</v>
      </c>
      <c r="B1048" t="s">
        <v>574</v>
      </c>
      <c r="C1048">
        <v>11</v>
      </c>
      <c r="D1048" t="s">
        <v>558</v>
      </c>
      <c r="G1048" t="str">
        <f t="shared" si="16"/>
        <v>SWL201111UTBS4</v>
      </c>
      <c r="H1048">
        <v>64.959967000000006</v>
      </c>
      <c r="I1048">
        <v>-169.88936699999999</v>
      </c>
      <c r="J1048" s="3">
        <v>20110716</v>
      </c>
      <c r="K1048">
        <v>2011</v>
      </c>
      <c r="L1048">
        <v>0.67596000000000001</v>
      </c>
      <c r="M1048">
        <v>1.09205</v>
      </c>
      <c r="N1048">
        <v>0.11796</v>
      </c>
      <c r="O1048">
        <v>4.0000000000000002E-4</v>
      </c>
      <c r="P1048">
        <v>0</v>
      </c>
      <c r="Q1048">
        <v>0</v>
      </c>
      <c r="R1048">
        <v>1.9519999999999999E-2</v>
      </c>
      <c r="S1048">
        <v>0</v>
      </c>
      <c r="T1048">
        <v>0</v>
      </c>
      <c r="U1048">
        <v>2.0000000000000001E-4</v>
      </c>
      <c r="V1048">
        <v>1.9060900000000001</v>
      </c>
      <c r="W1048" t="s">
        <v>10</v>
      </c>
      <c r="X1048">
        <v>9.2469999999999999</v>
      </c>
      <c r="Y1048">
        <v>27.486000000000001</v>
      </c>
      <c r="Z1048">
        <v>1.597</v>
      </c>
      <c r="AA1048">
        <v>8.9999999999999993E-3</v>
      </c>
      <c r="AB1048">
        <v>0</v>
      </c>
      <c r="AC1048">
        <v>0</v>
      </c>
      <c r="AD1048">
        <v>0.32</v>
      </c>
      <c r="AE1048">
        <v>0</v>
      </c>
      <c r="AF1048">
        <v>0</v>
      </c>
      <c r="AG1048">
        <v>0.02</v>
      </c>
      <c r="AH1048">
        <v>38.679000000000002</v>
      </c>
      <c r="AI1048" t="s">
        <v>22</v>
      </c>
      <c r="AJ1048">
        <v>82.5</v>
      </c>
      <c r="AK1048">
        <v>135</v>
      </c>
      <c r="AL1048">
        <v>107.5</v>
      </c>
      <c r="AM1048">
        <v>2.5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327.5</v>
      </c>
      <c r="AU1048" t="s">
        <v>34</v>
      </c>
    </row>
    <row r="1049" spans="1:47" x14ac:dyDescent="0.2">
      <c r="A1049">
        <v>1537</v>
      </c>
      <c r="B1049" t="s">
        <v>574</v>
      </c>
      <c r="C1049">
        <v>13</v>
      </c>
      <c r="D1049" t="s">
        <v>559</v>
      </c>
      <c r="G1049" t="str">
        <f t="shared" si="16"/>
        <v>SWL201113UTN1</v>
      </c>
      <c r="H1049">
        <v>66.709999999999994</v>
      </c>
      <c r="I1049">
        <v>-168.4</v>
      </c>
      <c r="J1049" s="3">
        <v>20110717</v>
      </c>
      <c r="K1049">
        <v>2011</v>
      </c>
      <c r="L1049">
        <v>1.92906</v>
      </c>
      <c r="M1049">
        <v>4.25162</v>
      </c>
      <c r="N1049">
        <v>5.0779999999999999E-2</v>
      </c>
      <c r="O1049">
        <v>0</v>
      </c>
      <c r="P1049">
        <v>3.6000000000000002E-4</v>
      </c>
      <c r="Q1049">
        <v>11.614319999999999</v>
      </c>
      <c r="R1049">
        <v>2.5299800000000001</v>
      </c>
      <c r="S1049">
        <v>0</v>
      </c>
      <c r="T1049">
        <v>1.907E-2</v>
      </c>
      <c r="U1049">
        <v>0.31962000000000002</v>
      </c>
      <c r="V1049">
        <v>20.71481</v>
      </c>
      <c r="W1049" t="s">
        <v>14</v>
      </c>
      <c r="X1049">
        <v>31.626999999999999</v>
      </c>
      <c r="Y1049">
        <v>188.70500000000001</v>
      </c>
      <c r="Z1049">
        <v>0.68600000000000005</v>
      </c>
      <c r="AA1049">
        <v>0</v>
      </c>
      <c r="AB1049">
        <v>2.5999999999999999E-2</v>
      </c>
      <c r="AC1049">
        <v>1451.79</v>
      </c>
      <c r="AD1049">
        <v>41.475000000000001</v>
      </c>
      <c r="AE1049">
        <v>0</v>
      </c>
      <c r="AF1049">
        <v>0.20499999999999999</v>
      </c>
      <c r="AG1049">
        <v>15.234</v>
      </c>
      <c r="AH1049">
        <v>1729.748</v>
      </c>
      <c r="AI1049" t="s">
        <v>26</v>
      </c>
      <c r="AJ1049">
        <v>930</v>
      </c>
      <c r="AK1049">
        <v>2625</v>
      </c>
      <c r="AL1049">
        <v>380</v>
      </c>
      <c r="AM1049">
        <v>0</v>
      </c>
      <c r="AN1049">
        <v>10</v>
      </c>
      <c r="AO1049">
        <v>140</v>
      </c>
      <c r="AP1049">
        <v>10</v>
      </c>
      <c r="AQ1049">
        <v>0</v>
      </c>
      <c r="AR1049">
        <v>5</v>
      </c>
      <c r="AS1049">
        <v>12.5</v>
      </c>
      <c r="AT1049">
        <v>4112.5</v>
      </c>
      <c r="AU1049" t="s">
        <v>34</v>
      </c>
    </row>
    <row r="1050" spans="1:47" x14ac:dyDescent="0.2">
      <c r="A1050">
        <v>1538</v>
      </c>
      <c r="B1050" t="s">
        <v>574</v>
      </c>
      <c r="C1050">
        <v>14</v>
      </c>
      <c r="D1050" t="s">
        <v>560</v>
      </c>
      <c r="G1050" t="str">
        <f t="shared" si="16"/>
        <v>SWL201114UTN2</v>
      </c>
      <c r="H1050">
        <v>67.050233000000006</v>
      </c>
      <c r="I1050">
        <v>-168.72848300000001</v>
      </c>
      <c r="J1050" s="3">
        <v>20110717</v>
      </c>
      <c r="K1050">
        <v>2011</v>
      </c>
      <c r="L1050">
        <v>1.9400200000000001</v>
      </c>
      <c r="M1050">
        <v>16.044519999999999</v>
      </c>
      <c r="N1050">
        <v>0.56967999999999996</v>
      </c>
      <c r="O1050">
        <v>0</v>
      </c>
      <c r="P1050">
        <v>0.37092999999999998</v>
      </c>
      <c r="Q1050">
        <v>5.0000000000000002E-5</v>
      </c>
      <c r="R1050">
        <v>1.29796</v>
      </c>
      <c r="S1050">
        <v>0</v>
      </c>
      <c r="T1050">
        <v>5.3899999999999998E-3</v>
      </c>
      <c r="U1050">
        <v>3.755E-2</v>
      </c>
      <c r="V1050">
        <v>20.266100000000002</v>
      </c>
      <c r="W1050" t="s">
        <v>10</v>
      </c>
      <c r="X1050">
        <v>30.693999999999999</v>
      </c>
      <c r="Y1050">
        <v>479.68799999999999</v>
      </c>
      <c r="Z1050">
        <v>8.1560000000000006</v>
      </c>
      <c r="AA1050">
        <v>0</v>
      </c>
      <c r="AB1050">
        <v>26.495000000000001</v>
      </c>
      <c r="AC1050">
        <v>5.0000000000000001E-3</v>
      </c>
      <c r="AD1050">
        <v>21.277999999999999</v>
      </c>
      <c r="AE1050">
        <v>0</v>
      </c>
      <c r="AF1050">
        <v>5.8000000000000003E-2</v>
      </c>
      <c r="AG1050">
        <v>1.788</v>
      </c>
      <c r="AH1050">
        <v>568.16200000000003</v>
      </c>
      <c r="AI1050" t="s">
        <v>22</v>
      </c>
      <c r="AJ1050">
        <v>2012.5</v>
      </c>
      <c r="AK1050">
        <v>13980</v>
      </c>
      <c r="AL1050">
        <v>2122.5</v>
      </c>
      <c r="AM1050">
        <v>0</v>
      </c>
      <c r="AN1050">
        <v>22.5</v>
      </c>
      <c r="AO1050">
        <v>5</v>
      </c>
      <c r="AP1050">
        <v>27.5</v>
      </c>
      <c r="AQ1050">
        <v>0</v>
      </c>
      <c r="AR1050">
        <v>5</v>
      </c>
      <c r="AS1050">
        <v>27.5</v>
      </c>
      <c r="AT1050">
        <v>18202.5</v>
      </c>
      <c r="AU1050" t="s">
        <v>34</v>
      </c>
    </row>
    <row r="1051" spans="1:47" x14ac:dyDescent="0.2">
      <c r="A1051">
        <v>1539</v>
      </c>
      <c r="B1051" t="s">
        <v>574</v>
      </c>
      <c r="C1051">
        <v>15</v>
      </c>
      <c r="D1051" t="s">
        <v>561</v>
      </c>
      <c r="G1051" t="str">
        <f t="shared" si="16"/>
        <v>SWL201115UTN3</v>
      </c>
      <c r="H1051">
        <v>67.329800000000006</v>
      </c>
      <c r="I1051">
        <v>-168.90870000000001</v>
      </c>
      <c r="J1051" s="3">
        <v>20110717</v>
      </c>
      <c r="K1051">
        <v>2011</v>
      </c>
      <c r="L1051">
        <v>2.41622</v>
      </c>
      <c r="M1051">
        <v>19.967759999999998</v>
      </c>
      <c r="N1051">
        <v>0.27578999999999998</v>
      </c>
      <c r="O1051">
        <v>0</v>
      </c>
      <c r="P1051">
        <v>8.5099999999999995E-2</v>
      </c>
      <c r="Q1051">
        <v>0</v>
      </c>
      <c r="R1051">
        <v>1.2383599999999999</v>
      </c>
      <c r="S1051">
        <v>0</v>
      </c>
      <c r="T1051">
        <v>5.5999999999999995E-4</v>
      </c>
      <c r="U1051">
        <v>1.25E-3</v>
      </c>
      <c r="V1051">
        <v>23.985040000000001</v>
      </c>
      <c r="W1051" t="s">
        <v>10</v>
      </c>
      <c r="X1051">
        <v>35.021000000000001</v>
      </c>
      <c r="Y1051">
        <v>560.52599999999995</v>
      </c>
      <c r="Z1051">
        <v>3.8069999999999999</v>
      </c>
      <c r="AA1051">
        <v>0</v>
      </c>
      <c r="AB1051">
        <v>6.0789999999999997</v>
      </c>
      <c r="AC1051">
        <v>0</v>
      </c>
      <c r="AD1051">
        <v>20.300999999999998</v>
      </c>
      <c r="AE1051">
        <v>0</v>
      </c>
      <c r="AF1051">
        <v>6.0000000000000001E-3</v>
      </c>
      <c r="AG1051">
        <v>0.02</v>
      </c>
      <c r="AH1051">
        <v>625.76</v>
      </c>
      <c r="AI1051" t="s">
        <v>22</v>
      </c>
      <c r="AJ1051">
        <v>1347.5</v>
      </c>
      <c r="AK1051">
        <v>4717.5</v>
      </c>
      <c r="AL1051">
        <v>1247.5</v>
      </c>
      <c r="AM1051">
        <v>0</v>
      </c>
      <c r="AN1051">
        <v>17.5</v>
      </c>
      <c r="AO1051">
        <v>0</v>
      </c>
      <c r="AP1051">
        <v>65</v>
      </c>
      <c r="AQ1051">
        <v>0</v>
      </c>
      <c r="AR1051">
        <v>10</v>
      </c>
      <c r="AS1051">
        <v>20</v>
      </c>
      <c r="AT1051">
        <v>7425</v>
      </c>
      <c r="AU1051" t="s">
        <v>34</v>
      </c>
    </row>
    <row r="1052" spans="1:47" x14ac:dyDescent="0.2">
      <c r="A1052">
        <v>1540</v>
      </c>
      <c r="B1052" t="s">
        <v>574</v>
      </c>
      <c r="C1052">
        <v>16</v>
      </c>
      <c r="D1052" t="s">
        <v>562</v>
      </c>
      <c r="G1052" t="str">
        <f t="shared" si="16"/>
        <v>SWL201116UTN4</v>
      </c>
      <c r="H1052">
        <v>67.499733000000006</v>
      </c>
      <c r="I1052">
        <v>-168.90838299999999</v>
      </c>
      <c r="J1052" s="3">
        <v>20110717</v>
      </c>
      <c r="K1052">
        <v>2011</v>
      </c>
      <c r="L1052">
        <v>1.94217</v>
      </c>
      <c r="M1052">
        <v>16.414390000000001</v>
      </c>
      <c r="N1052">
        <v>1.71608</v>
      </c>
      <c r="O1052">
        <v>0</v>
      </c>
      <c r="P1052">
        <v>0.10045</v>
      </c>
      <c r="Q1052">
        <v>0</v>
      </c>
      <c r="R1052">
        <v>1.3226</v>
      </c>
      <c r="S1052">
        <v>4.4200000000000003E-2</v>
      </c>
      <c r="T1052">
        <v>0</v>
      </c>
      <c r="U1052">
        <v>7.7499999999999999E-3</v>
      </c>
      <c r="V1052">
        <v>21.547640000000001</v>
      </c>
      <c r="W1052" t="s">
        <v>10</v>
      </c>
      <c r="X1052">
        <v>28.46</v>
      </c>
      <c r="Y1052">
        <v>469.89800000000002</v>
      </c>
      <c r="Z1052">
        <v>20.068000000000001</v>
      </c>
      <c r="AA1052">
        <v>0</v>
      </c>
      <c r="AB1052">
        <v>7.1749999999999998</v>
      </c>
      <c r="AC1052">
        <v>0</v>
      </c>
      <c r="AD1052">
        <v>21.681999999999999</v>
      </c>
      <c r="AE1052">
        <v>3.157</v>
      </c>
      <c r="AF1052">
        <v>0</v>
      </c>
      <c r="AG1052">
        <v>0.26</v>
      </c>
      <c r="AH1052">
        <v>550.70000000000005</v>
      </c>
      <c r="AI1052" t="s">
        <v>22</v>
      </c>
      <c r="AJ1052">
        <v>1175</v>
      </c>
      <c r="AK1052">
        <v>4672.5</v>
      </c>
      <c r="AL1052">
        <v>2440</v>
      </c>
      <c r="AM1052">
        <v>0</v>
      </c>
      <c r="AN1052">
        <v>42.5</v>
      </c>
      <c r="AO1052">
        <v>0</v>
      </c>
      <c r="AP1052">
        <v>67.5</v>
      </c>
      <c r="AQ1052">
        <v>2.5</v>
      </c>
      <c r="AR1052">
        <v>0</v>
      </c>
      <c r="AS1052">
        <v>5</v>
      </c>
      <c r="AT1052">
        <v>8405</v>
      </c>
      <c r="AU1052" t="s">
        <v>34</v>
      </c>
    </row>
    <row r="1053" spans="1:47" x14ac:dyDescent="0.2">
      <c r="A1053">
        <v>1541</v>
      </c>
      <c r="B1053" t="s">
        <v>574</v>
      </c>
      <c r="C1053">
        <v>17</v>
      </c>
      <c r="D1053" t="s">
        <v>306</v>
      </c>
      <c r="G1053" t="str">
        <f t="shared" si="16"/>
        <v>SWL201117UTN5=SEC1</v>
      </c>
      <c r="H1053">
        <v>67.669732999999994</v>
      </c>
      <c r="I1053">
        <v>-168.90960000000001</v>
      </c>
      <c r="J1053" s="3">
        <v>20110717</v>
      </c>
      <c r="K1053">
        <v>2011</v>
      </c>
      <c r="L1053">
        <v>2.9977800000000001</v>
      </c>
      <c r="M1053">
        <v>78.377269999999996</v>
      </c>
      <c r="N1053">
        <v>3.3806799999999999</v>
      </c>
      <c r="O1053">
        <v>1.3999999999999999E-4</v>
      </c>
      <c r="P1053">
        <v>0</v>
      </c>
      <c r="Q1053">
        <v>0</v>
      </c>
      <c r="R1053">
        <v>3.0567700000000002</v>
      </c>
      <c r="S1053">
        <v>0</v>
      </c>
      <c r="T1053">
        <v>0</v>
      </c>
      <c r="U1053">
        <v>2.45241</v>
      </c>
      <c r="V1053">
        <v>90.265050000000002</v>
      </c>
      <c r="W1053" t="s">
        <v>10</v>
      </c>
      <c r="X1053">
        <v>47.896000000000001</v>
      </c>
      <c r="Y1053">
        <v>2217.6080000000002</v>
      </c>
      <c r="Z1053">
        <v>40.801000000000002</v>
      </c>
      <c r="AA1053">
        <v>3.0000000000000001E-3</v>
      </c>
      <c r="AB1053">
        <v>0</v>
      </c>
      <c r="AC1053">
        <v>0</v>
      </c>
      <c r="AD1053">
        <v>50.110999999999997</v>
      </c>
      <c r="AE1053">
        <v>0</v>
      </c>
      <c r="AF1053">
        <v>0</v>
      </c>
      <c r="AG1053">
        <v>50.616999999999997</v>
      </c>
      <c r="AH1053">
        <v>2407.0360000000001</v>
      </c>
      <c r="AI1053" t="s">
        <v>22</v>
      </c>
      <c r="AJ1053">
        <v>1180</v>
      </c>
      <c r="AK1053">
        <v>1942.5</v>
      </c>
      <c r="AL1053">
        <v>5785</v>
      </c>
      <c r="AM1053">
        <v>2.5</v>
      </c>
      <c r="AN1053">
        <v>0</v>
      </c>
      <c r="AO1053">
        <v>0</v>
      </c>
      <c r="AP1053">
        <v>35</v>
      </c>
      <c r="AQ1053">
        <v>0</v>
      </c>
      <c r="AR1053">
        <v>0</v>
      </c>
      <c r="AS1053">
        <v>27.5</v>
      </c>
      <c r="AT1053">
        <v>8972.5</v>
      </c>
      <c r="AU1053" t="s">
        <v>35</v>
      </c>
    </row>
    <row r="1054" spans="1:47" x14ac:dyDescent="0.2">
      <c r="A1054">
        <v>1542</v>
      </c>
      <c r="B1054" t="s">
        <v>574</v>
      </c>
      <c r="C1054">
        <v>18</v>
      </c>
      <c r="D1054" t="s">
        <v>563</v>
      </c>
      <c r="G1054" t="str">
        <f t="shared" si="16"/>
        <v>SWL201118UTN6</v>
      </c>
      <c r="H1054">
        <v>67.740066999999996</v>
      </c>
      <c r="I1054">
        <v>-168.44036700000001</v>
      </c>
      <c r="J1054" s="3">
        <v>20110718</v>
      </c>
      <c r="K1054">
        <v>2011</v>
      </c>
      <c r="L1054">
        <v>3.1232000000000002</v>
      </c>
      <c r="M1054">
        <v>16.344480000000001</v>
      </c>
      <c r="N1054">
        <v>5.7329400000000001</v>
      </c>
      <c r="O1054">
        <v>0</v>
      </c>
      <c r="P1054">
        <v>0</v>
      </c>
      <c r="Q1054">
        <v>0</v>
      </c>
      <c r="R1054">
        <v>2.2035</v>
      </c>
      <c r="S1054">
        <v>0</v>
      </c>
      <c r="T1054">
        <v>0</v>
      </c>
      <c r="U1054">
        <v>6.1999999999999998E-3</v>
      </c>
      <c r="V1054">
        <v>27.410319999999999</v>
      </c>
      <c r="W1054" t="s">
        <v>10</v>
      </c>
      <c r="X1054">
        <v>46.521000000000001</v>
      </c>
      <c r="Y1054">
        <v>444.84800000000001</v>
      </c>
      <c r="Z1054">
        <v>64.972999999999999</v>
      </c>
      <c r="AA1054">
        <v>0</v>
      </c>
      <c r="AB1054">
        <v>0</v>
      </c>
      <c r="AC1054">
        <v>0</v>
      </c>
      <c r="AD1054">
        <v>36.122999999999998</v>
      </c>
      <c r="AE1054">
        <v>0</v>
      </c>
      <c r="AF1054">
        <v>0</v>
      </c>
      <c r="AG1054">
        <v>9.9000000000000005E-2</v>
      </c>
      <c r="AH1054">
        <v>592.56399999999996</v>
      </c>
      <c r="AI1054" t="s">
        <v>22</v>
      </c>
      <c r="AJ1054">
        <v>1597.5</v>
      </c>
      <c r="AK1054">
        <v>1692.5</v>
      </c>
      <c r="AL1054">
        <v>5570</v>
      </c>
      <c r="AM1054">
        <v>0</v>
      </c>
      <c r="AN1054">
        <v>0</v>
      </c>
      <c r="AO1054">
        <v>0</v>
      </c>
      <c r="AP1054">
        <v>55</v>
      </c>
      <c r="AQ1054">
        <v>0</v>
      </c>
      <c r="AR1054">
        <v>0</v>
      </c>
      <c r="AS1054">
        <v>57.5</v>
      </c>
      <c r="AT1054">
        <v>8972.5</v>
      </c>
      <c r="AU1054" t="s">
        <v>35</v>
      </c>
    </row>
    <row r="1055" spans="1:47" x14ac:dyDescent="0.2">
      <c r="A1055">
        <v>1543</v>
      </c>
      <c r="B1055" t="s">
        <v>574</v>
      </c>
      <c r="C1055">
        <v>19</v>
      </c>
      <c r="D1055" t="s">
        <v>258</v>
      </c>
      <c r="G1055" t="str">
        <f t="shared" si="16"/>
        <v>SWL201119SEC2</v>
      </c>
      <c r="H1055">
        <v>67.779732999999993</v>
      </c>
      <c r="I1055">
        <v>-168.59950000000001</v>
      </c>
      <c r="J1055" s="3">
        <v>20110718</v>
      </c>
      <c r="K1055">
        <v>2011</v>
      </c>
      <c r="L1055">
        <v>8.7584599999999995</v>
      </c>
      <c r="M1055">
        <v>15.147650000000001</v>
      </c>
      <c r="N1055">
        <v>6.0695300000000003</v>
      </c>
      <c r="O1055">
        <v>0</v>
      </c>
      <c r="P1055">
        <v>0</v>
      </c>
      <c r="Q1055">
        <v>0</v>
      </c>
      <c r="R1055">
        <v>1.2954000000000001</v>
      </c>
      <c r="S1055">
        <v>0</v>
      </c>
      <c r="T1055">
        <v>0</v>
      </c>
      <c r="U1055">
        <v>4.8000000000000001E-4</v>
      </c>
      <c r="V1055">
        <v>31.271519999999999</v>
      </c>
      <c r="W1055" t="s">
        <v>10</v>
      </c>
      <c r="X1055">
        <v>122.541</v>
      </c>
      <c r="Y1055">
        <v>409.38799999999998</v>
      </c>
      <c r="Z1055">
        <v>68.522999999999996</v>
      </c>
      <c r="AA1055">
        <v>0</v>
      </c>
      <c r="AB1055">
        <v>0</v>
      </c>
      <c r="AC1055">
        <v>0</v>
      </c>
      <c r="AD1055">
        <v>21.236000000000001</v>
      </c>
      <c r="AE1055">
        <v>0</v>
      </c>
      <c r="AF1055">
        <v>0</v>
      </c>
      <c r="AG1055">
        <v>2.3E-2</v>
      </c>
      <c r="AH1055">
        <v>621.71100000000001</v>
      </c>
      <c r="AI1055" t="s">
        <v>22</v>
      </c>
      <c r="AJ1055">
        <v>770</v>
      </c>
      <c r="AK1055">
        <v>1410</v>
      </c>
      <c r="AL1055">
        <v>6955</v>
      </c>
      <c r="AM1055">
        <v>0</v>
      </c>
      <c r="AN1055">
        <v>0</v>
      </c>
      <c r="AO1055">
        <v>0</v>
      </c>
      <c r="AP1055">
        <v>20</v>
      </c>
      <c r="AQ1055">
        <v>0</v>
      </c>
      <c r="AR1055">
        <v>0</v>
      </c>
      <c r="AS1055">
        <v>10</v>
      </c>
      <c r="AT1055">
        <v>9165</v>
      </c>
      <c r="AU1055" t="s">
        <v>35</v>
      </c>
    </row>
    <row r="1056" spans="1:47" x14ac:dyDescent="0.2">
      <c r="A1056">
        <v>1544</v>
      </c>
      <c r="B1056" t="s">
        <v>574</v>
      </c>
      <c r="C1056">
        <v>2</v>
      </c>
      <c r="D1056" t="s">
        <v>551</v>
      </c>
      <c r="G1056" t="str">
        <f t="shared" si="16"/>
        <v>SWL20112SLIP1</v>
      </c>
      <c r="H1056">
        <v>62.009816999999998</v>
      </c>
      <c r="I1056">
        <v>-175.060067</v>
      </c>
      <c r="J1056" s="3">
        <v>20110715</v>
      </c>
      <c r="K1056">
        <v>2011</v>
      </c>
      <c r="L1056">
        <v>7.6336199999999996</v>
      </c>
      <c r="M1056">
        <v>3.7482000000000002</v>
      </c>
      <c r="N1056">
        <v>0.16586000000000001</v>
      </c>
      <c r="O1056">
        <v>2.3800000000000002E-3</v>
      </c>
      <c r="P1056">
        <v>0.26080999999999999</v>
      </c>
      <c r="Q1056">
        <v>0</v>
      </c>
      <c r="R1056">
        <v>0.78244999999999998</v>
      </c>
      <c r="S1056">
        <v>5.3659999999999999E-2</v>
      </c>
      <c r="T1056">
        <v>5.1200000000000004E-3</v>
      </c>
      <c r="U1056">
        <v>1.3559999999999999E-2</v>
      </c>
      <c r="V1056">
        <v>12.665660000000001</v>
      </c>
      <c r="W1056" t="s">
        <v>9</v>
      </c>
      <c r="X1056">
        <v>107.889</v>
      </c>
      <c r="Y1056">
        <v>117.032</v>
      </c>
      <c r="Z1056">
        <v>2.0840000000000001</v>
      </c>
      <c r="AA1056">
        <v>5.2999999999999999E-2</v>
      </c>
      <c r="AB1056">
        <v>18.629000000000001</v>
      </c>
      <c r="AC1056">
        <v>0</v>
      </c>
      <c r="AD1056">
        <v>12.827</v>
      </c>
      <c r="AE1056">
        <v>3.8330000000000002</v>
      </c>
      <c r="AF1056">
        <v>5.5E-2</v>
      </c>
      <c r="AG1056">
        <v>0.29899999999999999</v>
      </c>
      <c r="AH1056">
        <v>262.70100000000002</v>
      </c>
      <c r="AI1056" t="s">
        <v>22</v>
      </c>
      <c r="AJ1056">
        <v>645</v>
      </c>
      <c r="AK1056">
        <v>150</v>
      </c>
      <c r="AL1056">
        <v>145</v>
      </c>
      <c r="AM1056">
        <v>5</v>
      </c>
      <c r="AN1056">
        <v>12.5</v>
      </c>
      <c r="AO1056">
        <v>0</v>
      </c>
      <c r="AP1056">
        <v>2.5</v>
      </c>
      <c r="AQ1056">
        <v>2.5</v>
      </c>
      <c r="AR1056">
        <v>10</v>
      </c>
      <c r="AS1056">
        <v>70</v>
      </c>
      <c r="AT1056">
        <v>1042.5</v>
      </c>
      <c r="AU1056" t="s">
        <v>33</v>
      </c>
    </row>
    <row r="1057" spans="1:47" x14ac:dyDescent="0.2">
      <c r="A1057">
        <v>1545</v>
      </c>
      <c r="B1057" t="s">
        <v>574</v>
      </c>
      <c r="C1057">
        <v>20</v>
      </c>
      <c r="D1057" t="s">
        <v>564</v>
      </c>
      <c r="G1057" t="str">
        <f t="shared" si="16"/>
        <v>SWL201120UTN7</v>
      </c>
      <c r="H1057">
        <v>68.000067000000001</v>
      </c>
      <c r="I1057">
        <v>-168.90988300000001</v>
      </c>
      <c r="J1057" s="3">
        <v>20110718</v>
      </c>
      <c r="K1057">
        <v>2011</v>
      </c>
      <c r="L1057">
        <v>4.0127699999999997</v>
      </c>
      <c r="M1057">
        <v>6.7128699999999997</v>
      </c>
      <c r="N1057">
        <v>8.6292899999999992</v>
      </c>
      <c r="O1057">
        <v>0</v>
      </c>
      <c r="P1057">
        <v>0</v>
      </c>
      <c r="Q1057">
        <v>0</v>
      </c>
      <c r="R1057">
        <v>0.35813</v>
      </c>
      <c r="S1057">
        <v>0</v>
      </c>
      <c r="T1057">
        <v>0.84026000000000001</v>
      </c>
      <c r="U1057">
        <v>9.1039999999999996E-2</v>
      </c>
      <c r="V1057">
        <v>20.644359999999999</v>
      </c>
      <c r="W1057" t="s">
        <v>11</v>
      </c>
      <c r="X1057">
        <v>53.415999999999997</v>
      </c>
      <c r="Y1057">
        <v>193.697</v>
      </c>
      <c r="Z1057">
        <v>95.13</v>
      </c>
      <c r="AA1057">
        <v>0</v>
      </c>
      <c r="AB1057">
        <v>0</v>
      </c>
      <c r="AC1057">
        <v>0</v>
      </c>
      <c r="AD1057">
        <v>5.8710000000000004</v>
      </c>
      <c r="AE1057">
        <v>0</v>
      </c>
      <c r="AF1057">
        <v>9.0350000000000001</v>
      </c>
      <c r="AG1057">
        <v>1.7110000000000001</v>
      </c>
      <c r="AH1057">
        <v>358.86</v>
      </c>
      <c r="AI1057" t="s">
        <v>22</v>
      </c>
      <c r="AJ1057">
        <v>277.5</v>
      </c>
      <c r="AK1057">
        <v>572.5</v>
      </c>
      <c r="AL1057">
        <v>10820</v>
      </c>
      <c r="AM1057">
        <v>0</v>
      </c>
      <c r="AN1057">
        <v>0</v>
      </c>
      <c r="AO1057">
        <v>0</v>
      </c>
      <c r="AP1057">
        <v>2.5</v>
      </c>
      <c r="AQ1057">
        <v>0</v>
      </c>
      <c r="AR1057">
        <v>10</v>
      </c>
      <c r="AS1057">
        <v>307.5</v>
      </c>
      <c r="AT1057">
        <v>11990</v>
      </c>
      <c r="AU1057" t="s">
        <v>35</v>
      </c>
    </row>
    <row r="1058" spans="1:47" x14ac:dyDescent="0.2">
      <c r="A1058">
        <v>1546</v>
      </c>
      <c r="B1058" t="s">
        <v>574</v>
      </c>
      <c r="C1058">
        <v>21</v>
      </c>
      <c r="D1058" t="s">
        <v>254</v>
      </c>
      <c r="G1058" t="str">
        <f t="shared" si="16"/>
        <v>SWL201121SEC3</v>
      </c>
      <c r="H1058">
        <v>67.900166999999996</v>
      </c>
      <c r="I1058">
        <v>-168.240217</v>
      </c>
      <c r="J1058" s="3">
        <v>20110718</v>
      </c>
      <c r="K1058">
        <v>2011</v>
      </c>
      <c r="L1058">
        <v>1.1361699999999999</v>
      </c>
      <c r="M1058">
        <v>2.8771499999999999</v>
      </c>
      <c r="N1058">
        <v>3.4734799999999999</v>
      </c>
      <c r="O1058">
        <v>0</v>
      </c>
      <c r="P1058">
        <v>0.41532000000000002</v>
      </c>
      <c r="Q1058">
        <v>0</v>
      </c>
      <c r="R1058">
        <v>0.77756999999999998</v>
      </c>
      <c r="S1058">
        <v>0</v>
      </c>
      <c r="T1058">
        <v>4.2130000000000001E-2</v>
      </c>
      <c r="U1058">
        <v>6.9999999999999994E-5</v>
      </c>
      <c r="V1058">
        <v>8.7218900000000001</v>
      </c>
      <c r="W1058" t="s">
        <v>11</v>
      </c>
      <c r="X1058">
        <v>18.611000000000001</v>
      </c>
      <c r="Y1058">
        <v>75.11</v>
      </c>
      <c r="Z1058">
        <v>39.966999999999999</v>
      </c>
      <c r="AA1058">
        <v>0</v>
      </c>
      <c r="AB1058">
        <v>29.666</v>
      </c>
      <c r="AC1058">
        <v>0</v>
      </c>
      <c r="AD1058">
        <v>12.747</v>
      </c>
      <c r="AE1058">
        <v>0</v>
      </c>
      <c r="AF1058">
        <v>0.45300000000000001</v>
      </c>
      <c r="AG1058">
        <v>7.0000000000000001E-3</v>
      </c>
      <c r="AH1058">
        <v>176.56100000000001</v>
      </c>
      <c r="AI1058" t="s">
        <v>22</v>
      </c>
      <c r="AJ1058">
        <v>1475</v>
      </c>
      <c r="AK1058">
        <v>660</v>
      </c>
      <c r="AL1058">
        <v>4945</v>
      </c>
      <c r="AM1058">
        <v>0</v>
      </c>
      <c r="AN1058">
        <v>10</v>
      </c>
      <c r="AO1058">
        <v>0</v>
      </c>
      <c r="AP1058">
        <v>10</v>
      </c>
      <c r="AQ1058">
        <v>0</v>
      </c>
      <c r="AR1058">
        <v>5</v>
      </c>
      <c r="AS1058">
        <v>0</v>
      </c>
      <c r="AT1058">
        <v>7105</v>
      </c>
      <c r="AU1058" t="s">
        <v>35</v>
      </c>
    </row>
    <row r="1059" spans="1:47" x14ac:dyDescent="0.2">
      <c r="A1059">
        <v>1547</v>
      </c>
      <c r="B1059" t="s">
        <v>574</v>
      </c>
      <c r="C1059">
        <v>22</v>
      </c>
      <c r="D1059" t="s">
        <v>233</v>
      </c>
      <c r="G1059" t="str">
        <f t="shared" si="16"/>
        <v>SWL201122SEC4</v>
      </c>
      <c r="H1059">
        <v>68.010017000000005</v>
      </c>
      <c r="I1059">
        <v>-167.870667</v>
      </c>
      <c r="J1059" s="3">
        <v>20110718</v>
      </c>
      <c r="K1059">
        <v>2011</v>
      </c>
      <c r="L1059">
        <v>11.85623</v>
      </c>
      <c r="M1059">
        <v>7.1655899999999999</v>
      </c>
      <c r="N1059">
        <v>0.8498</v>
      </c>
      <c r="O1059">
        <v>8.9999999999999998E-4</v>
      </c>
      <c r="P1059">
        <v>6.62E-3</v>
      </c>
      <c r="Q1059">
        <v>0.31067</v>
      </c>
      <c r="R1059">
        <v>0.33756999999999998</v>
      </c>
      <c r="S1059">
        <v>0</v>
      </c>
      <c r="T1059">
        <v>0.54851000000000005</v>
      </c>
      <c r="U1059">
        <v>0.10054</v>
      </c>
      <c r="V1059">
        <v>21.17643</v>
      </c>
      <c r="W1059" t="s">
        <v>9</v>
      </c>
      <c r="X1059">
        <v>163.053</v>
      </c>
      <c r="Y1059">
        <v>203.54</v>
      </c>
      <c r="Z1059">
        <v>11.833</v>
      </c>
      <c r="AA1059">
        <v>0.02</v>
      </c>
      <c r="AB1059">
        <v>0.47299999999999998</v>
      </c>
      <c r="AC1059">
        <v>31.067</v>
      </c>
      <c r="AD1059">
        <v>5.5339999999999998</v>
      </c>
      <c r="AE1059">
        <v>0</v>
      </c>
      <c r="AF1059">
        <v>5.8979999999999997</v>
      </c>
      <c r="AG1059">
        <v>7.45</v>
      </c>
      <c r="AH1059">
        <v>428.86799999999999</v>
      </c>
      <c r="AI1059" t="s">
        <v>22</v>
      </c>
      <c r="AJ1059">
        <v>1445</v>
      </c>
      <c r="AK1059">
        <v>1155</v>
      </c>
      <c r="AL1059">
        <v>4435</v>
      </c>
      <c r="AM1059">
        <v>5</v>
      </c>
      <c r="AN1059">
        <v>75</v>
      </c>
      <c r="AO1059">
        <v>5</v>
      </c>
      <c r="AP1059">
        <v>10</v>
      </c>
      <c r="AQ1059">
        <v>0</v>
      </c>
      <c r="AR1059">
        <v>25</v>
      </c>
      <c r="AS1059">
        <v>30</v>
      </c>
      <c r="AT1059">
        <v>7185</v>
      </c>
      <c r="AU1059" t="s">
        <v>35</v>
      </c>
    </row>
    <row r="1060" spans="1:47" x14ac:dyDescent="0.2">
      <c r="A1060">
        <v>1548</v>
      </c>
      <c r="B1060" t="s">
        <v>574</v>
      </c>
      <c r="C1060">
        <v>23</v>
      </c>
      <c r="D1060" t="s">
        <v>240</v>
      </c>
      <c r="G1060" t="str">
        <f t="shared" si="16"/>
        <v>SWL201123SEC5</v>
      </c>
      <c r="H1060">
        <v>68.13</v>
      </c>
      <c r="I1060">
        <v>-167.50190000000001</v>
      </c>
      <c r="J1060" s="3">
        <v>20110718</v>
      </c>
      <c r="K1060">
        <v>2011</v>
      </c>
      <c r="L1060">
        <v>15.91925</v>
      </c>
      <c r="M1060">
        <v>0.75831000000000004</v>
      </c>
      <c r="N1060">
        <v>0.41364000000000001</v>
      </c>
      <c r="O1060">
        <v>0.14815</v>
      </c>
      <c r="P1060">
        <v>7.707E-2</v>
      </c>
      <c r="Q1060">
        <v>0</v>
      </c>
      <c r="R1060">
        <v>0</v>
      </c>
      <c r="S1060">
        <v>0.58872000000000002</v>
      </c>
      <c r="T1060">
        <v>1.8970000000000001E-2</v>
      </c>
      <c r="U1060">
        <v>3.5511200000000001</v>
      </c>
      <c r="V1060">
        <v>21.47523</v>
      </c>
      <c r="W1060" t="s">
        <v>9</v>
      </c>
      <c r="X1060">
        <v>221.595</v>
      </c>
      <c r="Y1060">
        <v>23.579000000000001</v>
      </c>
      <c r="Z1060">
        <v>5.6079999999999997</v>
      </c>
      <c r="AA1060">
        <v>3.2919999999999998</v>
      </c>
      <c r="AB1060">
        <v>5.5049999999999999</v>
      </c>
      <c r="AC1060">
        <v>0</v>
      </c>
      <c r="AD1060">
        <v>0</v>
      </c>
      <c r="AE1060">
        <v>14.359</v>
      </c>
      <c r="AF1060">
        <v>0.20399999999999999</v>
      </c>
      <c r="AG1060">
        <v>140.99</v>
      </c>
      <c r="AH1060">
        <v>415.13200000000001</v>
      </c>
      <c r="AI1060" t="s">
        <v>21</v>
      </c>
      <c r="AJ1060">
        <v>1130</v>
      </c>
      <c r="AK1060">
        <v>410</v>
      </c>
      <c r="AL1060">
        <v>1030</v>
      </c>
      <c r="AM1060">
        <v>65</v>
      </c>
      <c r="AN1060">
        <v>80</v>
      </c>
      <c r="AO1060">
        <v>0</v>
      </c>
      <c r="AP1060">
        <v>0</v>
      </c>
      <c r="AQ1060">
        <v>30</v>
      </c>
      <c r="AR1060">
        <v>60</v>
      </c>
      <c r="AS1060">
        <v>185</v>
      </c>
      <c r="AT1060">
        <v>2990</v>
      </c>
      <c r="AU1060" t="s">
        <v>33</v>
      </c>
    </row>
    <row r="1061" spans="1:47" x14ac:dyDescent="0.2">
      <c r="A1061">
        <v>1549</v>
      </c>
      <c r="B1061" t="s">
        <v>574</v>
      </c>
      <c r="C1061">
        <v>24</v>
      </c>
      <c r="D1061" t="s">
        <v>388</v>
      </c>
      <c r="G1061" t="str">
        <f t="shared" si="16"/>
        <v>SWL201124SEC6</v>
      </c>
      <c r="H1061">
        <v>68.190117000000001</v>
      </c>
      <c r="I1061">
        <v>-167.311217</v>
      </c>
      <c r="J1061" s="3">
        <v>20110718</v>
      </c>
      <c r="K1061">
        <v>2011</v>
      </c>
      <c r="L1061">
        <v>5.8468400000000003</v>
      </c>
      <c r="M1061">
        <v>4.1438499999999996</v>
      </c>
      <c r="N1061">
        <v>4.19E-2</v>
      </c>
      <c r="O1061">
        <v>6.9815300000000002</v>
      </c>
      <c r="P1061">
        <v>1.2840000000000001E-2</v>
      </c>
      <c r="Q1061">
        <v>0</v>
      </c>
      <c r="R1061">
        <v>0</v>
      </c>
      <c r="S1061">
        <v>0</v>
      </c>
      <c r="T1061">
        <v>3.422E-2</v>
      </c>
      <c r="U1061">
        <v>0.25235999999999997</v>
      </c>
      <c r="V1061">
        <v>17.31354</v>
      </c>
      <c r="W1061" t="s">
        <v>12</v>
      </c>
      <c r="X1061">
        <v>85.679000000000002</v>
      </c>
      <c r="Y1061">
        <v>253.16800000000001</v>
      </c>
      <c r="Z1061">
        <v>0.58899999999999997</v>
      </c>
      <c r="AA1061">
        <v>155.14500000000001</v>
      </c>
      <c r="AB1061">
        <v>0.91700000000000004</v>
      </c>
      <c r="AC1061">
        <v>0</v>
      </c>
      <c r="AD1061">
        <v>0</v>
      </c>
      <c r="AE1061">
        <v>0</v>
      </c>
      <c r="AF1061">
        <v>0.36799999999999999</v>
      </c>
      <c r="AG1061">
        <v>13.742000000000001</v>
      </c>
      <c r="AH1061">
        <v>509.608</v>
      </c>
      <c r="AI1061" t="s">
        <v>22</v>
      </c>
      <c r="AJ1061">
        <v>235</v>
      </c>
      <c r="AK1061">
        <v>35</v>
      </c>
      <c r="AL1061">
        <v>45</v>
      </c>
      <c r="AM1061">
        <v>45</v>
      </c>
      <c r="AN1061">
        <v>50</v>
      </c>
      <c r="AO1061">
        <v>0</v>
      </c>
      <c r="AP1061">
        <v>0</v>
      </c>
      <c r="AQ1061">
        <v>0</v>
      </c>
      <c r="AR1061">
        <v>20</v>
      </c>
      <c r="AS1061">
        <v>40</v>
      </c>
      <c r="AT1061">
        <v>470</v>
      </c>
      <c r="AU1061" t="s">
        <v>33</v>
      </c>
    </row>
    <row r="1062" spans="1:47" x14ac:dyDescent="0.2">
      <c r="A1062">
        <v>1550</v>
      </c>
      <c r="B1062" t="s">
        <v>574</v>
      </c>
      <c r="C1062">
        <v>25</v>
      </c>
      <c r="D1062" t="s">
        <v>387</v>
      </c>
      <c r="G1062" t="str">
        <f t="shared" si="16"/>
        <v>SWL201125SEC7</v>
      </c>
      <c r="H1062">
        <v>68.240032999999997</v>
      </c>
      <c r="I1062">
        <v>-167.12141700000001</v>
      </c>
      <c r="J1062" s="3">
        <v>20110718</v>
      </c>
      <c r="K1062">
        <v>2011</v>
      </c>
      <c r="L1062">
        <v>5.5713200000000001</v>
      </c>
      <c r="M1062">
        <v>2.8650899999999999</v>
      </c>
      <c r="N1062">
        <v>8.6569999999999994E-2</v>
      </c>
      <c r="O1062">
        <v>0.1</v>
      </c>
      <c r="P1062">
        <v>2.4750000000000001E-2</v>
      </c>
      <c r="Q1062">
        <v>2.7499999999999998E-3</v>
      </c>
      <c r="R1062">
        <v>2.0070000000000001E-2</v>
      </c>
      <c r="S1062">
        <v>16.46612</v>
      </c>
      <c r="T1062">
        <v>5.4870000000000002E-2</v>
      </c>
      <c r="U1062">
        <v>1.3067599999999999</v>
      </c>
      <c r="V1062">
        <v>26.4983</v>
      </c>
      <c r="W1062" t="s">
        <v>16</v>
      </c>
      <c r="X1062">
        <v>76.39</v>
      </c>
      <c r="Y1062">
        <v>126.443</v>
      </c>
      <c r="Z1062">
        <v>1.1830000000000001</v>
      </c>
      <c r="AA1062">
        <v>2.222</v>
      </c>
      <c r="AB1062">
        <v>1.768</v>
      </c>
      <c r="AC1062">
        <v>0.25</v>
      </c>
      <c r="AD1062">
        <v>0.32900000000000001</v>
      </c>
      <c r="AE1062">
        <v>401.61799999999999</v>
      </c>
      <c r="AF1062">
        <v>0.59</v>
      </c>
      <c r="AG1062">
        <v>83.186000000000007</v>
      </c>
      <c r="AH1062">
        <v>693.97900000000004</v>
      </c>
      <c r="AI1062" t="s">
        <v>28</v>
      </c>
      <c r="AJ1062">
        <v>225</v>
      </c>
      <c r="AK1062">
        <v>265</v>
      </c>
      <c r="AL1062">
        <v>45</v>
      </c>
      <c r="AM1062">
        <v>80</v>
      </c>
      <c r="AN1062">
        <v>55</v>
      </c>
      <c r="AO1062">
        <v>5</v>
      </c>
      <c r="AP1062">
        <v>5</v>
      </c>
      <c r="AQ1062">
        <v>40</v>
      </c>
      <c r="AR1062">
        <v>35</v>
      </c>
      <c r="AS1062">
        <v>180</v>
      </c>
      <c r="AT1062">
        <v>935</v>
      </c>
      <c r="AU1062" t="s">
        <v>34</v>
      </c>
    </row>
    <row r="1063" spans="1:47" x14ac:dyDescent="0.2">
      <c r="A1063">
        <v>1551</v>
      </c>
      <c r="B1063" t="s">
        <v>574</v>
      </c>
      <c r="C1063">
        <v>26</v>
      </c>
      <c r="D1063" t="s">
        <v>389</v>
      </c>
      <c r="G1063" t="str">
        <f t="shared" si="16"/>
        <v>SWL201126SEC8</v>
      </c>
      <c r="H1063">
        <v>68.300516999999999</v>
      </c>
      <c r="I1063">
        <v>-166.94168300000001</v>
      </c>
      <c r="J1063" s="3">
        <v>20110718</v>
      </c>
      <c r="K1063">
        <v>2011</v>
      </c>
      <c r="L1063">
        <v>1.2142900000000001</v>
      </c>
      <c r="M1063">
        <v>6.2E-4</v>
      </c>
      <c r="N1063">
        <v>5.6759999999999998E-2</v>
      </c>
      <c r="O1063">
        <v>9.9000000000000008E-3</v>
      </c>
      <c r="P1063">
        <v>1.303E-2</v>
      </c>
      <c r="Q1063">
        <v>0</v>
      </c>
      <c r="R1063">
        <v>0</v>
      </c>
      <c r="S1063">
        <v>0.11693000000000001</v>
      </c>
      <c r="T1063">
        <v>2.5579999999999999E-2</v>
      </c>
      <c r="U1063">
        <v>4.2348299999999997</v>
      </c>
      <c r="V1063">
        <v>5.6719400000000002</v>
      </c>
      <c r="W1063" t="s">
        <v>18</v>
      </c>
      <c r="X1063">
        <v>16.542000000000002</v>
      </c>
      <c r="Y1063">
        <v>2.1999999999999999E-2</v>
      </c>
      <c r="Z1063">
        <v>0.83299999999999996</v>
      </c>
      <c r="AA1063">
        <v>0.22</v>
      </c>
      <c r="AB1063">
        <v>0.93100000000000005</v>
      </c>
      <c r="AC1063">
        <v>0</v>
      </c>
      <c r="AD1063">
        <v>0</v>
      </c>
      <c r="AE1063">
        <v>2.8519999999999999</v>
      </c>
      <c r="AF1063">
        <v>0.27500000000000002</v>
      </c>
      <c r="AG1063">
        <v>167.59299999999999</v>
      </c>
      <c r="AH1063">
        <v>189.268</v>
      </c>
      <c r="AI1063" t="s">
        <v>30</v>
      </c>
      <c r="AJ1063">
        <v>195</v>
      </c>
      <c r="AK1063">
        <v>20</v>
      </c>
      <c r="AL1063">
        <v>15</v>
      </c>
      <c r="AM1063">
        <v>10</v>
      </c>
      <c r="AN1063">
        <v>80</v>
      </c>
      <c r="AO1063">
        <v>0</v>
      </c>
      <c r="AP1063">
        <v>0</v>
      </c>
      <c r="AQ1063">
        <v>40</v>
      </c>
      <c r="AR1063">
        <v>10</v>
      </c>
      <c r="AS1063">
        <v>205</v>
      </c>
      <c r="AT1063">
        <v>575</v>
      </c>
      <c r="AU1063" t="s">
        <v>42</v>
      </c>
    </row>
    <row r="1064" spans="1:47" x14ac:dyDescent="0.2">
      <c r="A1064">
        <v>1552</v>
      </c>
      <c r="B1064" t="s">
        <v>574</v>
      </c>
      <c r="C1064">
        <v>28</v>
      </c>
      <c r="D1064" t="s">
        <v>381</v>
      </c>
      <c r="G1064" t="str">
        <f t="shared" si="16"/>
        <v>SWL201128BarC10</v>
      </c>
      <c r="H1064">
        <v>71.620017000000004</v>
      </c>
      <c r="I1064">
        <v>-157.93051700000001</v>
      </c>
      <c r="J1064" s="3">
        <v>20110720</v>
      </c>
      <c r="K1064">
        <v>2011</v>
      </c>
      <c r="L1064">
        <v>0.61236000000000002</v>
      </c>
      <c r="M1064">
        <v>1.1174599999999999</v>
      </c>
      <c r="N1064">
        <v>0.18809000000000001</v>
      </c>
      <c r="O1064">
        <v>9.4009999999999996E-2</v>
      </c>
      <c r="P1064">
        <v>0.30235000000000001</v>
      </c>
      <c r="Q1064">
        <v>0</v>
      </c>
      <c r="R1064">
        <v>6.1999999999999998E-3</v>
      </c>
      <c r="S1064">
        <v>0</v>
      </c>
      <c r="T1064">
        <v>4.2590000000000003E-2</v>
      </c>
      <c r="U1064">
        <v>0.48887999999999998</v>
      </c>
      <c r="V1064">
        <v>2.8519399999999999</v>
      </c>
      <c r="W1064" t="s">
        <v>10</v>
      </c>
      <c r="X1064">
        <v>8.6479999999999997</v>
      </c>
      <c r="Y1064">
        <v>30.477</v>
      </c>
      <c r="Z1064">
        <v>2.536</v>
      </c>
      <c r="AA1064">
        <v>2.089</v>
      </c>
      <c r="AB1064">
        <v>21.596</v>
      </c>
      <c r="AC1064">
        <v>0</v>
      </c>
      <c r="AD1064">
        <v>0.155</v>
      </c>
      <c r="AE1064">
        <v>0</v>
      </c>
      <c r="AF1064">
        <v>0.45800000000000002</v>
      </c>
      <c r="AG1064">
        <v>45.514000000000003</v>
      </c>
      <c r="AH1064">
        <v>111.473</v>
      </c>
      <c r="AI1064" t="s">
        <v>30</v>
      </c>
      <c r="AJ1064">
        <v>315</v>
      </c>
      <c r="AK1064">
        <v>1005</v>
      </c>
      <c r="AL1064">
        <v>110</v>
      </c>
      <c r="AM1064">
        <v>10</v>
      </c>
      <c r="AN1064">
        <v>15</v>
      </c>
      <c r="AO1064">
        <v>0</v>
      </c>
      <c r="AP1064">
        <v>0</v>
      </c>
      <c r="AQ1064">
        <v>0</v>
      </c>
      <c r="AR1064">
        <v>35</v>
      </c>
      <c r="AS1064">
        <v>60</v>
      </c>
      <c r="AT1064">
        <v>1550</v>
      </c>
      <c r="AU1064" t="s">
        <v>34</v>
      </c>
    </row>
    <row r="1065" spans="1:47" x14ac:dyDescent="0.2">
      <c r="A1065">
        <v>1553</v>
      </c>
      <c r="B1065" t="s">
        <v>574</v>
      </c>
      <c r="C1065">
        <v>29</v>
      </c>
      <c r="D1065" t="s">
        <v>380</v>
      </c>
      <c r="G1065" t="str">
        <f t="shared" si="16"/>
        <v>SWL201129BarC9</v>
      </c>
      <c r="H1065">
        <v>71.580233000000007</v>
      </c>
      <c r="I1065">
        <v>-157.84053299999999</v>
      </c>
      <c r="J1065" s="3">
        <v>20110720</v>
      </c>
      <c r="K1065">
        <v>2011</v>
      </c>
      <c r="L1065">
        <v>2.3833199999999999</v>
      </c>
      <c r="M1065">
        <v>1.09334</v>
      </c>
      <c r="N1065">
        <v>8.3500000000000005E-2</v>
      </c>
      <c r="O1065">
        <v>3.08318</v>
      </c>
      <c r="P1065">
        <v>0.71686000000000005</v>
      </c>
      <c r="Q1065">
        <v>0</v>
      </c>
      <c r="R1065">
        <v>0</v>
      </c>
      <c r="S1065">
        <v>0</v>
      </c>
      <c r="T1065">
        <v>8.4000000000000003E-4</v>
      </c>
      <c r="U1065">
        <v>0.30326999999999998</v>
      </c>
      <c r="V1065">
        <v>7.6643100000000004</v>
      </c>
      <c r="W1065" t="s">
        <v>12</v>
      </c>
      <c r="X1065">
        <v>33.445</v>
      </c>
      <c r="Y1065">
        <v>36.064</v>
      </c>
      <c r="Z1065">
        <v>1.0980000000000001</v>
      </c>
      <c r="AA1065">
        <v>68.515000000000001</v>
      </c>
      <c r="AB1065">
        <v>51.204000000000001</v>
      </c>
      <c r="AC1065">
        <v>0</v>
      </c>
      <c r="AD1065">
        <v>0</v>
      </c>
      <c r="AE1065">
        <v>0</v>
      </c>
      <c r="AF1065">
        <v>8.9999999999999993E-3</v>
      </c>
      <c r="AG1065">
        <v>27.018000000000001</v>
      </c>
      <c r="AH1065">
        <v>217.35300000000001</v>
      </c>
      <c r="AI1065" t="s">
        <v>24</v>
      </c>
      <c r="AJ1065">
        <v>390</v>
      </c>
      <c r="AK1065">
        <v>405</v>
      </c>
      <c r="AL1065">
        <v>170</v>
      </c>
      <c r="AM1065">
        <v>10</v>
      </c>
      <c r="AN1065">
        <v>20</v>
      </c>
      <c r="AO1065">
        <v>0</v>
      </c>
      <c r="AP1065">
        <v>0</v>
      </c>
      <c r="AQ1065">
        <v>0</v>
      </c>
      <c r="AR1065">
        <v>5</v>
      </c>
      <c r="AS1065">
        <v>90</v>
      </c>
      <c r="AT1065">
        <v>1090</v>
      </c>
      <c r="AU1065" t="s">
        <v>34</v>
      </c>
    </row>
    <row r="1066" spans="1:47" x14ac:dyDescent="0.2">
      <c r="A1066">
        <v>1554</v>
      </c>
      <c r="B1066" t="s">
        <v>574</v>
      </c>
      <c r="C1066">
        <v>3</v>
      </c>
      <c r="D1066" t="s">
        <v>552</v>
      </c>
      <c r="G1066" t="str">
        <f t="shared" si="16"/>
        <v>SWL20113SLIP2</v>
      </c>
      <c r="H1066">
        <v>62.049900000000001</v>
      </c>
      <c r="I1066">
        <v>-175.20993300000001</v>
      </c>
      <c r="J1066" s="3">
        <v>20110715</v>
      </c>
      <c r="K1066">
        <v>2011</v>
      </c>
      <c r="L1066">
        <v>8.7855299999999996</v>
      </c>
      <c r="M1066">
        <v>5.6352799999999998</v>
      </c>
      <c r="N1066">
        <v>0.14563000000000001</v>
      </c>
      <c r="O1066">
        <v>0.88790000000000002</v>
      </c>
      <c r="P1066">
        <v>0.35192000000000001</v>
      </c>
      <c r="Q1066">
        <v>0</v>
      </c>
      <c r="R1066">
        <v>1.2E-4</v>
      </c>
      <c r="S1066">
        <v>0.22342999999999999</v>
      </c>
      <c r="T1066">
        <v>0.39544000000000001</v>
      </c>
      <c r="U1066">
        <v>1.2149999999999999E-2</v>
      </c>
      <c r="V1066">
        <v>16.4374</v>
      </c>
      <c r="W1066" t="s">
        <v>9</v>
      </c>
      <c r="X1066">
        <v>127.678</v>
      </c>
      <c r="Y1066">
        <v>313.72199999999998</v>
      </c>
      <c r="Z1066">
        <v>1.8640000000000001</v>
      </c>
      <c r="AA1066">
        <v>19.731000000000002</v>
      </c>
      <c r="AB1066">
        <v>25.137</v>
      </c>
      <c r="AC1066">
        <v>0</v>
      </c>
      <c r="AD1066">
        <v>2E-3</v>
      </c>
      <c r="AE1066">
        <v>15.959</v>
      </c>
      <c r="AF1066">
        <v>4.2519999999999998</v>
      </c>
      <c r="AG1066">
        <v>0.27200000000000002</v>
      </c>
      <c r="AH1066">
        <v>508.61700000000002</v>
      </c>
      <c r="AI1066" t="s">
        <v>22</v>
      </c>
      <c r="AJ1066">
        <v>947.5</v>
      </c>
      <c r="AK1066">
        <v>130</v>
      </c>
      <c r="AL1066">
        <v>95</v>
      </c>
      <c r="AM1066">
        <v>12.5</v>
      </c>
      <c r="AN1066">
        <v>20</v>
      </c>
      <c r="AO1066">
        <v>0</v>
      </c>
      <c r="AP1066">
        <v>0</v>
      </c>
      <c r="AQ1066">
        <v>2.5</v>
      </c>
      <c r="AR1066">
        <v>17.5</v>
      </c>
      <c r="AS1066">
        <v>40</v>
      </c>
      <c r="AT1066">
        <v>1265</v>
      </c>
      <c r="AU1066" t="s">
        <v>33</v>
      </c>
    </row>
    <row r="1067" spans="1:47" x14ac:dyDescent="0.2">
      <c r="A1067">
        <v>1555</v>
      </c>
      <c r="B1067" t="s">
        <v>574</v>
      </c>
      <c r="C1067">
        <v>30</v>
      </c>
      <c r="D1067" t="s">
        <v>379</v>
      </c>
      <c r="G1067" t="str">
        <f t="shared" si="16"/>
        <v>SWL201130BarC8</v>
      </c>
      <c r="H1067">
        <v>71.540032999999994</v>
      </c>
      <c r="I1067">
        <v>-157.74891700000001</v>
      </c>
      <c r="J1067" s="3">
        <v>20110720</v>
      </c>
      <c r="K1067">
        <v>2011</v>
      </c>
      <c r="L1067">
        <v>1.4292</v>
      </c>
      <c r="M1067">
        <v>0.45079999999999998</v>
      </c>
      <c r="N1067">
        <v>0.28898000000000001</v>
      </c>
      <c r="O1067">
        <v>4.3272500000000003</v>
      </c>
      <c r="P1067">
        <v>0.25516</v>
      </c>
      <c r="Q1067">
        <v>0</v>
      </c>
      <c r="R1067">
        <v>0</v>
      </c>
      <c r="S1067">
        <v>0.20482</v>
      </c>
      <c r="T1067">
        <v>0.57752999999999999</v>
      </c>
      <c r="U1067">
        <v>6.4242800000000004</v>
      </c>
      <c r="V1067">
        <v>13.958019999999999</v>
      </c>
      <c r="W1067" t="s">
        <v>18</v>
      </c>
      <c r="X1067">
        <v>20.36</v>
      </c>
      <c r="Y1067">
        <v>15.092000000000001</v>
      </c>
      <c r="Z1067">
        <v>3.99</v>
      </c>
      <c r="AA1067">
        <v>96.161000000000001</v>
      </c>
      <c r="AB1067">
        <v>18.225999999999999</v>
      </c>
      <c r="AC1067">
        <v>0</v>
      </c>
      <c r="AD1067">
        <v>0</v>
      </c>
      <c r="AE1067">
        <v>14.63</v>
      </c>
      <c r="AF1067">
        <v>6.21</v>
      </c>
      <c r="AG1067">
        <v>127.39400000000001</v>
      </c>
      <c r="AH1067">
        <v>302.06299999999999</v>
      </c>
      <c r="AI1067" t="s">
        <v>30</v>
      </c>
      <c r="AJ1067">
        <v>795</v>
      </c>
      <c r="AK1067">
        <v>465</v>
      </c>
      <c r="AL1067">
        <v>205</v>
      </c>
      <c r="AM1067">
        <v>10</v>
      </c>
      <c r="AN1067">
        <v>35</v>
      </c>
      <c r="AO1067">
        <v>0</v>
      </c>
      <c r="AP1067">
        <v>0</v>
      </c>
      <c r="AQ1067">
        <v>5</v>
      </c>
      <c r="AR1067">
        <v>10</v>
      </c>
      <c r="AS1067">
        <v>180</v>
      </c>
      <c r="AT1067">
        <v>1705</v>
      </c>
      <c r="AU1067" t="s">
        <v>33</v>
      </c>
    </row>
    <row r="1068" spans="1:47" x14ac:dyDescent="0.2">
      <c r="A1068">
        <v>1556</v>
      </c>
      <c r="B1068" t="s">
        <v>574</v>
      </c>
      <c r="C1068">
        <v>31</v>
      </c>
      <c r="D1068" t="s">
        <v>377</v>
      </c>
      <c r="G1068" t="str">
        <f t="shared" si="16"/>
        <v>SWL201131BarC7</v>
      </c>
      <c r="H1068">
        <v>71.500433000000001</v>
      </c>
      <c r="I1068">
        <v>-157.660383</v>
      </c>
      <c r="J1068" s="3">
        <v>20110720</v>
      </c>
      <c r="K1068">
        <v>2011</v>
      </c>
      <c r="L1068">
        <v>12.98551</v>
      </c>
      <c r="M1068">
        <v>18.14836</v>
      </c>
      <c r="N1068">
        <v>4.6444400000000003</v>
      </c>
      <c r="O1068">
        <v>23.836459999999999</v>
      </c>
      <c r="P1068">
        <v>0.75814999999999999</v>
      </c>
      <c r="Q1068">
        <v>0</v>
      </c>
      <c r="R1068">
        <v>1.8360000000000001E-2</v>
      </c>
      <c r="S1068">
        <v>0</v>
      </c>
      <c r="T1068">
        <v>0.28914000000000001</v>
      </c>
      <c r="U1068">
        <v>0.48843999999999999</v>
      </c>
      <c r="V1068">
        <v>61.168860000000002</v>
      </c>
      <c r="W1068" t="s">
        <v>12</v>
      </c>
      <c r="X1068">
        <v>187.03899999999999</v>
      </c>
      <c r="Y1068">
        <v>658.44100000000003</v>
      </c>
      <c r="Z1068">
        <v>65.399000000000001</v>
      </c>
      <c r="AA1068">
        <v>529.69899999999996</v>
      </c>
      <c r="AB1068">
        <v>54.152999999999999</v>
      </c>
      <c r="AC1068">
        <v>0</v>
      </c>
      <c r="AD1068">
        <v>0.30099999999999999</v>
      </c>
      <c r="AE1068">
        <v>0</v>
      </c>
      <c r="AF1068">
        <v>3.109</v>
      </c>
      <c r="AG1068">
        <v>13.805</v>
      </c>
      <c r="AH1068">
        <v>1511.9459999999999</v>
      </c>
      <c r="AI1068" t="s">
        <v>22</v>
      </c>
      <c r="AJ1068">
        <v>9605</v>
      </c>
      <c r="AK1068">
        <v>580</v>
      </c>
      <c r="AL1068">
        <v>11935</v>
      </c>
      <c r="AM1068">
        <v>240</v>
      </c>
      <c r="AN1068">
        <v>160</v>
      </c>
      <c r="AO1068">
        <v>0</v>
      </c>
      <c r="AP1068">
        <v>10</v>
      </c>
      <c r="AQ1068">
        <v>0</v>
      </c>
      <c r="AR1068">
        <v>90</v>
      </c>
      <c r="AS1068">
        <v>85</v>
      </c>
      <c r="AT1068">
        <v>22705</v>
      </c>
      <c r="AU1068" t="s">
        <v>35</v>
      </c>
    </row>
    <row r="1069" spans="1:47" x14ac:dyDescent="0.2">
      <c r="A1069">
        <v>1557</v>
      </c>
      <c r="B1069" t="s">
        <v>574</v>
      </c>
      <c r="C1069">
        <v>32</v>
      </c>
      <c r="D1069" t="s">
        <v>376</v>
      </c>
      <c r="G1069" t="str">
        <f t="shared" si="16"/>
        <v>SWL201132BarC6</v>
      </c>
      <c r="H1069">
        <v>71.459532999999993</v>
      </c>
      <c r="I1069">
        <v>-157.58269999999999</v>
      </c>
      <c r="J1069" s="3">
        <v>20110720</v>
      </c>
      <c r="K1069">
        <v>2011</v>
      </c>
      <c r="L1069">
        <v>23.939029999999999</v>
      </c>
      <c r="M1069">
        <v>1.19676</v>
      </c>
      <c r="N1069">
        <v>8.4549500000000002</v>
      </c>
      <c r="O1069">
        <v>11.32921</v>
      </c>
      <c r="P1069">
        <v>1.70625</v>
      </c>
      <c r="Q1069">
        <v>0</v>
      </c>
      <c r="R1069">
        <v>1.15821</v>
      </c>
      <c r="S1069">
        <v>0.13433</v>
      </c>
      <c r="T1069">
        <v>5.561E-2</v>
      </c>
      <c r="U1069">
        <v>6.5159999999999996E-2</v>
      </c>
      <c r="V1069">
        <v>48.03951</v>
      </c>
      <c r="W1069" t="s">
        <v>9</v>
      </c>
      <c r="X1069">
        <v>337.75599999999997</v>
      </c>
      <c r="Y1069">
        <v>62.430999999999997</v>
      </c>
      <c r="Z1069">
        <v>118.392</v>
      </c>
      <c r="AA1069">
        <v>251.76</v>
      </c>
      <c r="AB1069">
        <v>121.875</v>
      </c>
      <c r="AC1069">
        <v>0</v>
      </c>
      <c r="AD1069">
        <v>19.027000000000001</v>
      </c>
      <c r="AE1069">
        <v>9.5950000000000006</v>
      </c>
      <c r="AF1069">
        <v>0.59799999999999998</v>
      </c>
      <c r="AG1069">
        <v>1.5649999999999999</v>
      </c>
      <c r="AH1069">
        <v>922.99900000000002</v>
      </c>
      <c r="AI1069" t="s">
        <v>21</v>
      </c>
      <c r="AJ1069">
        <v>13870</v>
      </c>
      <c r="AK1069">
        <v>335</v>
      </c>
      <c r="AL1069">
        <v>22835</v>
      </c>
      <c r="AM1069">
        <v>150</v>
      </c>
      <c r="AN1069">
        <v>250</v>
      </c>
      <c r="AO1069">
        <v>0</v>
      </c>
      <c r="AP1069">
        <v>10</v>
      </c>
      <c r="AQ1069">
        <v>5</v>
      </c>
      <c r="AR1069">
        <v>115</v>
      </c>
      <c r="AS1069">
        <v>180</v>
      </c>
      <c r="AT1069">
        <v>37750</v>
      </c>
      <c r="AU1069" t="s">
        <v>35</v>
      </c>
    </row>
    <row r="1070" spans="1:47" x14ac:dyDescent="0.2">
      <c r="A1070">
        <v>1558</v>
      </c>
      <c r="B1070" t="s">
        <v>574</v>
      </c>
      <c r="C1070">
        <v>33</v>
      </c>
      <c r="D1070" t="s">
        <v>375</v>
      </c>
      <c r="G1070" t="str">
        <f t="shared" si="16"/>
        <v>SWL201133BarC5</v>
      </c>
      <c r="H1070">
        <v>71.410083</v>
      </c>
      <c r="I1070">
        <v>-157.48820000000001</v>
      </c>
      <c r="J1070" s="3">
        <v>20110720</v>
      </c>
      <c r="K1070">
        <v>2011</v>
      </c>
      <c r="L1070">
        <v>22.534379999999999</v>
      </c>
      <c r="M1070">
        <v>4.3169700000000004</v>
      </c>
      <c r="N1070">
        <v>2.9369000000000001</v>
      </c>
      <c r="O1070">
        <v>0.75131999999999999</v>
      </c>
      <c r="P1070">
        <v>1.4365699999999999</v>
      </c>
      <c r="Q1070">
        <v>0</v>
      </c>
      <c r="R1070">
        <v>0</v>
      </c>
      <c r="S1070">
        <v>1.5362100000000001</v>
      </c>
      <c r="T1070">
        <v>0.88768999999999998</v>
      </c>
      <c r="U1070">
        <v>10.1381</v>
      </c>
      <c r="V1070">
        <v>44.538139999999999</v>
      </c>
      <c r="W1070" t="s">
        <v>9</v>
      </c>
      <c r="X1070">
        <v>332.709</v>
      </c>
      <c r="Y1070">
        <v>128.405</v>
      </c>
      <c r="Z1070">
        <v>37.567999999999998</v>
      </c>
      <c r="AA1070">
        <v>16.696000000000002</v>
      </c>
      <c r="AB1070">
        <v>102.61199999999999</v>
      </c>
      <c r="AC1070">
        <v>0</v>
      </c>
      <c r="AD1070">
        <v>0</v>
      </c>
      <c r="AE1070">
        <v>50.720999999999997</v>
      </c>
      <c r="AF1070">
        <v>9.5449999999999999</v>
      </c>
      <c r="AG1070">
        <v>671.79200000000003</v>
      </c>
      <c r="AH1070">
        <v>1350.048</v>
      </c>
      <c r="AI1070" t="s">
        <v>30</v>
      </c>
      <c r="AJ1070">
        <v>5130</v>
      </c>
      <c r="AK1070">
        <v>1342.5</v>
      </c>
      <c r="AL1070">
        <v>14662.5</v>
      </c>
      <c r="AM1070">
        <v>167.5</v>
      </c>
      <c r="AN1070">
        <v>230</v>
      </c>
      <c r="AO1070">
        <v>0</v>
      </c>
      <c r="AP1070">
        <v>0</v>
      </c>
      <c r="AQ1070">
        <v>27.5</v>
      </c>
      <c r="AR1070">
        <v>125</v>
      </c>
      <c r="AS1070">
        <v>580</v>
      </c>
      <c r="AT1070">
        <v>22265</v>
      </c>
      <c r="AU1070" t="s">
        <v>35</v>
      </c>
    </row>
    <row r="1071" spans="1:47" x14ac:dyDescent="0.2">
      <c r="A1071">
        <v>1559</v>
      </c>
      <c r="B1071" t="s">
        <v>574</v>
      </c>
      <c r="C1071">
        <v>34</v>
      </c>
      <c r="D1071" t="s">
        <v>374</v>
      </c>
      <c r="G1071" t="str">
        <f t="shared" si="16"/>
        <v>SWL201134BarC4</v>
      </c>
      <c r="H1071">
        <v>71.369917000000001</v>
      </c>
      <c r="I1071">
        <v>-157.418983</v>
      </c>
      <c r="J1071" s="3">
        <v>20110720</v>
      </c>
      <c r="K1071">
        <v>2011</v>
      </c>
      <c r="L1071">
        <v>2.8808400000000001</v>
      </c>
      <c r="M1071">
        <v>2.0682499999999999</v>
      </c>
      <c r="N1071">
        <v>0.86797000000000002</v>
      </c>
      <c r="O1071">
        <v>0.16281000000000001</v>
      </c>
      <c r="P1071">
        <v>0.31984000000000001</v>
      </c>
      <c r="Q1071">
        <v>0</v>
      </c>
      <c r="R1071">
        <v>1.7080000000000001E-2</v>
      </c>
      <c r="S1071">
        <v>0.72902</v>
      </c>
      <c r="T1071">
        <v>2.8369999999999999E-2</v>
      </c>
      <c r="U1071">
        <v>21.07582</v>
      </c>
      <c r="V1071">
        <v>28.15</v>
      </c>
      <c r="W1071" t="s">
        <v>18</v>
      </c>
      <c r="X1071">
        <v>38.204999999999998</v>
      </c>
      <c r="Y1071">
        <v>73.683999999999997</v>
      </c>
      <c r="Z1071">
        <v>11.701000000000001</v>
      </c>
      <c r="AA1071">
        <v>3.6179999999999999</v>
      </c>
      <c r="AB1071">
        <v>22.846</v>
      </c>
      <c r="AC1071">
        <v>0</v>
      </c>
      <c r="AD1071">
        <v>0.28000000000000003</v>
      </c>
      <c r="AE1071">
        <v>52.073</v>
      </c>
      <c r="AF1071">
        <v>0.30499999999999999</v>
      </c>
      <c r="AG1071">
        <v>1004.265</v>
      </c>
      <c r="AH1071">
        <v>1206.9770000000001</v>
      </c>
      <c r="AI1071" t="s">
        <v>30</v>
      </c>
      <c r="AJ1071">
        <v>1475</v>
      </c>
      <c r="AK1071">
        <v>1600</v>
      </c>
      <c r="AL1071">
        <v>6665</v>
      </c>
      <c r="AM1071">
        <v>105</v>
      </c>
      <c r="AN1071">
        <v>20</v>
      </c>
      <c r="AO1071">
        <v>0</v>
      </c>
      <c r="AP1071">
        <v>0</v>
      </c>
      <c r="AQ1071">
        <v>5</v>
      </c>
      <c r="AR1071">
        <v>50</v>
      </c>
      <c r="AS1071">
        <v>75</v>
      </c>
      <c r="AT1071">
        <v>9995</v>
      </c>
      <c r="AU1071" t="s">
        <v>35</v>
      </c>
    </row>
    <row r="1072" spans="1:47" x14ac:dyDescent="0.2">
      <c r="A1072">
        <v>1560</v>
      </c>
      <c r="B1072" t="s">
        <v>574</v>
      </c>
      <c r="C1072">
        <v>35</v>
      </c>
      <c r="D1072" t="s">
        <v>373</v>
      </c>
      <c r="G1072" t="str">
        <f t="shared" si="16"/>
        <v>SWL201135BarC3</v>
      </c>
      <c r="H1072">
        <v>71.330316999999994</v>
      </c>
      <c r="I1072">
        <v>-157.32881699999999</v>
      </c>
      <c r="J1072" s="3">
        <v>20110720</v>
      </c>
      <c r="K1072">
        <v>2011</v>
      </c>
      <c r="L1072">
        <v>0.83284999999999998</v>
      </c>
      <c r="M1072">
        <v>2.0056799999999999</v>
      </c>
      <c r="N1072">
        <v>0.54057999999999995</v>
      </c>
      <c r="O1072">
        <v>0</v>
      </c>
      <c r="P1072">
        <v>3.1E-4</v>
      </c>
      <c r="Q1072">
        <v>0</v>
      </c>
      <c r="R1072">
        <v>0</v>
      </c>
      <c r="S1072">
        <v>0.90508</v>
      </c>
      <c r="T1072">
        <v>5.3E-3</v>
      </c>
      <c r="U1072">
        <v>4.4153700000000002</v>
      </c>
      <c r="V1072">
        <v>8.7051700000000007</v>
      </c>
      <c r="W1072" t="s">
        <v>18</v>
      </c>
      <c r="X1072">
        <v>12.722</v>
      </c>
      <c r="Y1072">
        <v>133.00399999999999</v>
      </c>
      <c r="Z1072">
        <v>7.125</v>
      </c>
      <c r="AA1072">
        <v>0</v>
      </c>
      <c r="AB1072">
        <v>2.1999999999999999E-2</v>
      </c>
      <c r="AC1072">
        <v>0</v>
      </c>
      <c r="AD1072">
        <v>0</v>
      </c>
      <c r="AE1072">
        <v>22.074999999999999</v>
      </c>
      <c r="AF1072">
        <v>5.7000000000000002E-2</v>
      </c>
      <c r="AG1072">
        <v>216.35599999999999</v>
      </c>
      <c r="AH1072">
        <v>391.36099999999999</v>
      </c>
      <c r="AI1072" t="s">
        <v>30</v>
      </c>
      <c r="AJ1072">
        <v>120</v>
      </c>
      <c r="AK1072">
        <v>105</v>
      </c>
      <c r="AL1072">
        <v>1090</v>
      </c>
      <c r="AM1072">
        <v>0</v>
      </c>
      <c r="AN1072">
        <v>20</v>
      </c>
      <c r="AO1072">
        <v>0</v>
      </c>
      <c r="AP1072">
        <v>0</v>
      </c>
      <c r="AQ1072">
        <v>10</v>
      </c>
      <c r="AR1072">
        <v>15</v>
      </c>
      <c r="AS1072">
        <v>1270</v>
      </c>
      <c r="AT1072">
        <v>2630</v>
      </c>
      <c r="AU1072" t="s">
        <v>42</v>
      </c>
    </row>
    <row r="1073" spans="1:47" x14ac:dyDescent="0.2">
      <c r="A1073">
        <v>1561</v>
      </c>
      <c r="B1073" t="s">
        <v>574</v>
      </c>
      <c r="C1073">
        <v>36</v>
      </c>
      <c r="D1073" t="s">
        <v>372</v>
      </c>
      <c r="G1073" t="str">
        <f t="shared" si="16"/>
        <v>SWL201136BarC2</v>
      </c>
      <c r="H1073">
        <v>71.290367000000003</v>
      </c>
      <c r="I1073">
        <v>-157.24760000000001</v>
      </c>
      <c r="J1073" s="3">
        <v>20110720</v>
      </c>
      <c r="K1073">
        <v>2011</v>
      </c>
      <c r="L1073">
        <v>3.7035900000000002</v>
      </c>
      <c r="M1073">
        <v>2.4261900000000001</v>
      </c>
      <c r="N1073">
        <v>2.2702200000000001</v>
      </c>
      <c r="O1073">
        <v>4.9590000000000002E-2</v>
      </c>
      <c r="P1073">
        <v>4.4999999999999999E-4</v>
      </c>
      <c r="Q1073">
        <v>0</v>
      </c>
      <c r="R1073">
        <v>0.19916</v>
      </c>
      <c r="S1073">
        <v>1.8515600000000001</v>
      </c>
      <c r="T1073">
        <v>2.14E-3</v>
      </c>
      <c r="U1073">
        <v>4.7748799999999996</v>
      </c>
      <c r="V1073">
        <v>15.27778</v>
      </c>
      <c r="W1073" t="s">
        <v>18</v>
      </c>
      <c r="X1073">
        <v>52.319000000000003</v>
      </c>
      <c r="Y1073">
        <v>153.387</v>
      </c>
      <c r="Z1073">
        <v>32.351999999999997</v>
      </c>
      <c r="AA1073">
        <v>1.1020000000000001</v>
      </c>
      <c r="AB1073">
        <v>3.2000000000000001E-2</v>
      </c>
      <c r="AC1073">
        <v>0</v>
      </c>
      <c r="AD1073">
        <v>3.2650000000000001</v>
      </c>
      <c r="AE1073">
        <v>45.16</v>
      </c>
      <c r="AF1073">
        <v>2.3E-2</v>
      </c>
      <c r="AG1073">
        <v>136.91399999999999</v>
      </c>
      <c r="AH1073">
        <v>424.55399999999997</v>
      </c>
      <c r="AI1073" t="s">
        <v>22</v>
      </c>
      <c r="AJ1073">
        <v>900</v>
      </c>
      <c r="AK1073">
        <v>100</v>
      </c>
      <c r="AL1073">
        <v>1900</v>
      </c>
      <c r="AM1073">
        <v>35</v>
      </c>
      <c r="AN1073">
        <v>0</v>
      </c>
      <c r="AO1073">
        <v>0</v>
      </c>
      <c r="AP1073">
        <v>5</v>
      </c>
      <c r="AQ1073">
        <v>10</v>
      </c>
      <c r="AR1073">
        <v>10</v>
      </c>
      <c r="AS1073">
        <v>60</v>
      </c>
      <c r="AT1073">
        <v>3020</v>
      </c>
      <c r="AU1073" t="s">
        <v>35</v>
      </c>
    </row>
    <row r="1074" spans="1:47" x14ac:dyDescent="0.2">
      <c r="A1074">
        <v>1562</v>
      </c>
      <c r="B1074" t="s">
        <v>574</v>
      </c>
      <c r="C1074">
        <v>37</v>
      </c>
      <c r="D1074" t="s">
        <v>371</v>
      </c>
      <c r="G1074" t="str">
        <f t="shared" si="16"/>
        <v>SWL201137BarC1</v>
      </c>
      <c r="H1074">
        <v>71.250366999999997</v>
      </c>
      <c r="I1074">
        <v>-157.16929999999999</v>
      </c>
      <c r="J1074" s="3">
        <v>20110720</v>
      </c>
      <c r="K1074">
        <v>2011</v>
      </c>
      <c r="L1074">
        <v>3.73054</v>
      </c>
      <c r="M1074">
        <v>0.80942999999999998</v>
      </c>
      <c r="N1074">
        <v>8.6080799999999993</v>
      </c>
      <c r="O1074">
        <v>0.17118</v>
      </c>
      <c r="P1074">
        <v>5.9999999999999995E-4</v>
      </c>
      <c r="Q1074">
        <v>0</v>
      </c>
      <c r="R1074">
        <v>0.55913000000000002</v>
      </c>
      <c r="S1074">
        <v>8.1570000000000004E-2</v>
      </c>
      <c r="T1074">
        <v>7.7380000000000004E-2</v>
      </c>
      <c r="U1074">
        <v>6.4250499999999997</v>
      </c>
      <c r="V1074">
        <v>20.462959999999999</v>
      </c>
      <c r="W1074" t="s">
        <v>11</v>
      </c>
      <c r="X1074">
        <v>52.853000000000002</v>
      </c>
      <c r="Y1074">
        <v>35.668999999999997</v>
      </c>
      <c r="Z1074">
        <v>122.53100000000001</v>
      </c>
      <c r="AA1074">
        <v>3.8039999999999998</v>
      </c>
      <c r="AB1074">
        <v>4.2999999999999997E-2</v>
      </c>
      <c r="AC1074">
        <v>0</v>
      </c>
      <c r="AD1074">
        <v>9.1660000000000004</v>
      </c>
      <c r="AE1074">
        <v>5.8259999999999996</v>
      </c>
      <c r="AF1074">
        <v>0.83199999999999996</v>
      </c>
      <c r="AG1074">
        <v>275.35700000000003</v>
      </c>
      <c r="AH1074">
        <v>506.08100000000002</v>
      </c>
      <c r="AI1074" t="s">
        <v>30</v>
      </c>
      <c r="AJ1074">
        <v>2980</v>
      </c>
      <c r="AK1074">
        <v>2145</v>
      </c>
      <c r="AL1074">
        <v>10870</v>
      </c>
      <c r="AM1074">
        <v>110</v>
      </c>
      <c r="AN1074">
        <v>15</v>
      </c>
      <c r="AO1074">
        <v>0</v>
      </c>
      <c r="AP1074">
        <v>35</v>
      </c>
      <c r="AQ1074">
        <v>10</v>
      </c>
      <c r="AR1074">
        <v>230</v>
      </c>
      <c r="AS1074">
        <v>40</v>
      </c>
      <c r="AT1074">
        <v>16435</v>
      </c>
      <c r="AU1074" t="s">
        <v>35</v>
      </c>
    </row>
    <row r="1075" spans="1:47" x14ac:dyDescent="0.2">
      <c r="A1075">
        <v>1563</v>
      </c>
      <c r="B1075" t="s">
        <v>574</v>
      </c>
      <c r="C1075">
        <v>4</v>
      </c>
      <c r="D1075" t="s">
        <v>553</v>
      </c>
      <c r="G1075" t="str">
        <f t="shared" si="16"/>
        <v>SWL20114SLIP3</v>
      </c>
      <c r="H1075">
        <v>62.390033000000003</v>
      </c>
      <c r="I1075">
        <v>-174.57028299999999</v>
      </c>
      <c r="J1075" s="3">
        <v>20110715</v>
      </c>
      <c r="K1075">
        <v>2011</v>
      </c>
      <c r="L1075">
        <v>5.7245600000000003</v>
      </c>
      <c r="M1075">
        <v>1.83369</v>
      </c>
      <c r="N1075">
        <v>0.50424000000000002</v>
      </c>
      <c r="O1075">
        <v>1.31E-3</v>
      </c>
      <c r="P1075">
        <v>0.40955999999999998</v>
      </c>
      <c r="Q1075">
        <v>0</v>
      </c>
      <c r="R1075">
        <v>2.2599999999999999E-3</v>
      </c>
      <c r="S1075">
        <v>0.28437000000000001</v>
      </c>
      <c r="T1075">
        <v>1.4799100000000001</v>
      </c>
      <c r="U1075">
        <v>0.27517999999999998</v>
      </c>
      <c r="V1075">
        <v>10.515079999999999</v>
      </c>
      <c r="W1075" t="s">
        <v>9</v>
      </c>
      <c r="X1075">
        <v>81.242999999999995</v>
      </c>
      <c r="Y1075">
        <v>56.353000000000002</v>
      </c>
      <c r="Z1075">
        <v>6.17</v>
      </c>
      <c r="AA1075">
        <v>2.9000000000000001E-2</v>
      </c>
      <c r="AB1075">
        <v>29.254000000000001</v>
      </c>
      <c r="AC1075">
        <v>0</v>
      </c>
      <c r="AD1075">
        <v>3.6999999999999998E-2</v>
      </c>
      <c r="AE1075">
        <v>20.312000000000001</v>
      </c>
      <c r="AF1075">
        <v>15.913</v>
      </c>
      <c r="AG1075">
        <v>10.804</v>
      </c>
      <c r="AH1075">
        <v>220.11500000000001</v>
      </c>
      <c r="AI1075" t="s">
        <v>21</v>
      </c>
      <c r="AJ1075">
        <v>1340</v>
      </c>
      <c r="AK1075">
        <v>187.5</v>
      </c>
      <c r="AL1075">
        <v>385</v>
      </c>
      <c r="AM1075">
        <v>5</v>
      </c>
      <c r="AN1075">
        <v>27.5</v>
      </c>
      <c r="AO1075">
        <v>0</v>
      </c>
      <c r="AP1075">
        <v>2.5</v>
      </c>
      <c r="AQ1075">
        <v>5</v>
      </c>
      <c r="AR1075">
        <v>25</v>
      </c>
      <c r="AS1075">
        <v>82.5</v>
      </c>
      <c r="AT1075">
        <v>2060</v>
      </c>
      <c r="AU1075" t="s">
        <v>33</v>
      </c>
    </row>
    <row r="1076" spans="1:47" x14ac:dyDescent="0.2">
      <c r="A1076">
        <v>1564</v>
      </c>
      <c r="B1076" t="s">
        <v>574</v>
      </c>
      <c r="C1076">
        <v>5</v>
      </c>
      <c r="D1076" t="s">
        <v>554</v>
      </c>
      <c r="G1076" t="str">
        <f t="shared" si="16"/>
        <v>SWL20115SLIP5</v>
      </c>
      <c r="H1076">
        <v>62.560066999999997</v>
      </c>
      <c r="I1076">
        <v>-173.551267</v>
      </c>
      <c r="J1076" s="3">
        <v>20110715</v>
      </c>
      <c r="K1076">
        <v>2011</v>
      </c>
      <c r="L1076">
        <v>2.74675</v>
      </c>
      <c r="M1076">
        <v>13.244770000000001</v>
      </c>
      <c r="N1076">
        <v>0.77171999999999996</v>
      </c>
      <c r="O1076">
        <v>3.5999999999999999E-3</v>
      </c>
      <c r="P1076">
        <v>0.84809000000000001</v>
      </c>
      <c r="Q1076">
        <v>0</v>
      </c>
      <c r="R1076">
        <v>3.6999999999999999E-4</v>
      </c>
      <c r="S1076">
        <v>0</v>
      </c>
      <c r="T1076">
        <v>0.73990999999999996</v>
      </c>
      <c r="U1076">
        <v>9.6500000000000006E-3</v>
      </c>
      <c r="V1076">
        <v>18.36486</v>
      </c>
      <c r="W1076" t="s">
        <v>10</v>
      </c>
      <c r="X1076">
        <v>43.225999999999999</v>
      </c>
      <c r="Y1076">
        <v>419.69</v>
      </c>
      <c r="Z1076">
        <v>9.8689999999999998</v>
      </c>
      <c r="AA1076">
        <v>0.08</v>
      </c>
      <c r="AB1076">
        <v>60.578000000000003</v>
      </c>
      <c r="AC1076">
        <v>0</v>
      </c>
      <c r="AD1076">
        <v>6.0000000000000001E-3</v>
      </c>
      <c r="AE1076">
        <v>0</v>
      </c>
      <c r="AF1076">
        <v>7.9560000000000004</v>
      </c>
      <c r="AG1076">
        <v>0.21</v>
      </c>
      <c r="AH1076">
        <v>541.61500000000001</v>
      </c>
      <c r="AI1076" t="s">
        <v>22</v>
      </c>
      <c r="AJ1076">
        <v>592.5</v>
      </c>
      <c r="AK1076">
        <v>662.5</v>
      </c>
      <c r="AL1076">
        <v>360</v>
      </c>
      <c r="AM1076">
        <v>2.5</v>
      </c>
      <c r="AN1076">
        <v>22.5</v>
      </c>
      <c r="AO1076">
        <v>0</v>
      </c>
      <c r="AP1076">
        <v>0</v>
      </c>
      <c r="AQ1076">
        <v>0</v>
      </c>
      <c r="AR1076">
        <v>15</v>
      </c>
      <c r="AS1076">
        <v>37.5</v>
      </c>
      <c r="AT1076">
        <v>1692.5</v>
      </c>
      <c r="AU1076" t="s">
        <v>34</v>
      </c>
    </row>
    <row r="1077" spans="1:47" x14ac:dyDescent="0.2">
      <c r="A1077">
        <v>1565</v>
      </c>
      <c r="B1077" t="s">
        <v>574</v>
      </c>
      <c r="C1077">
        <v>6</v>
      </c>
      <c r="D1077" t="s">
        <v>555</v>
      </c>
      <c r="G1077" t="str">
        <f t="shared" si="16"/>
        <v>SWL20116SLIP4</v>
      </c>
      <c r="H1077">
        <v>63.029966999999999</v>
      </c>
      <c r="I1077">
        <v>-173.46006700000001</v>
      </c>
      <c r="J1077" s="3">
        <v>20110715</v>
      </c>
      <c r="K1077">
        <v>2011</v>
      </c>
      <c r="L1077">
        <v>1.97604</v>
      </c>
      <c r="M1077">
        <v>26.27214</v>
      </c>
      <c r="N1077">
        <v>0.84631000000000001</v>
      </c>
      <c r="O1077">
        <v>0</v>
      </c>
      <c r="P1077">
        <v>0.42959000000000003</v>
      </c>
      <c r="Q1077">
        <v>0</v>
      </c>
      <c r="R1077">
        <v>1.5299999999999999E-3</v>
      </c>
      <c r="S1077">
        <v>0</v>
      </c>
      <c r="T1077">
        <v>0.58199000000000001</v>
      </c>
      <c r="U1077">
        <v>0.15003</v>
      </c>
      <c r="V1077">
        <v>30.257629999999999</v>
      </c>
      <c r="W1077" t="s">
        <v>10</v>
      </c>
      <c r="X1077">
        <v>32.793999999999997</v>
      </c>
      <c r="Y1077">
        <v>821.25300000000004</v>
      </c>
      <c r="Z1077">
        <v>10.396000000000001</v>
      </c>
      <c r="AA1077">
        <v>0</v>
      </c>
      <c r="AB1077">
        <v>30.684999999999999</v>
      </c>
      <c r="AC1077">
        <v>0</v>
      </c>
      <c r="AD1077">
        <v>2.5000000000000001E-2</v>
      </c>
      <c r="AE1077">
        <v>0</v>
      </c>
      <c r="AF1077">
        <v>6.258</v>
      </c>
      <c r="AG1077">
        <v>3.3580000000000001</v>
      </c>
      <c r="AH1077">
        <v>904.76900000000001</v>
      </c>
      <c r="AI1077" t="s">
        <v>22</v>
      </c>
      <c r="AJ1077">
        <v>892.5</v>
      </c>
      <c r="AK1077">
        <v>1472.5</v>
      </c>
      <c r="AL1077">
        <v>885</v>
      </c>
      <c r="AM1077">
        <v>0</v>
      </c>
      <c r="AN1077">
        <v>17.5</v>
      </c>
      <c r="AO1077">
        <v>0</v>
      </c>
      <c r="AP1077">
        <v>0</v>
      </c>
      <c r="AQ1077">
        <v>0</v>
      </c>
      <c r="AR1077">
        <v>50</v>
      </c>
      <c r="AS1077">
        <v>232.5</v>
      </c>
      <c r="AT1077">
        <v>3550</v>
      </c>
      <c r="AU1077" t="s">
        <v>34</v>
      </c>
    </row>
    <row r="1078" spans="1:47" x14ac:dyDescent="0.2">
      <c r="A1078">
        <v>1566</v>
      </c>
      <c r="B1078" t="s">
        <v>574</v>
      </c>
      <c r="C1078">
        <v>8</v>
      </c>
      <c r="D1078" t="s">
        <v>556</v>
      </c>
      <c r="G1078" t="str">
        <f t="shared" si="16"/>
        <v>SWL20118UTBS5</v>
      </c>
      <c r="H1078">
        <v>64.669832999999997</v>
      </c>
      <c r="I1078">
        <v>-169.92028300000001</v>
      </c>
      <c r="J1078" s="3">
        <v>20110716</v>
      </c>
      <c r="K1078">
        <v>2011</v>
      </c>
      <c r="L1078">
        <v>15.669169999999999</v>
      </c>
      <c r="M1078">
        <v>6.1754600000000002</v>
      </c>
      <c r="N1078">
        <v>0.22799</v>
      </c>
      <c r="O1078">
        <v>2.777E-2</v>
      </c>
      <c r="P1078">
        <v>0</v>
      </c>
      <c r="Q1078">
        <v>0</v>
      </c>
      <c r="R1078">
        <v>3.8980000000000001E-2</v>
      </c>
      <c r="S1078">
        <v>1.2400500000000001</v>
      </c>
      <c r="T1078">
        <v>3.6999999999999999E-4</v>
      </c>
      <c r="U1078">
        <v>0.12082</v>
      </c>
      <c r="V1078">
        <v>23.500610000000002</v>
      </c>
      <c r="W1078" t="s">
        <v>9</v>
      </c>
      <c r="X1078">
        <v>226.40700000000001</v>
      </c>
      <c r="Y1078">
        <v>175.93100000000001</v>
      </c>
      <c r="Z1078">
        <v>3.222</v>
      </c>
      <c r="AA1078">
        <v>0.61699999999999999</v>
      </c>
      <c r="AB1078">
        <v>0</v>
      </c>
      <c r="AC1078">
        <v>0</v>
      </c>
      <c r="AD1078">
        <v>0.63900000000000001</v>
      </c>
      <c r="AE1078">
        <v>37.526000000000003</v>
      </c>
      <c r="AF1078">
        <v>4.0000000000000001E-3</v>
      </c>
      <c r="AG1078">
        <v>12.05</v>
      </c>
      <c r="AH1078">
        <v>456.39600000000002</v>
      </c>
      <c r="AI1078" t="s">
        <v>21</v>
      </c>
      <c r="AJ1078">
        <v>1197.5</v>
      </c>
      <c r="AK1078">
        <v>365</v>
      </c>
      <c r="AL1078">
        <v>1412.5</v>
      </c>
      <c r="AM1078">
        <v>27.5</v>
      </c>
      <c r="AN1078">
        <v>0</v>
      </c>
      <c r="AO1078">
        <v>0</v>
      </c>
      <c r="AP1078">
        <v>0</v>
      </c>
      <c r="AQ1078">
        <v>7.5</v>
      </c>
      <c r="AR1078">
        <v>5</v>
      </c>
      <c r="AS1078">
        <v>10</v>
      </c>
      <c r="AT1078">
        <v>3025</v>
      </c>
      <c r="AU1078" t="s">
        <v>35</v>
      </c>
    </row>
    <row r="1079" spans="1:47" x14ac:dyDescent="0.2">
      <c r="A1079">
        <v>1567</v>
      </c>
      <c r="B1079" t="s">
        <v>574</v>
      </c>
      <c r="C1079">
        <v>9</v>
      </c>
      <c r="D1079" t="s">
        <v>179</v>
      </c>
      <c r="G1079" t="str">
        <f t="shared" si="16"/>
        <v>SWL20119UTBS1</v>
      </c>
      <c r="H1079">
        <v>64.990382999999994</v>
      </c>
      <c r="I1079">
        <v>-169.13888299999999</v>
      </c>
      <c r="J1079" s="3">
        <v>20110716</v>
      </c>
      <c r="K1079">
        <v>2011</v>
      </c>
      <c r="L1079">
        <v>9.2572700000000001</v>
      </c>
      <c r="M1079">
        <v>7.0635899999999996</v>
      </c>
      <c r="N1079">
        <v>14.681229999999999</v>
      </c>
      <c r="O1079">
        <v>0</v>
      </c>
      <c r="P1079">
        <v>0</v>
      </c>
      <c r="Q1079">
        <v>0</v>
      </c>
      <c r="R1079">
        <v>0</v>
      </c>
      <c r="S1079">
        <v>0.15706999999999999</v>
      </c>
      <c r="T1079">
        <v>0.13736000000000001</v>
      </c>
      <c r="U1079">
        <v>0</v>
      </c>
      <c r="V1079">
        <v>31.296520000000001</v>
      </c>
      <c r="W1079" t="s">
        <v>11</v>
      </c>
      <c r="X1079">
        <v>128.37899999999999</v>
      </c>
      <c r="Y1079">
        <v>246.74799999999999</v>
      </c>
      <c r="Z1079">
        <v>214.691</v>
      </c>
      <c r="AA1079">
        <v>0</v>
      </c>
      <c r="AB1079">
        <v>0</v>
      </c>
      <c r="AC1079">
        <v>0</v>
      </c>
      <c r="AD1079">
        <v>0</v>
      </c>
      <c r="AE1079">
        <v>11.218999999999999</v>
      </c>
      <c r="AF1079">
        <v>1.4770000000000001</v>
      </c>
      <c r="AG1079">
        <v>0</v>
      </c>
      <c r="AH1079">
        <v>602.51400000000001</v>
      </c>
      <c r="AI1079" t="s">
        <v>22</v>
      </c>
      <c r="AJ1079">
        <v>782.5</v>
      </c>
      <c r="AK1079">
        <v>785</v>
      </c>
      <c r="AL1079">
        <v>19445</v>
      </c>
      <c r="AM1079">
        <v>0</v>
      </c>
      <c r="AN1079">
        <v>0</v>
      </c>
      <c r="AO1079">
        <v>0</v>
      </c>
      <c r="AP1079">
        <v>0</v>
      </c>
      <c r="AQ1079">
        <v>5</v>
      </c>
      <c r="AR1079">
        <v>102.5</v>
      </c>
      <c r="AS1079">
        <v>0</v>
      </c>
      <c r="AT1079">
        <v>21120</v>
      </c>
      <c r="AU1079" t="s">
        <v>35</v>
      </c>
    </row>
    <row r="1080" spans="1:47" x14ac:dyDescent="0.2">
      <c r="A1080">
        <v>1752</v>
      </c>
      <c r="B1080" t="s">
        <v>613</v>
      </c>
      <c r="C1080">
        <v>1</v>
      </c>
      <c r="D1080" t="s">
        <v>52</v>
      </c>
      <c r="G1080" t="str">
        <f t="shared" si="16"/>
        <v>WWW11021BF003</v>
      </c>
      <c r="H1080">
        <v>71.117000000000004</v>
      </c>
      <c r="I1080">
        <v>-163.03899999999999</v>
      </c>
      <c r="J1080" s="3">
        <v>20110814</v>
      </c>
      <c r="K1080">
        <v>2011</v>
      </c>
      <c r="L1080">
        <v>11.10407</v>
      </c>
      <c r="M1080">
        <v>4.3984199999999998</v>
      </c>
      <c r="N1080">
        <v>0.25740000000000002</v>
      </c>
      <c r="O1080">
        <v>1.2501100000000001</v>
      </c>
      <c r="P1080">
        <v>0.39176</v>
      </c>
      <c r="Q1080">
        <v>0</v>
      </c>
      <c r="R1080">
        <v>0</v>
      </c>
      <c r="S1080">
        <v>0</v>
      </c>
      <c r="T1080">
        <v>1.87581</v>
      </c>
      <c r="U1080">
        <v>0.13980999999999999</v>
      </c>
      <c r="V1080">
        <v>19.417380000000001</v>
      </c>
      <c r="W1080" t="s">
        <v>9</v>
      </c>
      <c r="X1080">
        <v>155.172</v>
      </c>
      <c r="Y1080">
        <v>146.74</v>
      </c>
      <c r="Z1080">
        <v>3.63</v>
      </c>
      <c r="AA1080">
        <v>27.78</v>
      </c>
      <c r="AB1080">
        <v>27.983000000000001</v>
      </c>
      <c r="AC1080">
        <v>0</v>
      </c>
      <c r="AD1080">
        <v>0</v>
      </c>
      <c r="AE1080">
        <v>0</v>
      </c>
      <c r="AF1080">
        <v>20.170000000000002</v>
      </c>
      <c r="AG1080">
        <v>4.6479999999999997</v>
      </c>
      <c r="AH1080">
        <v>386.12299999999999</v>
      </c>
      <c r="AI1080" t="s">
        <v>21</v>
      </c>
      <c r="AJ1080">
        <v>979.99699999999996</v>
      </c>
      <c r="AK1080">
        <v>420</v>
      </c>
      <c r="AL1080">
        <v>650.00199999999995</v>
      </c>
      <c r="AM1080">
        <v>16.667000000000002</v>
      </c>
      <c r="AN1080">
        <v>96.665999999999997</v>
      </c>
      <c r="AO1080">
        <v>0</v>
      </c>
      <c r="AP1080">
        <v>0</v>
      </c>
      <c r="AQ1080">
        <v>0</v>
      </c>
      <c r="AR1080">
        <v>13.333</v>
      </c>
      <c r="AS1080">
        <v>146.666</v>
      </c>
      <c r="AT1080">
        <v>2323.3310000000001</v>
      </c>
      <c r="AU1080" t="s">
        <v>33</v>
      </c>
    </row>
    <row r="1081" spans="1:47" x14ac:dyDescent="0.2">
      <c r="A1081">
        <v>1753</v>
      </c>
      <c r="B1081" t="s">
        <v>613</v>
      </c>
      <c r="C1081">
        <v>10</v>
      </c>
      <c r="D1081" t="s">
        <v>62</v>
      </c>
      <c r="G1081" t="str">
        <f t="shared" si="16"/>
        <v>WWW110210BF023</v>
      </c>
      <c r="H1081">
        <v>71.613</v>
      </c>
      <c r="I1081">
        <v>-162.983</v>
      </c>
      <c r="J1081" s="3">
        <v>20110813</v>
      </c>
      <c r="K1081">
        <v>2011</v>
      </c>
      <c r="L1081">
        <v>3.54196</v>
      </c>
      <c r="M1081">
        <v>7.4032600000000004</v>
      </c>
      <c r="N1081">
        <v>0.21065</v>
      </c>
      <c r="O1081">
        <v>9.6170000000000005E-2</v>
      </c>
      <c r="P1081">
        <v>8.4000000000000003E-4</v>
      </c>
      <c r="Q1081">
        <v>0</v>
      </c>
      <c r="R1081">
        <v>0</v>
      </c>
      <c r="S1081">
        <v>0.17055999999999999</v>
      </c>
      <c r="T1081">
        <v>0.25789000000000001</v>
      </c>
      <c r="U1081">
        <v>5.9209999999999999E-2</v>
      </c>
      <c r="V1081">
        <v>11.740539999999999</v>
      </c>
      <c r="W1081" t="s">
        <v>10</v>
      </c>
      <c r="X1081">
        <v>44.28</v>
      </c>
      <c r="Y1081">
        <v>208.22499999999999</v>
      </c>
      <c r="Z1081">
        <v>2.95</v>
      </c>
      <c r="AA1081">
        <v>2.137</v>
      </c>
      <c r="AB1081">
        <v>0.06</v>
      </c>
      <c r="AC1081">
        <v>0</v>
      </c>
      <c r="AD1081">
        <v>0</v>
      </c>
      <c r="AE1081">
        <v>12.183</v>
      </c>
      <c r="AF1081">
        <v>2.7730000000000001</v>
      </c>
      <c r="AG1081">
        <v>1.4570000000000001</v>
      </c>
      <c r="AH1081">
        <v>274.065</v>
      </c>
      <c r="AI1081" t="s">
        <v>22</v>
      </c>
      <c r="AJ1081">
        <v>800</v>
      </c>
      <c r="AK1081">
        <v>650.00099999999998</v>
      </c>
      <c r="AL1081">
        <v>219.99799999999999</v>
      </c>
      <c r="AM1081">
        <v>6.6669999999999998</v>
      </c>
      <c r="AN1081">
        <v>3.3330000000000002</v>
      </c>
      <c r="AO1081">
        <v>0</v>
      </c>
      <c r="AP1081">
        <v>0</v>
      </c>
      <c r="AQ1081">
        <v>3.3330000000000002</v>
      </c>
      <c r="AR1081">
        <v>16.667000000000002</v>
      </c>
      <c r="AS1081">
        <v>60</v>
      </c>
      <c r="AT1081">
        <v>1759.999</v>
      </c>
      <c r="AU1081" t="s">
        <v>33</v>
      </c>
    </row>
    <row r="1082" spans="1:47" x14ac:dyDescent="0.2">
      <c r="A1082">
        <v>1754</v>
      </c>
      <c r="B1082" t="s">
        <v>613</v>
      </c>
      <c r="C1082">
        <v>11</v>
      </c>
      <c r="D1082" t="s">
        <v>614</v>
      </c>
      <c r="G1082" t="str">
        <f t="shared" si="16"/>
        <v>WWW110211HN014</v>
      </c>
      <c r="H1082">
        <v>72.367000000000004</v>
      </c>
      <c r="I1082">
        <v>-163.727</v>
      </c>
      <c r="J1082" s="3">
        <v>20110822</v>
      </c>
      <c r="K1082">
        <v>2011</v>
      </c>
      <c r="L1082">
        <v>0.30567</v>
      </c>
      <c r="M1082">
        <v>4.8867900000000004</v>
      </c>
      <c r="N1082">
        <v>9.4149999999999998E-2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8.6999999999999994E-3</v>
      </c>
      <c r="V1082">
        <v>5.2953099999999997</v>
      </c>
      <c r="W1082" t="s">
        <v>10</v>
      </c>
      <c r="X1082">
        <v>6.282</v>
      </c>
      <c r="Y1082">
        <v>147.32599999999999</v>
      </c>
      <c r="Z1082">
        <v>1.286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0.32700000000000001</v>
      </c>
      <c r="AH1082">
        <v>155.221</v>
      </c>
      <c r="AI1082" t="s">
        <v>22</v>
      </c>
      <c r="AJ1082">
        <v>80</v>
      </c>
      <c r="AK1082">
        <v>199.999</v>
      </c>
      <c r="AL1082">
        <v>20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16.666</v>
      </c>
      <c r="AT1082">
        <v>316.66500000000002</v>
      </c>
      <c r="AU1082" t="s">
        <v>34</v>
      </c>
    </row>
    <row r="1083" spans="1:47" x14ac:dyDescent="0.2">
      <c r="A1083">
        <v>1755</v>
      </c>
      <c r="B1083" t="s">
        <v>613</v>
      </c>
      <c r="C1083">
        <v>12</v>
      </c>
      <c r="D1083" t="s">
        <v>86</v>
      </c>
      <c r="G1083" t="str">
        <f t="shared" si="16"/>
        <v>WWW110212KF003</v>
      </c>
      <c r="H1083">
        <v>70.647999999999996</v>
      </c>
      <c r="I1083">
        <v>-165.25200000000001</v>
      </c>
      <c r="J1083" s="3">
        <v>20110808</v>
      </c>
      <c r="K1083">
        <v>2011</v>
      </c>
      <c r="L1083">
        <v>6.1810200000000002</v>
      </c>
      <c r="M1083">
        <v>0.93244000000000005</v>
      </c>
      <c r="N1083">
        <v>0.25873000000000002</v>
      </c>
      <c r="O1083">
        <v>5.9000000000000003E-4</v>
      </c>
      <c r="P1083">
        <v>9.3999999999999997E-4</v>
      </c>
      <c r="Q1083">
        <v>0</v>
      </c>
      <c r="R1083">
        <v>0</v>
      </c>
      <c r="S1083">
        <v>2.2780000000000002E-2</v>
      </c>
      <c r="T1083">
        <v>1.116E-2</v>
      </c>
      <c r="U1083">
        <v>5.178E-2</v>
      </c>
      <c r="V1083">
        <v>7.4594399999999998</v>
      </c>
      <c r="W1083" t="s">
        <v>9</v>
      </c>
      <c r="X1083">
        <v>89.491</v>
      </c>
      <c r="Y1083">
        <v>26.366</v>
      </c>
      <c r="Z1083">
        <v>3.6960000000000002</v>
      </c>
      <c r="AA1083">
        <v>1.2999999999999999E-2</v>
      </c>
      <c r="AB1083">
        <v>6.7000000000000004E-2</v>
      </c>
      <c r="AC1083">
        <v>0</v>
      </c>
      <c r="AD1083">
        <v>0</v>
      </c>
      <c r="AE1083">
        <v>1.627</v>
      </c>
      <c r="AF1083">
        <v>0.12</v>
      </c>
      <c r="AG1083">
        <v>0.96299999999999997</v>
      </c>
      <c r="AH1083">
        <v>122.343</v>
      </c>
      <c r="AI1083" t="s">
        <v>21</v>
      </c>
      <c r="AJ1083">
        <v>349.99799999999999</v>
      </c>
      <c r="AK1083">
        <v>323.33300000000003</v>
      </c>
      <c r="AL1083">
        <v>343.33199999999999</v>
      </c>
      <c r="AM1083">
        <v>3.3330000000000002</v>
      </c>
      <c r="AN1083">
        <v>30</v>
      </c>
      <c r="AO1083">
        <v>0</v>
      </c>
      <c r="AP1083">
        <v>0</v>
      </c>
      <c r="AQ1083">
        <v>16.667000000000002</v>
      </c>
      <c r="AR1083">
        <v>3.3330000000000002</v>
      </c>
      <c r="AS1083">
        <v>56.665999999999997</v>
      </c>
      <c r="AT1083">
        <v>1126.662</v>
      </c>
      <c r="AU1083" t="s">
        <v>33</v>
      </c>
    </row>
    <row r="1084" spans="1:47" x14ac:dyDescent="0.2">
      <c r="A1084">
        <v>1756</v>
      </c>
      <c r="B1084" t="s">
        <v>613</v>
      </c>
      <c r="C1084">
        <v>13</v>
      </c>
      <c r="D1084" t="s">
        <v>88</v>
      </c>
      <c r="G1084" t="str">
        <f t="shared" si="16"/>
        <v>WWW110213KF007</v>
      </c>
      <c r="H1084">
        <v>70.774000000000001</v>
      </c>
      <c r="I1084">
        <v>-165.62799999999999</v>
      </c>
      <c r="J1084" s="3">
        <v>20110807</v>
      </c>
      <c r="K1084">
        <v>2011</v>
      </c>
      <c r="L1084">
        <v>7.0106700000000002</v>
      </c>
      <c r="M1084">
        <v>0.67278000000000004</v>
      </c>
      <c r="N1084">
        <v>0.25451000000000001</v>
      </c>
      <c r="O1084">
        <v>0.14682999999999999</v>
      </c>
      <c r="P1084">
        <v>1.08E-3</v>
      </c>
      <c r="Q1084">
        <v>0</v>
      </c>
      <c r="R1084">
        <v>9.5999999999999992E-3</v>
      </c>
      <c r="S1084">
        <v>3.4819999999999997E-2</v>
      </c>
      <c r="T1084">
        <v>0.19037000000000001</v>
      </c>
      <c r="U1084">
        <v>0.16833999999999999</v>
      </c>
      <c r="V1084">
        <v>8.4890000000000008</v>
      </c>
      <c r="W1084" t="s">
        <v>9</v>
      </c>
      <c r="X1084">
        <v>99.019000000000005</v>
      </c>
      <c r="Y1084">
        <v>30.273</v>
      </c>
      <c r="Z1084">
        <v>3.569</v>
      </c>
      <c r="AA1084">
        <v>3.2629999999999999</v>
      </c>
      <c r="AB1084">
        <v>7.6999999999999999E-2</v>
      </c>
      <c r="AC1084">
        <v>0</v>
      </c>
      <c r="AD1084">
        <v>0.24</v>
      </c>
      <c r="AE1084">
        <v>2.4870000000000001</v>
      </c>
      <c r="AF1084">
        <v>2.0470000000000002</v>
      </c>
      <c r="AG1084">
        <v>9.1910000000000007</v>
      </c>
      <c r="AH1084">
        <v>150.166</v>
      </c>
      <c r="AI1084" t="s">
        <v>21</v>
      </c>
      <c r="AJ1084">
        <v>916.66499999999996</v>
      </c>
      <c r="AK1084">
        <v>356.666</v>
      </c>
      <c r="AL1084">
        <v>366.66500000000002</v>
      </c>
      <c r="AM1084">
        <v>73.332999999999998</v>
      </c>
      <c r="AN1084">
        <v>40</v>
      </c>
      <c r="AO1084">
        <v>0</v>
      </c>
      <c r="AP1084">
        <v>6.6669999999999998</v>
      </c>
      <c r="AQ1084">
        <v>40</v>
      </c>
      <c r="AR1084">
        <v>16.667000000000002</v>
      </c>
      <c r="AS1084">
        <v>66.665999999999997</v>
      </c>
      <c r="AT1084">
        <v>1883.329</v>
      </c>
      <c r="AU1084" t="s">
        <v>33</v>
      </c>
    </row>
    <row r="1085" spans="1:47" x14ac:dyDescent="0.2">
      <c r="A1085">
        <v>1757</v>
      </c>
      <c r="B1085" t="s">
        <v>613</v>
      </c>
      <c r="C1085">
        <v>14</v>
      </c>
      <c r="D1085" t="s">
        <v>89</v>
      </c>
      <c r="G1085" t="str">
        <f t="shared" si="16"/>
        <v>WWW110214KF009</v>
      </c>
      <c r="H1085">
        <v>70.775000000000006</v>
      </c>
      <c r="I1085">
        <v>-164.875</v>
      </c>
      <c r="J1085" s="3">
        <v>20110809</v>
      </c>
      <c r="K1085">
        <v>2011</v>
      </c>
      <c r="L1085">
        <v>8.5920799999999993</v>
      </c>
      <c r="M1085">
        <v>0.92101</v>
      </c>
      <c r="N1085">
        <v>0.52692000000000005</v>
      </c>
      <c r="O1085">
        <v>3.2000000000000003E-4</v>
      </c>
      <c r="P1085">
        <v>5.4000000000000001E-4</v>
      </c>
      <c r="Q1085">
        <v>0</v>
      </c>
      <c r="R1085">
        <v>0</v>
      </c>
      <c r="S1085">
        <v>5.4200000000000003E-3</v>
      </c>
      <c r="T1085">
        <v>0.11466999999999999</v>
      </c>
      <c r="U1085">
        <v>2.7380000000000002E-2</v>
      </c>
      <c r="V1085">
        <v>10.18834</v>
      </c>
      <c r="W1085" t="s">
        <v>9</v>
      </c>
      <c r="X1085">
        <v>122.587</v>
      </c>
      <c r="Y1085">
        <v>58.366999999999997</v>
      </c>
      <c r="Z1085">
        <v>7.6239999999999997</v>
      </c>
      <c r="AA1085">
        <v>7.0000000000000001E-3</v>
      </c>
      <c r="AB1085">
        <v>3.9E-2</v>
      </c>
      <c r="AC1085">
        <v>0</v>
      </c>
      <c r="AD1085">
        <v>0</v>
      </c>
      <c r="AE1085">
        <v>0.38700000000000001</v>
      </c>
      <c r="AF1085">
        <v>1.2330000000000001</v>
      </c>
      <c r="AG1085">
        <v>0.78</v>
      </c>
      <c r="AH1085">
        <v>191.024</v>
      </c>
      <c r="AI1085" t="s">
        <v>21</v>
      </c>
      <c r="AJ1085">
        <v>656.66700000000003</v>
      </c>
      <c r="AK1085">
        <v>413.33300000000003</v>
      </c>
      <c r="AL1085">
        <v>773.33299999999997</v>
      </c>
      <c r="AM1085">
        <v>3.3330000000000002</v>
      </c>
      <c r="AN1085">
        <v>50</v>
      </c>
      <c r="AO1085">
        <v>0</v>
      </c>
      <c r="AP1085">
        <v>0</v>
      </c>
      <c r="AQ1085">
        <v>3.3330000000000002</v>
      </c>
      <c r="AR1085">
        <v>20</v>
      </c>
      <c r="AS1085">
        <v>73.331999999999994</v>
      </c>
      <c r="AT1085">
        <v>1993.3309999999999</v>
      </c>
      <c r="AU1085" t="s">
        <v>35</v>
      </c>
    </row>
    <row r="1086" spans="1:47" x14ac:dyDescent="0.2">
      <c r="A1086">
        <v>1758</v>
      </c>
      <c r="B1086" t="s">
        <v>613</v>
      </c>
      <c r="C1086">
        <v>15</v>
      </c>
      <c r="D1086" t="s">
        <v>90</v>
      </c>
      <c r="G1086" t="str">
        <f t="shared" si="16"/>
        <v>WWW110215KF011</v>
      </c>
      <c r="H1086">
        <v>70.894999999999996</v>
      </c>
      <c r="I1086">
        <v>-166.012</v>
      </c>
      <c r="J1086" s="3">
        <v>20110806</v>
      </c>
      <c r="K1086">
        <v>2011</v>
      </c>
      <c r="L1086">
        <v>5.7176299999999998</v>
      </c>
      <c r="M1086">
        <v>0.46598000000000001</v>
      </c>
      <c r="N1086">
        <v>5.6849999999999998E-2</v>
      </c>
      <c r="O1086">
        <v>0</v>
      </c>
      <c r="P1086">
        <v>2.7E-4</v>
      </c>
      <c r="Q1086">
        <v>0</v>
      </c>
      <c r="R1086">
        <v>0</v>
      </c>
      <c r="S1086">
        <v>0</v>
      </c>
      <c r="T1086">
        <v>4.0899999999999999E-3</v>
      </c>
      <c r="U1086">
        <v>6.11E-3</v>
      </c>
      <c r="V1086">
        <v>6.2509300000000003</v>
      </c>
      <c r="W1086" t="s">
        <v>9</v>
      </c>
      <c r="X1086">
        <v>82.161000000000001</v>
      </c>
      <c r="Y1086">
        <v>16.07</v>
      </c>
      <c r="Z1086">
        <v>0.80600000000000005</v>
      </c>
      <c r="AA1086">
        <v>0</v>
      </c>
      <c r="AB1086">
        <v>1.9E-2</v>
      </c>
      <c r="AC1086">
        <v>0</v>
      </c>
      <c r="AD1086">
        <v>0</v>
      </c>
      <c r="AE1086">
        <v>0</v>
      </c>
      <c r="AF1086">
        <v>4.3999999999999997E-2</v>
      </c>
      <c r="AG1086">
        <v>0.21299999999999999</v>
      </c>
      <c r="AH1086">
        <v>99.313000000000002</v>
      </c>
      <c r="AI1086" t="s">
        <v>21</v>
      </c>
      <c r="AJ1086">
        <v>343.33300000000003</v>
      </c>
      <c r="AK1086">
        <v>216.667</v>
      </c>
      <c r="AL1086">
        <v>186.666</v>
      </c>
      <c r="AM1086">
        <v>0</v>
      </c>
      <c r="AN1086">
        <v>6.6660000000000004</v>
      </c>
      <c r="AO1086">
        <v>0</v>
      </c>
      <c r="AP1086">
        <v>0</v>
      </c>
      <c r="AQ1086">
        <v>0</v>
      </c>
      <c r="AR1086">
        <v>3.3330000000000002</v>
      </c>
      <c r="AS1086">
        <v>30</v>
      </c>
      <c r="AT1086">
        <v>786.66499999999996</v>
      </c>
      <c r="AU1086" t="s">
        <v>33</v>
      </c>
    </row>
    <row r="1087" spans="1:47" x14ac:dyDescent="0.2">
      <c r="A1087">
        <v>1759</v>
      </c>
      <c r="B1087" t="s">
        <v>613</v>
      </c>
      <c r="C1087">
        <v>16</v>
      </c>
      <c r="D1087" t="s">
        <v>91</v>
      </c>
      <c r="G1087" t="str">
        <f t="shared" si="16"/>
        <v>WWW110216KF013</v>
      </c>
      <c r="H1087">
        <v>70.899000000000001</v>
      </c>
      <c r="I1087">
        <v>-165.24</v>
      </c>
      <c r="J1087" s="3">
        <v>20110808</v>
      </c>
      <c r="K1087">
        <v>2011</v>
      </c>
      <c r="L1087">
        <v>9.83446</v>
      </c>
      <c r="M1087">
        <v>2.9250500000000001</v>
      </c>
      <c r="N1087">
        <v>0.22968</v>
      </c>
      <c r="O1087">
        <v>0</v>
      </c>
      <c r="P1087">
        <v>1.2600000000000001E-3</v>
      </c>
      <c r="Q1087">
        <v>0</v>
      </c>
      <c r="R1087">
        <v>0</v>
      </c>
      <c r="S1087">
        <v>0</v>
      </c>
      <c r="T1087">
        <v>2.12E-2</v>
      </c>
      <c r="U1087">
        <v>1.7149999999999999E-2</v>
      </c>
      <c r="V1087">
        <v>13.0288</v>
      </c>
      <c r="W1087" t="s">
        <v>9</v>
      </c>
      <c r="X1087">
        <v>140.96100000000001</v>
      </c>
      <c r="Y1087">
        <v>83.304000000000002</v>
      </c>
      <c r="Z1087">
        <v>3.3140000000000001</v>
      </c>
      <c r="AA1087">
        <v>0</v>
      </c>
      <c r="AB1087">
        <v>0.09</v>
      </c>
      <c r="AC1087">
        <v>0</v>
      </c>
      <c r="AD1087">
        <v>0</v>
      </c>
      <c r="AE1087">
        <v>0</v>
      </c>
      <c r="AF1087">
        <v>0.22800000000000001</v>
      </c>
      <c r="AG1087">
        <v>0.28399999999999997</v>
      </c>
      <c r="AH1087">
        <v>228.18100000000001</v>
      </c>
      <c r="AI1087" t="s">
        <v>21</v>
      </c>
      <c r="AJ1087">
        <v>583.33299999999997</v>
      </c>
      <c r="AK1087">
        <v>503.33300000000003</v>
      </c>
      <c r="AL1087">
        <v>466.666</v>
      </c>
      <c r="AM1087">
        <v>0</v>
      </c>
      <c r="AN1087">
        <v>26.667000000000002</v>
      </c>
      <c r="AO1087">
        <v>0</v>
      </c>
      <c r="AP1087">
        <v>0</v>
      </c>
      <c r="AQ1087">
        <v>0</v>
      </c>
      <c r="AR1087">
        <v>0</v>
      </c>
      <c r="AS1087">
        <v>79.998999999999995</v>
      </c>
      <c r="AT1087">
        <v>1659.998</v>
      </c>
      <c r="AU1087" t="s">
        <v>33</v>
      </c>
    </row>
    <row r="1088" spans="1:47" x14ac:dyDescent="0.2">
      <c r="A1088">
        <v>1760</v>
      </c>
      <c r="B1088" t="s">
        <v>613</v>
      </c>
      <c r="C1088">
        <v>17</v>
      </c>
      <c r="D1088" t="s">
        <v>92</v>
      </c>
      <c r="G1088" t="str">
        <f t="shared" si="16"/>
        <v>WWW110217KF015</v>
      </c>
      <c r="H1088">
        <v>70.897000000000006</v>
      </c>
      <c r="I1088">
        <v>-164.49299999999999</v>
      </c>
      <c r="J1088" s="3">
        <v>20110810</v>
      </c>
      <c r="K1088">
        <v>2011</v>
      </c>
      <c r="L1088">
        <v>1.48058</v>
      </c>
      <c r="M1088">
        <v>5.4856400000000001</v>
      </c>
      <c r="N1088">
        <v>0.13589000000000001</v>
      </c>
      <c r="O1088">
        <v>3.2000000000000003E-4</v>
      </c>
      <c r="P1088">
        <v>1.64E-3</v>
      </c>
      <c r="Q1088">
        <v>0</v>
      </c>
      <c r="R1088">
        <v>6.2120000000000002E-2</v>
      </c>
      <c r="S1088">
        <v>0</v>
      </c>
      <c r="T1088">
        <v>1.2829999999999999E-2</v>
      </c>
      <c r="U1088">
        <v>2.3153800000000002</v>
      </c>
      <c r="V1088">
        <v>9.4944000000000006</v>
      </c>
      <c r="W1088" t="s">
        <v>10</v>
      </c>
      <c r="X1088">
        <v>20.954000000000001</v>
      </c>
      <c r="Y1088">
        <v>292.21899999999999</v>
      </c>
      <c r="Z1088">
        <v>1.9339999999999999</v>
      </c>
      <c r="AA1088">
        <v>7.0000000000000001E-3</v>
      </c>
      <c r="AB1088">
        <v>0.11700000000000001</v>
      </c>
      <c r="AC1088">
        <v>0</v>
      </c>
      <c r="AD1088">
        <v>1.5409999999999999</v>
      </c>
      <c r="AE1088">
        <v>0</v>
      </c>
      <c r="AF1088">
        <v>0.13800000000000001</v>
      </c>
      <c r="AG1088">
        <v>107.13200000000001</v>
      </c>
      <c r="AH1088">
        <v>424.04199999999997</v>
      </c>
      <c r="AI1088" t="s">
        <v>22</v>
      </c>
      <c r="AJ1088">
        <v>1026.6659999999999</v>
      </c>
      <c r="AK1088">
        <v>513.33199999999999</v>
      </c>
      <c r="AL1088">
        <v>696.66499999999996</v>
      </c>
      <c r="AM1088">
        <v>6.6669999999999998</v>
      </c>
      <c r="AN1088">
        <v>63.332999999999998</v>
      </c>
      <c r="AO1088">
        <v>0</v>
      </c>
      <c r="AP1088">
        <v>20</v>
      </c>
      <c r="AQ1088">
        <v>0</v>
      </c>
      <c r="AR1088">
        <v>0</v>
      </c>
      <c r="AS1088">
        <v>46.664999999999999</v>
      </c>
      <c r="AT1088">
        <v>2373.328</v>
      </c>
      <c r="AU1088" t="s">
        <v>33</v>
      </c>
    </row>
    <row r="1089" spans="1:47" x14ac:dyDescent="0.2">
      <c r="A1089">
        <v>1761</v>
      </c>
      <c r="B1089" t="s">
        <v>613</v>
      </c>
      <c r="C1089">
        <v>18</v>
      </c>
      <c r="D1089" t="s">
        <v>93</v>
      </c>
      <c r="G1089" t="str">
        <f t="shared" si="16"/>
        <v>WWW110218KF017</v>
      </c>
      <c r="H1089">
        <v>71.022000000000006</v>
      </c>
      <c r="I1089">
        <v>-165.64</v>
      </c>
      <c r="J1089" s="3">
        <v>20110805</v>
      </c>
      <c r="K1089">
        <v>2011</v>
      </c>
      <c r="L1089">
        <v>2.9827900000000001</v>
      </c>
      <c r="M1089">
        <v>0.81479000000000001</v>
      </c>
      <c r="N1089">
        <v>0.17807000000000001</v>
      </c>
      <c r="O1089">
        <v>0</v>
      </c>
      <c r="P1089">
        <v>5.4599999999999996E-3</v>
      </c>
      <c r="Q1089">
        <v>0</v>
      </c>
      <c r="R1089">
        <v>0</v>
      </c>
      <c r="S1089">
        <v>0</v>
      </c>
      <c r="T1089">
        <v>2.7999999999999998E-4</v>
      </c>
      <c r="U1089">
        <v>5.7669999999999999E-2</v>
      </c>
      <c r="V1089">
        <v>4.0390600000000001</v>
      </c>
      <c r="W1089" t="s">
        <v>9</v>
      </c>
      <c r="X1089">
        <v>43.460999999999999</v>
      </c>
      <c r="Y1089">
        <v>27.484000000000002</v>
      </c>
      <c r="Z1089">
        <v>2.5110000000000001</v>
      </c>
      <c r="AA1089">
        <v>0</v>
      </c>
      <c r="AB1089">
        <v>0.39</v>
      </c>
      <c r="AC1089">
        <v>0</v>
      </c>
      <c r="AD1089">
        <v>0</v>
      </c>
      <c r="AE1089">
        <v>0</v>
      </c>
      <c r="AF1089">
        <v>3.0000000000000001E-3</v>
      </c>
      <c r="AG1089">
        <v>1.762</v>
      </c>
      <c r="AH1089">
        <v>75.611000000000004</v>
      </c>
      <c r="AI1089" t="s">
        <v>21</v>
      </c>
      <c r="AJ1089">
        <v>326.66399999999999</v>
      </c>
      <c r="AK1089">
        <v>723.33299999999997</v>
      </c>
      <c r="AL1089">
        <v>193.33199999999999</v>
      </c>
      <c r="AM1089">
        <v>0</v>
      </c>
      <c r="AN1089">
        <v>3.3330000000000002</v>
      </c>
      <c r="AO1089">
        <v>0</v>
      </c>
      <c r="AP1089">
        <v>0</v>
      </c>
      <c r="AQ1089">
        <v>0</v>
      </c>
      <c r="AR1089">
        <v>0</v>
      </c>
      <c r="AS1089">
        <v>103.333</v>
      </c>
      <c r="AT1089">
        <v>1349.9949999999999</v>
      </c>
      <c r="AU1089" t="s">
        <v>34</v>
      </c>
    </row>
    <row r="1090" spans="1:47" x14ac:dyDescent="0.2">
      <c r="A1090">
        <v>1762</v>
      </c>
      <c r="B1090" t="s">
        <v>613</v>
      </c>
      <c r="C1090">
        <v>19</v>
      </c>
      <c r="D1090" t="s">
        <v>94</v>
      </c>
      <c r="G1090" t="str">
        <f t="shared" si="16"/>
        <v>WWW110219KF019</v>
      </c>
      <c r="H1090">
        <v>71.022999999999996</v>
      </c>
      <c r="I1090">
        <v>-164.87200000000001</v>
      </c>
      <c r="J1090" s="3">
        <v>20110808</v>
      </c>
      <c r="K1090">
        <v>2011</v>
      </c>
      <c r="L1090">
        <v>4.1063400000000003</v>
      </c>
      <c r="M1090">
        <v>0.17641999999999999</v>
      </c>
      <c r="N1090">
        <v>0.35687999999999998</v>
      </c>
      <c r="O1090">
        <v>1.3999999999999999E-4</v>
      </c>
      <c r="P1090">
        <v>4.0200000000000001E-3</v>
      </c>
      <c r="Q1090">
        <v>0</v>
      </c>
      <c r="R1090">
        <v>0.19106999999999999</v>
      </c>
      <c r="S1090">
        <v>4.326E-2</v>
      </c>
      <c r="T1090">
        <v>2.8459999999999999E-2</v>
      </c>
      <c r="U1090">
        <v>2.4405299999999999</v>
      </c>
      <c r="V1090">
        <v>7.3471200000000003</v>
      </c>
      <c r="W1090" t="s">
        <v>9</v>
      </c>
      <c r="X1090">
        <v>57.728999999999999</v>
      </c>
      <c r="Y1090">
        <v>6.6459999999999999</v>
      </c>
      <c r="Z1090">
        <v>4.9509999999999996</v>
      </c>
      <c r="AA1090">
        <v>3.0000000000000001E-3</v>
      </c>
      <c r="AB1090">
        <v>0.28699999999999998</v>
      </c>
      <c r="AC1090">
        <v>0</v>
      </c>
      <c r="AD1090">
        <v>4.5599999999999996</v>
      </c>
      <c r="AE1090">
        <v>3.09</v>
      </c>
      <c r="AF1090">
        <v>0.30599999999999999</v>
      </c>
      <c r="AG1090">
        <v>101.967</v>
      </c>
      <c r="AH1090">
        <v>179.53899999999999</v>
      </c>
      <c r="AI1090" t="s">
        <v>30</v>
      </c>
      <c r="AJ1090">
        <v>3266.6660000000002</v>
      </c>
      <c r="AK1090">
        <v>350</v>
      </c>
      <c r="AL1090">
        <v>1466.6659999999999</v>
      </c>
      <c r="AM1090">
        <v>3.3330000000000002</v>
      </c>
      <c r="AN1090">
        <v>140</v>
      </c>
      <c r="AO1090">
        <v>0</v>
      </c>
      <c r="AP1090">
        <v>26.667000000000002</v>
      </c>
      <c r="AQ1090">
        <v>40</v>
      </c>
      <c r="AR1090">
        <v>6.6669999999999998</v>
      </c>
      <c r="AS1090">
        <v>230</v>
      </c>
      <c r="AT1090">
        <v>5529.9989999999998</v>
      </c>
      <c r="AU1090" t="s">
        <v>33</v>
      </c>
    </row>
    <row r="1091" spans="1:47" x14ac:dyDescent="0.2">
      <c r="A1091">
        <v>1763</v>
      </c>
      <c r="B1091" t="s">
        <v>613</v>
      </c>
      <c r="C1091">
        <v>2</v>
      </c>
      <c r="D1091" t="s">
        <v>54</v>
      </c>
      <c r="G1091" t="str">
        <f t="shared" ref="G1091:G1154" si="17">CONCATENATE(B1091,C1091,D1091)</f>
        <v>WWW11022BF007</v>
      </c>
      <c r="H1091">
        <v>71.245000000000005</v>
      </c>
      <c r="I1091">
        <v>-163.40600000000001</v>
      </c>
      <c r="J1091" s="3">
        <v>20110810</v>
      </c>
      <c r="K1091">
        <v>2011</v>
      </c>
      <c r="L1091">
        <v>7.2731000000000003</v>
      </c>
      <c r="M1091">
        <v>2.2509199999999998</v>
      </c>
      <c r="N1091">
        <v>0.48469000000000001</v>
      </c>
      <c r="O1091">
        <v>12.336169999999999</v>
      </c>
      <c r="P1091">
        <v>0.86506000000000005</v>
      </c>
      <c r="Q1091">
        <v>0</v>
      </c>
      <c r="R1091">
        <v>1.2E-4</v>
      </c>
      <c r="S1091">
        <v>0</v>
      </c>
      <c r="T1091">
        <v>0.15196000000000001</v>
      </c>
      <c r="U1091">
        <v>6.5390000000000004E-2</v>
      </c>
      <c r="V1091">
        <v>23.427409999999998</v>
      </c>
      <c r="W1091" t="s">
        <v>12</v>
      </c>
      <c r="X1091">
        <v>101.166</v>
      </c>
      <c r="Y1091">
        <v>61.878999999999998</v>
      </c>
      <c r="Z1091">
        <v>6.1180000000000003</v>
      </c>
      <c r="AA1091">
        <v>274.137</v>
      </c>
      <c r="AB1091">
        <v>61.79</v>
      </c>
      <c r="AC1091">
        <v>0</v>
      </c>
      <c r="AD1091">
        <v>3.0000000000000001E-3</v>
      </c>
      <c r="AE1091">
        <v>0</v>
      </c>
      <c r="AF1091">
        <v>1.6339999999999999</v>
      </c>
      <c r="AG1091">
        <v>1.397</v>
      </c>
      <c r="AH1091">
        <v>508.12400000000002</v>
      </c>
      <c r="AI1091" t="s">
        <v>24</v>
      </c>
      <c r="AJ1091">
        <v>516.66499999999996</v>
      </c>
      <c r="AK1091">
        <v>436.666</v>
      </c>
      <c r="AL1091">
        <v>1613.3340000000001</v>
      </c>
      <c r="AM1091">
        <v>26.667000000000002</v>
      </c>
      <c r="AN1091">
        <v>163.333</v>
      </c>
      <c r="AO1091">
        <v>0</v>
      </c>
      <c r="AP1091">
        <v>3.3330000000000002</v>
      </c>
      <c r="AQ1091">
        <v>0</v>
      </c>
      <c r="AR1091">
        <v>13.333</v>
      </c>
      <c r="AS1091">
        <v>46.665999999999997</v>
      </c>
      <c r="AT1091">
        <v>2819.9969999999998</v>
      </c>
      <c r="AU1091" t="s">
        <v>35</v>
      </c>
    </row>
    <row r="1092" spans="1:47" x14ac:dyDescent="0.2">
      <c r="A1092">
        <v>1764</v>
      </c>
      <c r="B1092" t="s">
        <v>613</v>
      </c>
      <c r="C1092">
        <v>20</v>
      </c>
      <c r="D1092" t="s">
        <v>96</v>
      </c>
      <c r="G1092" t="str">
        <f t="shared" si="17"/>
        <v>WWW110220KF023</v>
      </c>
      <c r="H1092">
        <v>71.146000000000001</v>
      </c>
      <c r="I1092">
        <v>-165.25899999999999</v>
      </c>
      <c r="J1092" s="3">
        <v>20110806</v>
      </c>
      <c r="K1092">
        <v>2011</v>
      </c>
      <c r="L1092">
        <v>4.8174999999999999</v>
      </c>
      <c r="M1092">
        <v>1.11077</v>
      </c>
      <c r="N1092">
        <v>4.7260000000000003E-2</v>
      </c>
      <c r="O1092">
        <v>0</v>
      </c>
      <c r="P1092">
        <v>4.6499999999999996E-3</v>
      </c>
      <c r="Q1092">
        <v>0</v>
      </c>
      <c r="R1092">
        <v>8.0000000000000004E-4</v>
      </c>
      <c r="S1092">
        <v>8.2199999999999999E-3</v>
      </c>
      <c r="T1092">
        <v>0</v>
      </c>
      <c r="U1092">
        <v>4.1509999999999998E-2</v>
      </c>
      <c r="V1092">
        <v>6.03071</v>
      </c>
      <c r="W1092" t="s">
        <v>9</v>
      </c>
      <c r="X1092">
        <v>69.528000000000006</v>
      </c>
      <c r="Y1092">
        <v>26.216000000000001</v>
      </c>
      <c r="Z1092">
        <v>0.67500000000000004</v>
      </c>
      <c r="AA1092">
        <v>0</v>
      </c>
      <c r="AB1092">
        <v>0.33200000000000002</v>
      </c>
      <c r="AC1092">
        <v>0</v>
      </c>
      <c r="AD1092">
        <v>0.02</v>
      </c>
      <c r="AE1092">
        <v>0.58699999999999997</v>
      </c>
      <c r="AF1092">
        <v>0</v>
      </c>
      <c r="AG1092">
        <v>3.7589999999999999</v>
      </c>
      <c r="AH1092">
        <v>101.117</v>
      </c>
      <c r="AI1092" t="s">
        <v>21</v>
      </c>
      <c r="AJ1092">
        <v>376.66399999999999</v>
      </c>
      <c r="AK1092">
        <v>643.33199999999999</v>
      </c>
      <c r="AL1092">
        <v>119.999</v>
      </c>
      <c r="AM1092">
        <v>0</v>
      </c>
      <c r="AN1092">
        <v>33.332999999999998</v>
      </c>
      <c r="AO1092">
        <v>0</v>
      </c>
      <c r="AP1092">
        <v>3.3330000000000002</v>
      </c>
      <c r="AQ1092">
        <v>6.6669999999999998</v>
      </c>
      <c r="AR1092">
        <v>0</v>
      </c>
      <c r="AS1092">
        <v>23.334</v>
      </c>
      <c r="AT1092">
        <v>1206.662</v>
      </c>
      <c r="AU1092" t="s">
        <v>34</v>
      </c>
    </row>
    <row r="1093" spans="1:47" x14ac:dyDescent="0.2">
      <c r="A1093">
        <v>1765</v>
      </c>
      <c r="B1093" t="s">
        <v>613</v>
      </c>
      <c r="C1093">
        <v>21</v>
      </c>
      <c r="D1093" t="s">
        <v>585</v>
      </c>
      <c r="G1093" t="str">
        <f t="shared" si="17"/>
        <v>WWW110221SF001</v>
      </c>
      <c r="H1093">
        <v>71.495999999999995</v>
      </c>
      <c r="I1093">
        <v>-164.96</v>
      </c>
      <c r="J1093" s="3">
        <v>20110816</v>
      </c>
      <c r="K1093">
        <v>2011</v>
      </c>
      <c r="L1093">
        <v>8.2032500000000006</v>
      </c>
      <c r="M1093">
        <v>0.45790999999999998</v>
      </c>
      <c r="N1093">
        <v>8.4650000000000003E-2</v>
      </c>
      <c r="O1093">
        <v>4.5652499999999998</v>
      </c>
      <c r="P1093">
        <v>0.39766000000000001</v>
      </c>
      <c r="Q1093">
        <v>0</v>
      </c>
      <c r="R1093">
        <v>0.25412000000000001</v>
      </c>
      <c r="S1093">
        <v>0</v>
      </c>
      <c r="T1093">
        <v>7.7200000000000003E-3</v>
      </c>
      <c r="U1093">
        <v>2.298E-2</v>
      </c>
      <c r="V1093">
        <v>13.993539999999999</v>
      </c>
      <c r="W1093" t="s">
        <v>9</v>
      </c>
      <c r="X1093">
        <v>114.456</v>
      </c>
      <c r="Y1093">
        <v>13.577</v>
      </c>
      <c r="Z1093">
        <v>1.093</v>
      </c>
      <c r="AA1093">
        <v>101.45</v>
      </c>
      <c r="AB1093">
        <v>28.404</v>
      </c>
      <c r="AC1093">
        <v>0</v>
      </c>
      <c r="AD1093">
        <v>6.3529999999999998</v>
      </c>
      <c r="AE1093">
        <v>0</v>
      </c>
      <c r="AF1093">
        <v>8.3000000000000004E-2</v>
      </c>
      <c r="AG1093">
        <v>0.56399999999999995</v>
      </c>
      <c r="AH1093">
        <v>265.98</v>
      </c>
      <c r="AI1093" t="s">
        <v>21</v>
      </c>
      <c r="AJ1093">
        <v>410.00099999999998</v>
      </c>
      <c r="AK1093">
        <v>380</v>
      </c>
      <c r="AL1093">
        <v>216.66399999999999</v>
      </c>
      <c r="AM1093">
        <v>6.6669999999999998</v>
      </c>
      <c r="AN1093">
        <v>90</v>
      </c>
      <c r="AO1093">
        <v>0</v>
      </c>
      <c r="AP1093">
        <v>3.3330000000000002</v>
      </c>
      <c r="AQ1093">
        <v>0</v>
      </c>
      <c r="AR1093">
        <v>6.6669999999999998</v>
      </c>
      <c r="AS1093">
        <v>53.332000000000001</v>
      </c>
      <c r="AT1093">
        <v>1166.664</v>
      </c>
      <c r="AU1093" t="s">
        <v>33</v>
      </c>
    </row>
    <row r="1094" spans="1:47" x14ac:dyDescent="0.2">
      <c r="A1094">
        <v>1766</v>
      </c>
      <c r="B1094" t="s">
        <v>613</v>
      </c>
      <c r="C1094">
        <v>22</v>
      </c>
      <c r="D1094" t="s">
        <v>586</v>
      </c>
      <c r="G1094" t="str">
        <f t="shared" si="17"/>
        <v>WWW110222SF003</v>
      </c>
      <c r="H1094">
        <v>71.495999999999995</v>
      </c>
      <c r="I1094">
        <v>-164.17099999999999</v>
      </c>
      <c r="J1094" s="3">
        <v>20110819</v>
      </c>
      <c r="K1094">
        <v>2011</v>
      </c>
      <c r="L1094">
        <v>3.09735</v>
      </c>
      <c r="M1094">
        <v>5.2578699999999996</v>
      </c>
      <c r="N1094">
        <v>0.45122000000000001</v>
      </c>
      <c r="O1094">
        <v>2.5529899999999999</v>
      </c>
      <c r="P1094">
        <v>0.17612</v>
      </c>
      <c r="Q1094">
        <v>0</v>
      </c>
      <c r="R1094">
        <v>0</v>
      </c>
      <c r="S1094">
        <v>0</v>
      </c>
      <c r="T1094">
        <v>0.29881000000000002</v>
      </c>
      <c r="U1094">
        <v>2.2599999999999999E-2</v>
      </c>
      <c r="V1094">
        <v>11.856960000000001</v>
      </c>
      <c r="W1094" t="s">
        <v>10</v>
      </c>
      <c r="X1094">
        <v>43.573</v>
      </c>
      <c r="Y1094">
        <v>161.595</v>
      </c>
      <c r="Z1094">
        <v>6.4740000000000002</v>
      </c>
      <c r="AA1094">
        <v>56.732999999999997</v>
      </c>
      <c r="AB1094">
        <v>12.58</v>
      </c>
      <c r="AC1094">
        <v>0</v>
      </c>
      <c r="AD1094">
        <v>0</v>
      </c>
      <c r="AE1094">
        <v>0</v>
      </c>
      <c r="AF1094">
        <v>3.2130000000000001</v>
      </c>
      <c r="AG1094">
        <v>0.88</v>
      </c>
      <c r="AH1094">
        <v>285.048</v>
      </c>
      <c r="AI1094" t="s">
        <v>22</v>
      </c>
      <c r="AJ1094">
        <v>620.00199999999995</v>
      </c>
      <c r="AK1094">
        <v>443.33100000000002</v>
      </c>
      <c r="AL1094">
        <v>363.33100000000002</v>
      </c>
      <c r="AM1094">
        <v>3.3330000000000002</v>
      </c>
      <c r="AN1094">
        <v>26.666</v>
      </c>
      <c r="AO1094">
        <v>0</v>
      </c>
      <c r="AP1094">
        <v>0</v>
      </c>
      <c r="AQ1094">
        <v>0</v>
      </c>
      <c r="AR1094">
        <v>13.333</v>
      </c>
      <c r="AS1094">
        <v>46.665999999999997</v>
      </c>
      <c r="AT1094">
        <v>1516.662</v>
      </c>
      <c r="AU1094" t="s">
        <v>33</v>
      </c>
    </row>
    <row r="1095" spans="1:47" x14ac:dyDescent="0.2">
      <c r="A1095">
        <v>1767</v>
      </c>
      <c r="B1095" t="s">
        <v>613</v>
      </c>
      <c r="C1095">
        <v>23</v>
      </c>
      <c r="D1095" t="s">
        <v>587</v>
      </c>
      <c r="G1095" t="str">
        <f t="shared" si="17"/>
        <v>WWW110223SF005</v>
      </c>
      <c r="H1095">
        <v>71.622</v>
      </c>
      <c r="I1095">
        <v>-164.55799999999999</v>
      </c>
      <c r="J1095" s="3">
        <v>20110817</v>
      </c>
      <c r="K1095">
        <v>2011</v>
      </c>
      <c r="L1095">
        <v>6.7014899999999997</v>
      </c>
      <c r="M1095">
        <v>3.69787</v>
      </c>
      <c r="N1095">
        <v>0.2903</v>
      </c>
      <c r="O1095">
        <v>3.2000000000000003E-4</v>
      </c>
      <c r="P1095">
        <v>0.25359999999999999</v>
      </c>
      <c r="Q1095">
        <v>0</v>
      </c>
      <c r="R1095">
        <v>0</v>
      </c>
      <c r="S1095">
        <v>0</v>
      </c>
      <c r="T1095">
        <v>0.16339999999999999</v>
      </c>
      <c r="U1095">
        <v>2.649E-2</v>
      </c>
      <c r="V1095">
        <v>11.133470000000001</v>
      </c>
      <c r="W1095" t="s">
        <v>9</v>
      </c>
      <c r="X1095">
        <v>94.584999999999994</v>
      </c>
      <c r="Y1095">
        <v>193</v>
      </c>
      <c r="Z1095">
        <v>4.1390000000000002</v>
      </c>
      <c r="AA1095">
        <v>7.0000000000000001E-3</v>
      </c>
      <c r="AB1095">
        <v>18.114000000000001</v>
      </c>
      <c r="AC1095">
        <v>0</v>
      </c>
      <c r="AD1095">
        <v>0</v>
      </c>
      <c r="AE1095">
        <v>0</v>
      </c>
      <c r="AF1095">
        <v>1.7569999999999999</v>
      </c>
      <c r="AG1095">
        <v>0.68799999999999994</v>
      </c>
      <c r="AH1095">
        <v>312.29000000000002</v>
      </c>
      <c r="AI1095" t="s">
        <v>22</v>
      </c>
      <c r="AJ1095">
        <v>506.66500000000002</v>
      </c>
      <c r="AK1095">
        <v>533.33299999999997</v>
      </c>
      <c r="AL1095">
        <v>676.66499999999996</v>
      </c>
      <c r="AM1095">
        <v>3.3330000000000002</v>
      </c>
      <c r="AN1095">
        <v>50.000999999999998</v>
      </c>
      <c r="AO1095">
        <v>0</v>
      </c>
      <c r="AP1095">
        <v>0</v>
      </c>
      <c r="AQ1095">
        <v>0</v>
      </c>
      <c r="AR1095">
        <v>20</v>
      </c>
      <c r="AS1095">
        <v>36.665999999999997</v>
      </c>
      <c r="AT1095">
        <v>1826.663</v>
      </c>
      <c r="AU1095" t="s">
        <v>35</v>
      </c>
    </row>
    <row r="1096" spans="1:47" x14ac:dyDescent="0.2">
      <c r="A1096">
        <v>1768</v>
      </c>
      <c r="B1096" t="s">
        <v>613</v>
      </c>
      <c r="C1096">
        <v>24</v>
      </c>
      <c r="D1096" t="s">
        <v>588</v>
      </c>
      <c r="G1096" t="str">
        <f t="shared" si="17"/>
        <v>WWW110224SF007</v>
      </c>
      <c r="H1096">
        <v>71.744</v>
      </c>
      <c r="I1096">
        <v>-164.95099999999999</v>
      </c>
      <c r="J1096" s="3">
        <v>20110817</v>
      </c>
      <c r="K1096">
        <v>2011</v>
      </c>
      <c r="L1096">
        <v>9.7205999999999992</v>
      </c>
      <c r="M1096">
        <v>3.93214</v>
      </c>
      <c r="N1096">
        <v>0.40040999999999999</v>
      </c>
      <c r="O1096">
        <v>0</v>
      </c>
      <c r="P1096">
        <v>4.0000000000000003E-5</v>
      </c>
      <c r="Q1096">
        <v>0</v>
      </c>
      <c r="R1096">
        <v>0</v>
      </c>
      <c r="S1096">
        <v>0</v>
      </c>
      <c r="T1096">
        <v>6.3890000000000002E-2</v>
      </c>
      <c r="U1096">
        <v>1.536E-2</v>
      </c>
      <c r="V1096">
        <v>14.132440000000001</v>
      </c>
      <c r="W1096" t="s">
        <v>9</v>
      </c>
      <c r="X1096">
        <v>137.578</v>
      </c>
      <c r="Y1096">
        <v>215.40199999999999</v>
      </c>
      <c r="Z1096">
        <v>5.4039999999999999</v>
      </c>
      <c r="AA1096">
        <v>0</v>
      </c>
      <c r="AB1096">
        <v>3.0000000000000001E-3</v>
      </c>
      <c r="AC1096">
        <v>0</v>
      </c>
      <c r="AD1096">
        <v>0</v>
      </c>
      <c r="AE1096">
        <v>0</v>
      </c>
      <c r="AF1096">
        <v>0.68700000000000006</v>
      </c>
      <c r="AG1096">
        <v>0.32200000000000001</v>
      </c>
      <c r="AH1096">
        <v>359.39600000000002</v>
      </c>
      <c r="AI1096" t="s">
        <v>22</v>
      </c>
      <c r="AJ1096">
        <v>493.33300000000003</v>
      </c>
      <c r="AK1096">
        <v>793.33299999999997</v>
      </c>
      <c r="AL1096">
        <v>183.33099999999999</v>
      </c>
      <c r="AM1096">
        <v>0</v>
      </c>
      <c r="AN1096">
        <v>3.3330000000000002</v>
      </c>
      <c r="AO1096">
        <v>0</v>
      </c>
      <c r="AP1096">
        <v>0</v>
      </c>
      <c r="AQ1096">
        <v>0</v>
      </c>
      <c r="AR1096">
        <v>6.6669999999999998</v>
      </c>
      <c r="AS1096">
        <v>50</v>
      </c>
      <c r="AT1096">
        <v>1529.9970000000001</v>
      </c>
      <c r="AU1096" t="s">
        <v>34</v>
      </c>
    </row>
    <row r="1097" spans="1:47" x14ac:dyDescent="0.2">
      <c r="A1097">
        <v>1769</v>
      </c>
      <c r="B1097" t="s">
        <v>613</v>
      </c>
      <c r="C1097">
        <v>25</v>
      </c>
      <c r="D1097" t="s">
        <v>589</v>
      </c>
      <c r="G1097" t="str">
        <f t="shared" si="17"/>
        <v>WWW110225SF009</v>
      </c>
      <c r="H1097">
        <v>71.742000000000004</v>
      </c>
      <c r="I1097">
        <v>-164.15899999999999</v>
      </c>
      <c r="J1097" s="3">
        <v>20110818</v>
      </c>
      <c r="K1097">
        <v>2011</v>
      </c>
      <c r="L1097">
        <v>3.55077</v>
      </c>
      <c r="M1097">
        <v>0.75836000000000003</v>
      </c>
      <c r="N1097">
        <v>0.33349000000000001</v>
      </c>
      <c r="O1097">
        <v>3.3975</v>
      </c>
      <c r="P1097">
        <v>1E-4</v>
      </c>
      <c r="Q1097">
        <v>0</v>
      </c>
      <c r="R1097">
        <v>8.6800000000000002E-2</v>
      </c>
      <c r="S1097">
        <v>0</v>
      </c>
      <c r="T1097">
        <v>1.367E-2</v>
      </c>
      <c r="U1097">
        <v>4.0200000000000001E-3</v>
      </c>
      <c r="V1097">
        <v>8.1447099999999999</v>
      </c>
      <c r="W1097" t="s">
        <v>9</v>
      </c>
      <c r="X1097">
        <v>50.835000000000001</v>
      </c>
      <c r="Y1097">
        <v>22.757000000000001</v>
      </c>
      <c r="Z1097">
        <v>4.7610000000000001</v>
      </c>
      <c r="AA1097">
        <v>75.5</v>
      </c>
      <c r="AB1097">
        <v>7.0000000000000001E-3</v>
      </c>
      <c r="AC1097">
        <v>0</v>
      </c>
      <c r="AD1097">
        <v>1.423</v>
      </c>
      <c r="AE1097">
        <v>0</v>
      </c>
      <c r="AF1097">
        <v>0.14699999999999999</v>
      </c>
      <c r="AG1097">
        <v>7.0000000000000007E-2</v>
      </c>
      <c r="AH1097">
        <v>155.5</v>
      </c>
      <c r="AI1097" t="s">
        <v>24</v>
      </c>
      <c r="AJ1097">
        <v>279.99900000000002</v>
      </c>
      <c r="AK1097">
        <v>463.334</v>
      </c>
      <c r="AL1097">
        <v>233.333</v>
      </c>
      <c r="AM1097">
        <v>13.333</v>
      </c>
      <c r="AN1097">
        <v>3.3330000000000002</v>
      </c>
      <c r="AO1097">
        <v>0</v>
      </c>
      <c r="AP1097">
        <v>3.3330000000000002</v>
      </c>
      <c r="AQ1097">
        <v>0</v>
      </c>
      <c r="AR1097">
        <v>6.6669999999999998</v>
      </c>
      <c r="AS1097">
        <v>26.666</v>
      </c>
      <c r="AT1097">
        <v>1029.998</v>
      </c>
      <c r="AU1097" t="s">
        <v>34</v>
      </c>
    </row>
    <row r="1098" spans="1:47" x14ac:dyDescent="0.2">
      <c r="A1098">
        <v>1770</v>
      </c>
      <c r="B1098" t="s">
        <v>613</v>
      </c>
      <c r="C1098">
        <v>26</v>
      </c>
      <c r="D1098" t="s">
        <v>590</v>
      </c>
      <c r="G1098" t="str">
        <f t="shared" si="17"/>
        <v>WWW110226SF011</v>
      </c>
      <c r="H1098">
        <v>71.741</v>
      </c>
      <c r="I1098">
        <v>-163.36199999999999</v>
      </c>
      <c r="J1098" s="3">
        <v>20110819</v>
      </c>
      <c r="K1098">
        <v>2011</v>
      </c>
      <c r="L1098">
        <v>2.4657499999999999</v>
      </c>
      <c r="M1098">
        <v>5.2378400000000003</v>
      </c>
      <c r="N1098">
        <v>0.16413</v>
      </c>
      <c r="O1098">
        <v>0</v>
      </c>
      <c r="P1098">
        <v>0.20258000000000001</v>
      </c>
      <c r="Q1098">
        <v>0</v>
      </c>
      <c r="R1098">
        <v>0</v>
      </c>
      <c r="S1098">
        <v>0</v>
      </c>
      <c r="T1098">
        <v>1.516E-2</v>
      </c>
      <c r="U1098">
        <v>4.4679999999999997E-2</v>
      </c>
      <c r="V1098">
        <v>8.1301400000000008</v>
      </c>
      <c r="W1098" t="s">
        <v>10</v>
      </c>
      <c r="X1098">
        <v>34.552999999999997</v>
      </c>
      <c r="Y1098">
        <v>146.4</v>
      </c>
      <c r="Z1098">
        <v>2.1840000000000002</v>
      </c>
      <c r="AA1098">
        <v>0</v>
      </c>
      <c r="AB1098">
        <v>14.47</v>
      </c>
      <c r="AC1098">
        <v>0</v>
      </c>
      <c r="AD1098">
        <v>0</v>
      </c>
      <c r="AE1098">
        <v>0</v>
      </c>
      <c r="AF1098">
        <v>0.16300000000000001</v>
      </c>
      <c r="AG1098">
        <v>0.995</v>
      </c>
      <c r="AH1098">
        <v>198.76499999999999</v>
      </c>
      <c r="AI1098" t="s">
        <v>22</v>
      </c>
      <c r="AJ1098">
        <v>243.33199999999999</v>
      </c>
      <c r="AK1098">
        <v>426.66699999999997</v>
      </c>
      <c r="AL1098">
        <v>60</v>
      </c>
      <c r="AM1098">
        <v>0</v>
      </c>
      <c r="AN1098">
        <v>13.333</v>
      </c>
      <c r="AO1098">
        <v>0</v>
      </c>
      <c r="AP1098">
        <v>0</v>
      </c>
      <c r="AQ1098">
        <v>0</v>
      </c>
      <c r="AR1098">
        <v>0</v>
      </c>
      <c r="AS1098">
        <v>36.665999999999997</v>
      </c>
      <c r="AT1098">
        <v>779.99800000000005</v>
      </c>
      <c r="AU1098" t="s">
        <v>34</v>
      </c>
    </row>
    <row r="1099" spans="1:47" x14ac:dyDescent="0.2">
      <c r="A1099">
        <v>1771</v>
      </c>
      <c r="B1099" t="s">
        <v>613</v>
      </c>
      <c r="C1099">
        <v>27</v>
      </c>
      <c r="D1099" t="s">
        <v>615</v>
      </c>
      <c r="G1099" t="str">
        <f t="shared" si="17"/>
        <v>WWW110227SF014</v>
      </c>
      <c r="H1099">
        <v>71.87</v>
      </c>
      <c r="I1099">
        <v>-164.554</v>
      </c>
      <c r="J1099" s="3">
        <v>20110817</v>
      </c>
      <c r="K1099">
        <v>2011</v>
      </c>
      <c r="L1099">
        <v>1.69983</v>
      </c>
      <c r="M1099">
        <v>1.3125500000000001</v>
      </c>
      <c r="N1099">
        <v>0.10037</v>
      </c>
      <c r="O1099">
        <v>0.88205</v>
      </c>
      <c r="P1099">
        <v>0</v>
      </c>
      <c r="Q1099">
        <v>0</v>
      </c>
      <c r="R1099">
        <v>0</v>
      </c>
      <c r="S1099">
        <v>0</v>
      </c>
      <c r="T1099">
        <v>9.3000000000000005E-4</v>
      </c>
      <c r="U1099">
        <v>0</v>
      </c>
      <c r="V1099">
        <v>3.99573</v>
      </c>
      <c r="W1099" t="s">
        <v>9</v>
      </c>
      <c r="X1099">
        <v>26.224</v>
      </c>
      <c r="Y1099">
        <v>29.321000000000002</v>
      </c>
      <c r="Z1099">
        <v>1.3959999999999999</v>
      </c>
      <c r="AA1099">
        <v>19.600999999999999</v>
      </c>
      <c r="AB1099">
        <v>0</v>
      </c>
      <c r="AC1099">
        <v>0</v>
      </c>
      <c r="AD1099">
        <v>0</v>
      </c>
      <c r="AE1099">
        <v>0</v>
      </c>
      <c r="AF1099">
        <v>0.01</v>
      </c>
      <c r="AG1099">
        <v>0</v>
      </c>
      <c r="AH1099">
        <v>76.552000000000007</v>
      </c>
      <c r="AI1099" t="s">
        <v>22</v>
      </c>
      <c r="AJ1099">
        <v>100</v>
      </c>
      <c r="AK1099">
        <v>180</v>
      </c>
      <c r="AL1099">
        <v>16.666</v>
      </c>
      <c r="AM1099">
        <v>3.3330000000000002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299.99900000000002</v>
      </c>
      <c r="AU1099" t="s">
        <v>34</v>
      </c>
    </row>
    <row r="1100" spans="1:47" x14ac:dyDescent="0.2">
      <c r="A1100">
        <v>1772</v>
      </c>
      <c r="B1100" t="s">
        <v>613</v>
      </c>
      <c r="C1100">
        <v>28</v>
      </c>
      <c r="D1100" t="s">
        <v>592</v>
      </c>
      <c r="G1100" t="str">
        <f t="shared" si="17"/>
        <v>WWW110228SF016</v>
      </c>
      <c r="H1100">
        <v>71.867999999999995</v>
      </c>
      <c r="I1100">
        <v>-163.756</v>
      </c>
      <c r="J1100" s="3">
        <v>20110823</v>
      </c>
      <c r="K1100">
        <v>2011</v>
      </c>
      <c r="L1100">
        <v>1.0310600000000001</v>
      </c>
      <c r="M1100">
        <v>15.02159</v>
      </c>
      <c r="N1100">
        <v>0.20709</v>
      </c>
      <c r="O1100">
        <v>0</v>
      </c>
      <c r="P1100">
        <v>0.28360999999999997</v>
      </c>
      <c r="Q1100">
        <v>0</v>
      </c>
      <c r="R1100">
        <v>0</v>
      </c>
      <c r="S1100">
        <v>0</v>
      </c>
      <c r="T1100">
        <v>1.2099999999999999E-3</v>
      </c>
      <c r="U1100">
        <v>1.2199999999999999E-3</v>
      </c>
      <c r="V1100">
        <v>16.545780000000001</v>
      </c>
      <c r="W1100" t="s">
        <v>10</v>
      </c>
      <c r="X1100">
        <v>12.888999999999999</v>
      </c>
      <c r="Y1100">
        <v>448.04</v>
      </c>
      <c r="Z1100">
        <v>2.9870000000000001</v>
      </c>
      <c r="AA1100">
        <v>0</v>
      </c>
      <c r="AB1100">
        <v>20.257999999999999</v>
      </c>
      <c r="AC1100">
        <v>0</v>
      </c>
      <c r="AD1100">
        <v>0</v>
      </c>
      <c r="AE1100">
        <v>0</v>
      </c>
      <c r="AF1100">
        <v>1.2999999999999999E-2</v>
      </c>
      <c r="AG1100">
        <v>2.7E-2</v>
      </c>
      <c r="AH1100">
        <v>484.214</v>
      </c>
      <c r="AI1100" t="s">
        <v>22</v>
      </c>
      <c r="AJ1100">
        <v>236.667</v>
      </c>
      <c r="AK1100">
        <v>639.99900000000002</v>
      </c>
      <c r="AL1100">
        <v>99.998999999999995</v>
      </c>
      <c r="AM1100">
        <v>0</v>
      </c>
      <c r="AN1100">
        <v>6.6660000000000004</v>
      </c>
      <c r="AO1100">
        <v>0</v>
      </c>
      <c r="AP1100">
        <v>0</v>
      </c>
      <c r="AQ1100">
        <v>0</v>
      </c>
      <c r="AR1100">
        <v>0</v>
      </c>
      <c r="AS1100">
        <v>3.3330000000000002</v>
      </c>
      <c r="AT1100">
        <v>986.66399999999999</v>
      </c>
      <c r="AU1100" t="s">
        <v>34</v>
      </c>
    </row>
    <row r="1101" spans="1:47" x14ac:dyDescent="0.2">
      <c r="A1101">
        <v>1773</v>
      </c>
      <c r="B1101" t="s">
        <v>613</v>
      </c>
      <c r="C1101">
        <v>29</v>
      </c>
      <c r="D1101" t="s">
        <v>593</v>
      </c>
      <c r="G1101" t="str">
        <f t="shared" si="17"/>
        <v>WWW110229SF018</v>
      </c>
      <c r="H1101">
        <v>71.861000000000004</v>
      </c>
      <c r="I1101">
        <v>-162.95500000000001</v>
      </c>
      <c r="J1101" s="3">
        <v>20110820</v>
      </c>
      <c r="K1101">
        <v>2011</v>
      </c>
      <c r="L1101">
        <v>2.1374300000000002</v>
      </c>
      <c r="M1101">
        <v>16.374479999999998</v>
      </c>
      <c r="N1101">
        <v>5.144E-2</v>
      </c>
      <c r="O1101">
        <v>0</v>
      </c>
      <c r="P1101">
        <v>0.29455999999999999</v>
      </c>
      <c r="Q1101">
        <v>0</v>
      </c>
      <c r="R1101">
        <v>0</v>
      </c>
      <c r="S1101">
        <v>0</v>
      </c>
      <c r="T1101">
        <v>5.0220000000000001E-2</v>
      </c>
      <c r="U1101">
        <v>5.7119999999999997E-2</v>
      </c>
      <c r="V1101">
        <v>18.965250000000001</v>
      </c>
      <c r="W1101" t="s">
        <v>10</v>
      </c>
      <c r="X1101">
        <v>29.433</v>
      </c>
      <c r="Y1101">
        <v>535.54700000000003</v>
      </c>
      <c r="Z1101">
        <v>0.72199999999999998</v>
      </c>
      <c r="AA1101">
        <v>0</v>
      </c>
      <c r="AB1101">
        <v>21.04</v>
      </c>
      <c r="AC1101">
        <v>0</v>
      </c>
      <c r="AD1101">
        <v>0</v>
      </c>
      <c r="AE1101">
        <v>0</v>
      </c>
      <c r="AF1101">
        <v>0.54</v>
      </c>
      <c r="AG1101">
        <v>1.31</v>
      </c>
      <c r="AH1101">
        <v>588.59199999999998</v>
      </c>
      <c r="AI1101" t="s">
        <v>22</v>
      </c>
      <c r="AJ1101">
        <v>723.33100000000002</v>
      </c>
      <c r="AK1101">
        <v>636.66600000000005</v>
      </c>
      <c r="AL1101">
        <v>56.665999999999997</v>
      </c>
      <c r="AM1101">
        <v>0</v>
      </c>
      <c r="AN1101">
        <v>20</v>
      </c>
      <c r="AO1101">
        <v>0</v>
      </c>
      <c r="AP1101">
        <v>0</v>
      </c>
      <c r="AQ1101">
        <v>0</v>
      </c>
      <c r="AR1101">
        <v>13.333</v>
      </c>
      <c r="AS1101">
        <v>43.332999999999998</v>
      </c>
      <c r="AT1101">
        <v>1493.329</v>
      </c>
      <c r="AU1101" t="s">
        <v>33</v>
      </c>
    </row>
    <row r="1102" spans="1:47" x14ac:dyDescent="0.2">
      <c r="A1102">
        <v>1774</v>
      </c>
      <c r="B1102" t="s">
        <v>613</v>
      </c>
      <c r="C1102">
        <v>3</v>
      </c>
      <c r="D1102" s="4" t="s">
        <v>783</v>
      </c>
      <c r="E1102" s="4" t="s">
        <v>783</v>
      </c>
      <c r="F1102" s="4" t="s">
        <v>55</v>
      </c>
      <c r="G1102" t="str">
        <f t="shared" si="17"/>
        <v>WWW11023DBO4.3</v>
      </c>
      <c r="H1102">
        <v>71.233999999999995</v>
      </c>
      <c r="I1102">
        <v>-162.63399999999999</v>
      </c>
      <c r="J1102" s="3">
        <v>20110815</v>
      </c>
      <c r="K1102">
        <v>2011</v>
      </c>
      <c r="L1102">
        <v>4.7435799999999997</v>
      </c>
      <c r="M1102">
        <v>3.4486500000000002</v>
      </c>
      <c r="N1102">
        <v>8.6780100000000004</v>
      </c>
      <c r="O1102">
        <v>1.16717</v>
      </c>
      <c r="P1102">
        <v>1.12836</v>
      </c>
      <c r="Q1102">
        <v>0</v>
      </c>
      <c r="R1102">
        <v>0.21657000000000001</v>
      </c>
      <c r="S1102">
        <v>0</v>
      </c>
      <c r="T1102">
        <v>9.9790000000000004E-2</v>
      </c>
      <c r="U1102">
        <v>0.10721</v>
      </c>
      <c r="V1102">
        <v>19.58934</v>
      </c>
      <c r="W1102" t="s">
        <v>11</v>
      </c>
      <c r="X1102">
        <v>66.75</v>
      </c>
      <c r="Y1102">
        <v>106.16200000000001</v>
      </c>
      <c r="Z1102">
        <v>127.182</v>
      </c>
      <c r="AA1102">
        <v>25.937000000000001</v>
      </c>
      <c r="AB1102">
        <v>80.596999999999994</v>
      </c>
      <c r="AC1102">
        <v>0</v>
      </c>
      <c r="AD1102">
        <v>3.6960000000000002</v>
      </c>
      <c r="AE1102">
        <v>0</v>
      </c>
      <c r="AF1102">
        <v>1.073</v>
      </c>
      <c r="AG1102">
        <v>2.3330000000000002</v>
      </c>
      <c r="AH1102">
        <v>413.73</v>
      </c>
      <c r="AI1102" t="s">
        <v>23</v>
      </c>
      <c r="AJ1102">
        <v>923.33399999999995</v>
      </c>
      <c r="AK1102">
        <v>690.00099999999998</v>
      </c>
      <c r="AL1102">
        <v>1906.6690000000001</v>
      </c>
      <c r="AM1102">
        <v>30</v>
      </c>
      <c r="AN1102">
        <v>229.999</v>
      </c>
      <c r="AO1102">
        <v>0</v>
      </c>
      <c r="AP1102">
        <v>13.333</v>
      </c>
      <c r="AQ1102">
        <v>0</v>
      </c>
      <c r="AR1102">
        <v>13.333</v>
      </c>
      <c r="AS1102">
        <v>60</v>
      </c>
      <c r="AT1102">
        <v>3866.6689999999999</v>
      </c>
      <c r="AU1102" t="s">
        <v>35</v>
      </c>
    </row>
    <row r="1103" spans="1:47" x14ac:dyDescent="0.2">
      <c r="A1103">
        <v>1775</v>
      </c>
      <c r="B1103" t="s">
        <v>613</v>
      </c>
      <c r="C1103">
        <v>30</v>
      </c>
      <c r="D1103" t="s">
        <v>594</v>
      </c>
      <c r="G1103" t="str">
        <f t="shared" si="17"/>
        <v>WWW110230SF020</v>
      </c>
      <c r="H1103">
        <v>71.994</v>
      </c>
      <c r="I1103">
        <v>-164.15100000000001</v>
      </c>
      <c r="J1103" s="3">
        <v>20110818</v>
      </c>
      <c r="K1103">
        <v>2011</v>
      </c>
      <c r="L1103">
        <v>7.82395</v>
      </c>
      <c r="M1103">
        <v>0.69259000000000004</v>
      </c>
      <c r="N1103">
        <v>0.60463</v>
      </c>
      <c r="O1103">
        <v>3.9121600000000001</v>
      </c>
      <c r="P1103">
        <v>1.282E-2</v>
      </c>
      <c r="Q1103">
        <v>0</v>
      </c>
      <c r="R1103">
        <v>0</v>
      </c>
      <c r="S1103">
        <v>0</v>
      </c>
      <c r="T1103">
        <v>0</v>
      </c>
      <c r="U1103">
        <v>3.15E-3</v>
      </c>
      <c r="V1103">
        <v>13.049300000000001</v>
      </c>
      <c r="W1103" t="s">
        <v>9</v>
      </c>
      <c r="X1103">
        <v>110.15600000000001</v>
      </c>
      <c r="Y1103">
        <v>26.707000000000001</v>
      </c>
      <c r="Z1103">
        <v>8.7639999999999993</v>
      </c>
      <c r="AA1103">
        <v>86.936999999999998</v>
      </c>
      <c r="AB1103">
        <v>0.91600000000000004</v>
      </c>
      <c r="AC1103">
        <v>0</v>
      </c>
      <c r="AD1103">
        <v>0</v>
      </c>
      <c r="AE1103">
        <v>0</v>
      </c>
      <c r="AF1103">
        <v>0</v>
      </c>
      <c r="AG1103">
        <v>6.6000000000000003E-2</v>
      </c>
      <c r="AH1103">
        <v>233.54599999999999</v>
      </c>
      <c r="AI1103" t="s">
        <v>21</v>
      </c>
      <c r="AJ1103">
        <v>423.33300000000003</v>
      </c>
      <c r="AK1103">
        <v>243.333</v>
      </c>
      <c r="AL1103">
        <v>283.33300000000003</v>
      </c>
      <c r="AM1103">
        <v>10</v>
      </c>
      <c r="AN1103">
        <v>6.6660000000000004</v>
      </c>
      <c r="AO1103">
        <v>0</v>
      </c>
      <c r="AP1103">
        <v>0</v>
      </c>
      <c r="AQ1103">
        <v>0</v>
      </c>
      <c r="AR1103">
        <v>0</v>
      </c>
      <c r="AS1103">
        <v>19.998999999999999</v>
      </c>
      <c r="AT1103">
        <v>986.66399999999999</v>
      </c>
      <c r="AU1103" t="s">
        <v>33</v>
      </c>
    </row>
    <row r="1104" spans="1:47" x14ac:dyDescent="0.2">
      <c r="A1104">
        <v>1776</v>
      </c>
      <c r="B1104" t="s">
        <v>613</v>
      </c>
      <c r="C1104">
        <v>31</v>
      </c>
      <c r="D1104" t="s">
        <v>595</v>
      </c>
      <c r="G1104" t="str">
        <f t="shared" si="17"/>
        <v>WWW110231SF022</v>
      </c>
      <c r="H1104">
        <v>71.989000000000004</v>
      </c>
      <c r="I1104">
        <v>-163.339</v>
      </c>
      <c r="J1104" s="3">
        <v>20110823</v>
      </c>
      <c r="K1104">
        <v>2011</v>
      </c>
      <c r="L1104">
        <v>0.94274000000000002</v>
      </c>
      <c r="M1104">
        <v>4.6287500000000001</v>
      </c>
      <c r="N1104">
        <v>0.15529000000000001</v>
      </c>
      <c r="O1104">
        <v>0</v>
      </c>
      <c r="P1104">
        <v>0.31481999999999999</v>
      </c>
      <c r="Q1104">
        <v>0</v>
      </c>
      <c r="R1104">
        <v>0</v>
      </c>
      <c r="S1104">
        <v>7.3999999999999999E-4</v>
      </c>
      <c r="T1104">
        <v>4.6499999999999996E-3</v>
      </c>
      <c r="U1104">
        <v>1.069E-2</v>
      </c>
      <c r="V1104">
        <v>6.0576800000000004</v>
      </c>
      <c r="W1104" t="s">
        <v>10</v>
      </c>
      <c r="X1104">
        <v>14.403</v>
      </c>
      <c r="Y1104">
        <v>162.65600000000001</v>
      </c>
      <c r="Z1104">
        <v>2.173</v>
      </c>
      <c r="AA1104">
        <v>0</v>
      </c>
      <c r="AB1104">
        <v>22.486999999999998</v>
      </c>
      <c r="AC1104">
        <v>0</v>
      </c>
      <c r="AD1104">
        <v>0</v>
      </c>
      <c r="AE1104">
        <v>5.2999999999999999E-2</v>
      </c>
      <c r="AF1104">
        <v>0.05</v>
      </c>
      <c r="AG1104">
        <v>0.22</v>
      </c>
      <c r="AH1104">
        <v>202.042</v>
      </c>
      <c r="AI1104" t="s">
        <v>22</v>
      </c>
      <c r="AJ1104">
        <v>220</v>
      </c>
      <c r="AK1104">
        <v>689.99900000000002</v>
      </c>
      <c r="AL1104">
        <v>46.667000000000002</v>
      </c>
      <c r="AM1104">
        <v>0</v>
      </c>
      <c r="AN1104">
        <v>16.666</v>
      </c>
      <c r="AO1104">
        <v>0</v>
      </c>
      <c r="AP1104">
        <v>0</v>
      </c>
      <c r="AQ1104">
        <v>3.3330000000000002</v>
      </c>
      <c r="AR1104">
        <v>3.3330000000000002</v>
      </c>
      <c r="AS1104">
        <v>36.665999999999997</v>
      </c>
      <c r="AT1104">
        <v>1016.664</v>
      </c>
      <c r="AU1104" t="s">
        <v>34</v>
      </c>
    </row>
    <row r="1105" spans="1:47" x14ac:dyDescent="0.2">
      <c r="A1105">
        <v>1777</v>
      </c>
      <c r="B1105" t="s">
        <v>613</v>
      </c>
      <c r="C1105">
        <v>32</v>
      </c>
      <c r="D1105" t="s">
        <v>596</v>
      </c>
      <c r="G1105" t="str">
        <f t="shared" si="17"/>
        <v>WWW110232SR005</v>
      </c>
      <c r="H1105">
        <v>71.516999999999996</v>
      </c>
      <c r="I1105">
        <v>-164.376</v>
      </c>
      <c r="J1105" s="3">
        <v>20110817</v>
      </c>
      <c r="K1105">
        <v>2011</v>
      </c>
      <c r="L1105">
        <v>7.06846</v>
      </c>
      <c r="M1105">
        <v>3.08169</v>
      </c>
      <c r="N1105">
        <v>0.65815000000000001</v>
      </c>
      <c r="O1105">
        <v>3.15E-3</v>
      </c>
      <c r="P1105">
        <v>0.43928</v>
      </c>
      <c r="Q1105">
        <v>0</v>
      </c>
      <c r="R1105">
        <v>0</v>
      </c>
      <c r="S1105">
        <v>0</v>
      </c>
      <c r="T1105">
        <v>0.20710999999999999</v>
      </c>
      <c r="U1105">
        <v>1.116E-2</v>
      </c>
      <c r="V1105">
        <v>11.468999999999999</v>
      </c>
      <c r="W1105" t="s">
        <v>9</v>
      </c>
      <c r="X1105">
        <v>102.337</v>
      </c>
      <c r="Y1105">
        <v>90.623999999999995</v>
      </c>
      <c r="Z1105">
        <v>9.3309999999999995</v>
      </c>
      <c r="AA1105">
        <v>7.0000000000000007E-2</v>
      </c>
      <c r="AB1105">
        <v>31.376999999999999</v>
      </c>
      <c r="AC1105">
        <v>0</v>
      </c>
      <c r="AD1105">
        <v>0</v>
      </c>
      <c r="AE1105">
        <v>0</v>
      </c>
      <c r="AF1105">
        <v>2.2269999999999999</v>
      </c>
      <c r="AG1105">
        <v>0.221</v>
      </c>
      <c r="AH1105">
        <v>236.18700000000001</v>
      </c>
      <c r="AI1105" t="s">
        <v>21</v>
      </c>
      <c r="AJ1105">
        <v>2669.998</v>
      </c>
      <c r="AK1105">
        <v>316.666</v>
      </c>
      <c r="AL1105">
        <v>1093.3340000000001</v>
      </c>
      <c r="AM1105">
        <v>43.332999999999998</v>
      </c>
      <c r="AN1105">
        <v>103.334</v>
      </c>
      <c r="AO1105">
        <v>0</v>
      </c>
      <c r="AP1105">
        <v>0</v>
      </c>
      <c r="AQ1105">
        <v>0</v>
      </c>
      <c r="AR1105">
        <v>50</v>
      </c>
      <c r="AS1105">
        <v>49.999000000000002</v>
      </c>
      <c r="AT1105">
        <v>4326.6639999999998</v>
      </c>
      <c r="AU1105" t="s">
        <v>33</v>
      </c>
    </row>
    <row r="1106" spans="1:47" x14ac:dyDescent="0.2">
      <c r="A1106">
        <v>1778</v>
      </c>
      <c r="B1106" t="s">
        <v>613</v>
      </c>
      <c r="C1106">
        <v>33</v>
      </c>
      <c r="D1106" t="s">
        <v>597</v>
      </c>
      <c r="G1106" t="str">
        <f t="shared" si="17"/>
        <v>WWW110233SR008</v>
      </c>
      <c r="H1106">
        <v>71.515000000000001</v>
      </c>
      <c r="I1106">
        <v>-163.977</v>
      </c>
      <c r="J1106" s="3">
        <v>20110819</v>
      </c>
      <c r="K1106">
        <v>2011</v>
      </c>
      <c r="L1106">
        <v>8.1590299999999996</v>
      </c>
      <c r="M1106">
        <v>2.3222999999999998</v>
      </c>
      <c r="N1106">
        <v>0.55447999999999997</v>
      </c>
      <c r="O1106">
        <v>1.1271199999999999</v>
      </c>
      <c r="P1106">
        <v>0.36778</v>
      </c>
      <c r="Q1106">
        <v>0</v>
      </c>
      <c r="R1106">
        <v>1.9383999999999999</v>
      </c>
      <c r="S1106">
        <v>2.7300000000000001E-2</v>
      </c>
      <c r="T1106">
        <v>8.9929999999999996E-2</v>
      </c>
      <c r="U1106">
        <v>1.6330000000000001E-2</v>
      </c>
      <c r="V1106">
        <v>14.60267</v>
      </c>
      <c r="W1106" t="s">
        <v>9</v>
      </c>
      <c r="X1106">
        <v>113.32599999999999</v>
      </c>
      <c r="Y1106">
        <v>124.896</v>
      </c>
      <c r="Z1106">
        <v>7.8979999999999997</v>
      </c>
      <c r="AA1106">
        <v>25.047000000000001</v>
      </c>
      <c r="AB1106">
        <v>26.27</v>
      </c>
      <c r="AC1106">
        <v>0</v>
      </c>
      <c r="AD1106">
        <v>31.777000000000001</v>
      </c>
      <c r="AE1106">
        <v>1.95</v>
      </c>
      <c r="AF1106">
        <v>0.96699999999999997</v>
      </c>
      <c r="AG1106">
        <v>0.35</v>
      </c>
      <c r="AH1106">
        <v>332.48099999999999</v>
      </c>
      <c r="AI1106" t="s">
        <v>22</v>
      </c>
      <c r="AJ1106">
        <v>629.99900000000002</v>
      </c>
      <c r="AK1106">
        <v>243.33099999999999</v>
      </c>
      <c r="AL1106">
        <v>1263.3320000000001</v>
      </c>
      <c r="AM1106">
        <v>66.667000000000002</v>
      </c>
      <c r="AN1106">
        <v>110</v>
      </c>
      <c r="AO1106">
        <v>0</v>
      </c>
      <c r="AP1106">
        <v>16.666</v>
      </c>
      <c r="AQ1106">
        <v>3.3330000000000002</v>
      </c>
      <c r="AR1106">
        <v>13.333</v>
      </c>
      <c r="AS1106">
        <v>36.665999999999997</v>
      </c>
      <c r="AT1106">
        <v>2383.3270000000002</v>
      </c>
      <c r="AU1106" t="s">
        <v>35</v>
      </c>
    </row>
    <row r="1107" spans="1:47" x14ac:dyDescent="0.2">
      <c r="A1107">
        <v>1779</v>
      </c>
      <c r="B1107" t="s">
        <v>613</v>
      </c>
      <c r="C1107">
        <v>34</v>
      </c>
      <c r="D1107" t="s">
        <v>598</v>
      </c>
      <c r="G1107" t="str">
        <f t="shared" si="17"/>
        <v>WWW110234SR013</v>
      </c>
      <c r="H1107">
        <v>71.558000000000007</v>
      </c>
      <c r="I1107">
        <v>-164.50399999999999</v>
      </c>
      <c r="J1107" s="3">
        <v>20110817</v>
      </c>
      <c r="K1107">
        <v>2011</v>
      </c>
      <c r="L1107">
        <v>4.4553399999999996</v>
      </c>
      <c r="M1107">
        <v>1.80369</v>
      </c>
      <c r="N1107">
        <v>0.29058</v>
      </c>
      <c r="O1107">
        <v>0</v>
      </c>
      <c r="P1107">
        <v>0.47949999999999998</v>
      </c>
      <c r="Q1107">
        <v>0</v>
      </c>
      <c r="R1107">
        <v>0</v>
      </c>
      <c r="S1107">
        <v>0</v>
      </c>
      <c r="T1107">
        <v>1.23997</v>
      </c>
      <c r="U1107">
        <v>6.9849999999999995E-2</v>
      </c>
      <c r="V1107">
        <v>8.3389299999999995</v>
      </c>
      <c r="W1107" t="s">
        <v>9</v>
      </c>
      <c r="X1107">
        <v>62.158999999999999</v>
      </c>
      <c r="Y1107">
        <v>79.816999999999993</v>
      </c>
      <c r="Z1107">
        <v>4.07</v>
      </c>
      <c r="AA1107">
        <v>0</v>
      </c>
      <c r="AB1107">
        <v>34.25</v>
      </c>
      <c r="AC1107">
        <v>0</v>
      </c>
      <c r="AD1107">
        <v>0</v>
      </c>
      <c r="AE1107">
        <v>0</v>
      </c>
      <c r="AF1107">
        <v>13.333</v>
      </c>
      <c r="AG1107">
        <v>1.66</v>
      </c>
      <c r="AH1107">
        <v>195.28899999999999</v>
      </c>
      <c r="AI1107" t="s">
        <v>22</v>
      </c>
      <c r="AJ1107">
        <v>386.66699999999997</v>
      </c>
      <c r="AK1107">
        <v>360</v>
      </c>
      <c r="AL1107">
        <v>683.33299999999997</v>
      </c>
      <c r="AM1107">
        <v>0</v>
      </c>
      <c r="AN1107">
        <v>60</v>
      </c>
      <c r="AO1107">
        <v>0</v>
      </c>
      <c r="AP1107">
        <v>0</v>
      </c>
      <c r="AQ1107">
        <v>0</v>
      </c>
      <c r="AR1107">
        <v>10</v>
      </c>
      <c r="AS1107">
        <v>36.665999999999997</v>
      </c>
      <c r="AT1107">
        <v>1536.6659999999999</v>
      </c>
      <c r="AU1107" t="s">
        <v>35</v>
      </c>
    </row>
    <row r="1108" spans="1:47" x14ac:dyDescent="0.2">
      <c r="A1108">
        <v>1780</v>
      </c>
      <c r="B1108" t="s">
        <v>613</v>
      </c>
      <c r="C1108">
        <v>35</v>
      </c>
      <c r="D1108" t="s">
        <v>599</v>
      </c>
      <c r="G1108" t="str">
        <f t="shared" si="17"/>
        <v>WWW110235SR035</v>
      </c>
      <c r="H1108">
        <v>71.64</v>
      </c>
      <c r="I1108">
        <v>-163.97200000000001</v>
      </c>
      <c r="J1108" s="3">
        <v>20110819</v>
      </c>
      <c r="K1108">
        <v>2011</v>
      </c>
      <c r="L1108">
        <v>3.9394300000000002</v>
      </c>
      <c r="M1108">
        <v>5.7654300000000003</v>
      </c>
      <c r="N1108">
        <v>5.8470000000000001E-2</v>
      </c>
      <c r="O1108">
        <v>3.2062499999999998</v>
      </c>
      <c r="P1108">
        <v>0.18171999999999999</v>
      </c>
      <c r="Q1108">
        <v>0</v>
      </c>
      <c r="R1108">
        <v>0.61004999999999998</v>
      </c>
      <c r="S1108">
        <v>0</v>
      </c>
      <c r="T1108">
        <v>5.1940499999999998</v>
      </c>
      <c r="U1108">
        <v>0.12936</v>
      </c>
      <c r="V1108">
        <v>19.084759999999999</v>
      </c>
      <c r="W1108" t="s">
        <v>10</v>
      </c>
      <c r="X1108">
        <v>58.563000000000002</v>
      </c>
      <c r="Y1108">
        <v>214.64699999999999</v>
      </c>
      <c r="Z1108">
        <v>0.73199999999999998</v>
      </c>
      <c r="AA1108">
        <v>71.25</v>
      </c>
      <c r="AB1108">
        <v>12.98</v>
      </c>
      <c r="AC1108">
        <v>0</v>
      </c>
      <c r="AD1108">
        <v>13.167</v>
      </c>
      <c r="AE1108">
        <v>0</v>
      </c>
      <c r="AF1108">
        <v>55.85</v>
      </c>
      <c r="AG1108">
        <v>3.0470000000000002</v>
      </c>
      <c r="AH1108">
        <v>430.23599999999999</v>
      </c>
      <c r="AI1108" t="s">
        <v>22</v>
      </c>
      <c r="AJ1108">
        <v>1526.665</v>
      </c>
      <c r="AK1108">
        <v>620.00099999999998</v>
      </c>
      <c r="AL1108">
        <v>283.33300000000003</v>
      </c>
      <c r="AM1108">
        <v>50</v>
      </c>
      <c r="AN1108">
        <v>50</v>
      </c>
      <c r="AO1108">
        <v>0</v>
      </c>
      <c r="AP1108">
        <v>6.6660000000000004</v>
      </c>
      <c r="AQ1108">
        <v>0</v>
      </c>
      <c r="AR1108">
        <v>26.667000000000002</v>
      </c>
      <c r="AS1108">
        <v>243.33199999999999</v>
      </c>
      <c r="AT1108">
        <v>2806.6640000000002</v>
      </c>
      <c r="AU1108" t="s">
        <v>33</v>
      </c>
    </row>
    <row r="1109" spans="1:47" x14ac:dyDescent="0.2">
      <c r="A1109">
        <v>1781</v>
      </c>
      <c r="B1109" t="s">
        <v>613</v>
      </c>
      <c r="C1109">
        <v>36</v>
      </c>
      <c r="D1109" t="s">
        <v>600</v>
      </c>
      <c r="G1109" t="str">
        <f t="shared" si="17"/>
        <v>WWW110236SR051</v>
      </c>
      <c r="H1109">
        <v>71.680000000000007</v>
      </c>
      <c r="I1109">
        <v>-163.84</v>
      </c>
      <c r="J1109" s="3">
        <v>20110820</v>
      </c>
      <c r="K1109">
        <v>2011</v>
      </c>
      <c r="L1109">
        <v>1.9323600000000001</v>
      </c>
      <c r="M1109">
        <v>17.85127</v>
      </c>
      <c r="N1109">
        <v>1.4837400000000001</v>
      </c>
      <c r="O1109">
        <v>2.8400000000000001E-3</v>
      </c>
      <c r="P1109">
        <v>0.1246</v>
      </c>
      <c r="Q1109">
        <v>0</v>
      </c>
      <c r="R1109">
        <v>7.1370000000000003E-2</v>
      </c>
      <c r="S1109">
        <v>0</v>
      </c>
      <c r="T1109">
        <v>2.7354099999999999</v>
      </c>
      <c r="U1109">
        <v>0.31353999999999999</v>
      </c>
      <c r="V1109">
        <v>24.515129999999999</v>
      </c>
      <c r="W1109" t="s">
        <v>10</v>
      </c>
      <c r="X1109">
        <v>25.731999999999999</v>
      </c>
      <c r="Y1109">
        <v>423.24900000000002</v>
      </c>
      <c r="Z1109">
        <v>21.523</v>
      </c>
      <c r="AA1109">
        <v>6.3E-2</v>
      </c>
      <c r="AB1109">
        <v>8.9</v>
      </c>
      <c r="AC1109">
        <v>0</v>
      </c>
      <c r="AD1109">
        <v>1.17</v>
      </c>
      <c r="AE1109">
        <v>0</v>
      </c>
      <c r="AF1109">
        <v>29.413</v>
      </c>
      <c r="AG1109">
        <v>7.31</v>
      </c>
      <c r="AH1109">
        <v>517.36</v>
      </c>
      <c r="AI1109" t="s">
        <v>22</v>
      </c>
      <c r="AJ1109">
        <v>540</v>
      </c>
      <c r="AK1109">
        <v>980</v>
      </c>
      <c r="AL1109">
        <v>279.99900000000002</v>
      </c>
      <c r="AM1109">
        <v>6.6669999999999998</v>
      </c>
      <c r="AN1109">
        <v>40</v>
      </c>
      <c r="AO1109">
        <v>0</v>
      </c>
      <c r="AP1109">
        <v>13.333</v>
      </c>
      <c r="AQ1109">
        <v>0</v>
      </c>
      <c r="AR1109">
        <v>23.332999999999998</v>
      </c>
      <c r="AS1109">
        <v>63.332999999999998</v>
      </c>
      <c r="AT1109">
        <v>1946.665</v>
      </c>
      <c r="AU1109" t="s">
        <v>34</v>
      </c>
    </row>
    <row r="1110" spans="1:47" x14ac:dyDescent="0.2">
      <c r="A1110">
        <v>1782</v>
      </c>
      <c r="B1110" t="s">
        <v>613</v>
      </c>
      <c r="C1110">
        <v>37</v>
      </c>
      <c r="D1110" t="s">
        <v>601</v>
      </c>
      <c r="G1110" t="str">
        <f t="shared" si="17"/>
        <v>WWW110237SR077</v>
      </c>
      <c r="H1110">
        <v>71.766000000000005</v>
      </c>
      <c r="I1110">
        <v>-164.36199999999999</v>
      </c>
      <c r="J1110" s="3">
        <v>20110818</v>
      </c>
      <c r="K1110">
        <v>2011</v>
      </c>
      <c r="L1110">
        <v>4.5344100000000003</v>
      </c>
      <c r="M1110">
        <v>1.2369300000000001</v>
      </c>
      <c r="N1110">
        <v>0.16441</v>
      </c>
      <c r="O1110">
        <v>1.3500000000000001E-3</v>
      </c>
      <c r="P1110">
        <v>3.0000000000000001E-5</v>
      </c>
      <c r="Q1110">
        <v>0</v>
      </c>
      <c r="R1110">
        <v>0.57523000000000002</v>
      </c>
      <c r="S1110">
        <v>0.21346000000000001</v>
      </c>
      <c r="T1110">
        <v>2.5760000000000002E-2</v>
      </c>
      <c r="U1110">
        <v>1.8370000000000001E-2</v>
      </c>
      <c r="V1110">
        <v>6.7699499999999997</v>
      </c>
      <c r="W1110" t="s">
        <v>9</v>
      </c>
      <c r="X1110">
        <v>63.994</v>
      </c>
      <c r="Y1110">
        <v>73.715999999999994</v>
      </c>
      <c r="Z1110">
        <v>2.363</v>
      </c>
      <c r="AA1110">
        <v>0.03</v>
      </c>
      <c r="AB1110">
        <v>2E-3</v>
      </c>
      <c r="AC1110">
        <v>0</v>
      </c>
      <c r="AD1110">
        <v>9.43</v>
      </c>
      <c r="AE1110">
        <v>15.247</v>
      </c>
      <c r="AF1110">
        <v>0.27700000000000002</v>
      </c>
      <c r="AG1110">
        <v>0.38400000000000001</v>
      </c>
      <c r="AH1110">
        <v>165.44300000000001</v>
      </c>
      <c r="AI1110" t="s">
        <v>22</v>
      </c>
      <c r="AJ1110">
        <v>366.666</v>
      </c>
      <c r="AK1110">
        <v>260</v>
      </c>
      <c r="AL1110">
        <v>236.666</v>
      </c>
      <c r="AM1110">
        <v>3.3330000000000002</v>
      </c>
      <c r="AN1110">
        <v>3.3330000000000002</v>
      </c>
      <c r="AO1110">
        <v>0</v>
      </c>
      <c r="AP1110">
        <v>13.333</v>
      </c>
      <c r="AQ1110">
        <v>10</v>
      </c>
      <c r="AR1110">
        <v>0</v>
      </c>
      <c r="AS1110">
        <v>33.332999999999998</v>
      </c>
      <c r="AT1110">
        <v>926.66399999999999</v>
      </c>
      <c r="AU1110" t="s">
        <v>33</v>
      </c>
    </row>
    <row r="1111" spans="1:47" x14ac:dyDescent="0.2">
      <c r="A1111">
        <v>1783</v>
      </c>
      <c r="B1111" t="s">
        <v>613</v>
      </c>
      <c r="C1111">
        <v>38</v>
      </c>
      <c r="D1111" t="s">
        <v>602</v>
      </c>
      <c r="G1111" t="str">
        <f t="shared" si="17"/>
        <v>WWW110238SR083</v>
      </c>
      <c r="H1111">
        <v>71.760999999999996</v>
      </c>
      <c r="I1111">
        <v>-163.56899999999999</v>
      </c>
      <c r="J1111" s="3">
        <v>20110820</v>
      </c>
      <c r="K1111">
        <v>2011</v>
      </c>
      <c r="L1111">
        <v>4.0647399999999996</v>
      </c>
      <c r="M1111">
        <v>5.6493900000000004</v>
      </c>
      <c r="N1111">
        <v>0.72575000000000001</v>
      </c>
      <c r="O1111">
        <v>0</v>
      </c>
      <c r="P1111">
        <v>7.3599999999999999E-2</v>
      </c>
      <c r="Q1111">
        <v>0</v>
      </c>
      <c r="R1111">
        <v>0</v>
      </c>
      <c r="S1111">
        <v>0.60063999999999995</v>
      </c>
      <c r="T1111">
        <v>0.97492000000000001</v>
      </c>
      <c r="U1111">
        <v>0.81945000000000001</v>
      </c>
      <c r="V1111">
        <v>12.90849</v>
      </c>
      <c r="W1111" t="s">
        <v>10</v>
      </c>
      <c r="X1111">
        <v>54.106000000000002</v>
      </c>
      <c r="Y1111">
        <v>159.381</v>
      </c>
      <c r="Z1111">
        <v>10.516999999999999</v>
      </c>
      <c r="AA1111">
        <v>0</v>
      </c>
      <c r="AB1111">
        <v>5.2569999999999997</v>
      </c>
      <c r="AC1111">
        <v>0</v>
      </c>
      <c r="AD1111">
        <v>0</v>
      </c>
      <c r="AE1111">
        <v>42.902999999999999</v>
      </c>
      <c r="AF1111">
        <v>10.483000000000001</v>
      </c>
      <c r="AG1111">
        <v>16.22</v>
      </c>
      <c r="AH1111">
        <v>298.86700000000002</v>
      </c>
      <c r="AI1111" t="s">
        <v>22</v>
      </c>
      <c r="AJ1111">
        <v>453.33300000000003</v>
      </c>
      <c r="AK1111">
        <v>640.00099999999998</v>
      </c>
      <c r="AL1111">
        <v>169.999</v>
      </c>
      <c r="AM1111">
        <v>0</v>
      </c>
      <c r="AN1111">
        <v>40</v>
      </c>
      <c r="AO1111">
        <v>0</v>
      </c>
      <c r="AP1111">
        <v>0</v>
      </c>
      <c r="AQ1111">
        <v>13.333</v>
      </c>
      <c r="AR1111">
        <v>13.333</v>
      </c>
      <c r="AS1111">
        <v>29.998999999999999</v>
      </c>
      <c r="AT1111">
        <v>1359.998</v>
      </c>
      <c r="AU1111" t="s">
        <v>34</v>
      </c>
    </row>
    <row r="1112" spans="1:47" x14ac:dyDescent="0.2">
      <c r="A1112">
        <v>1784</v>
      </c>
      <c r="B1112" t="s">
        <v>613</v>
      </c>
      <c r="C1112">
        <v>39</v>
      </c>
      <c r="D1112" t="s">
        <v>603</v>
      </c>
      <c r="G1112" t="str">
        <f t="shared" si="17"/>
        <v>WWW110239SR086</v>
      </c>
      <c r="H1112">
        <v>71.757999999999996</v>
      </c>
      <c r="I1112">
        <v>-163.16999999999999</v>
      </c>
      <c r="J1112" s="3">
        <v>20110819</v>
      </c>
      <c r="K1112">
        <v>2011</v>
      </c>
      <c r="L1112">
        <v>1.9978199999999999</v>
      </c>
      <c r="M1112">
        <v>10.40706</v>
      </c>
      <c r="N1112">
        <v>0.31139</v>
      </c>
      <c r="O1112">
        <v>0</v>
      </c>
      <c r="P1112">
        <v>0.35521999999999998</v>
      </c>
      <c r="Q1112">
        <v>0</v>
      </c>
      <c r="R1112">
        <v>0</v>
      </c>
      <c r="S1112">
        <v>0</v>
      </c>
      <c r="T1112">
        <v>2.6040000000000001E-2</v>
      </c>
      <c r="U1112">
        <v>1.2800000000000001E-2</v>
      </c>
      <c r="V1112">
        <v>13.110329999999999</v>
      </c>
      <c r="W1112" t="s">
        <v>10</v>
      </c>
      <c r="X1112">
        <v>28.448</v>
      </c>
      <c r="Y1112">
        <v>293.64600000000002</v>
      </c>
      <c r="Z1112">
        <v>3.94</v>
      </c>
      <c r="AA1112">
        <v>0</v>
      </c>
      <c r="AB1112">
        <v>25.373000000000001</v>
      </c>
      <c r="AC1112">
        <v>0</v>
      </c>
      <c r="AD1112">
        <v>0</v>
      </c>
      <c r="AE1112">
        <v>0</v>
      </c>
      <c r="AF1112">
        <v>0.28000000000000003</v>
      </c>
      <c r="AG1112">
        <v>0.43</v>
      </c>
      <c r="AH1112">
        <v>352.11700000000002</v>
      </c>
      <c r="AI1112" t="s">
        <v>22</v>
      </c>
      <c r="AJ1112">
        <v>463.33199999999999</v>
      </c>
      <c r="AK1112">
        <v>643.33199999999999</v>
      </c>
      <c r="AL1112">
        <v>570</v>
      </c>
      <c r="AM1112">
        <v>0</v>
      </c>
      <c r="AN1112">
        <v>53.332999999999998</v>
      </c>
      <c r="AO1112">
        <v>0</v>
      </c>
      <c r="AP1112">
        <v>0</v>
      </c>
      <c r="AQ1112">
        <v>0</v>
      </c>
      <c r="AR1112">
        <v>6.6669999999999998</v>
      </c>
      <c r="AS1112">
        <v>6.6669999999999998</v>
      </c>
      <c r="AT1112">
        <v>1743.3309999999999</v>
      </c>
      <c r="AU1112" t="s">
        <v>34</v>
      </c>
    </row>
    <row r="1113" spans="1:47" x14ac:dyDescent="0.2">
      <c r="A1113">
        <v>1785</v>
      </c>
      <c r="B1113" t="s">
        <v>613</v>
      </c>
      <c r="C1113">
        <v>4</v>
      </c>
      <c r="D1113" t="s">
        <v>56</v>
      </c>
      <c r="G1113" t="str">
        <f t="shared" si="17"/>
        <v>WWW11024BF011</v>
      </c>
      <c r="H1113">
        <v>71.370999999999995</v>
      </c>
      <c r="I1113">
        <v>-163.78700000000001</v>
      </c>
      <c r="J1113" s="3">
        <v>20110811</v>
      </c>
      <c r="K1113">
        <v>2011</v>
      </c>
      <c r="L1113">
        <v>5.6526899999999998</v>
      </c>
      <c r="M1113">
        <v>1.3706499999999999</v>
      </c>
      <c r="N1113">
        <v>1.9150199999999999</v>
      </c>
      <c r="O1113">
        <v>3.4424999999999999</v>
      </c>
      <c r="P1113">
        <v>0.46804000000000001</v>
      </c>
      <c r="Q1113">
        <v>0</v>
      </c>
      <c r="R1113">
        <v>0</v>
      </c>
      <c r="S1113">
        <v>2.7599999999999999E-3</v>
      </c>
      <c r="T1113">
        <v>0.12434000000000001</v>
      </c>
      <c r="U1113">
        <v>2.5229999999999999E-2</v>
      </c>
      <c r="V1113">
        <v>13.00123</v>
      </c>
      <c r="W1113" t="s">
        <v>9</v>
      </c>
      <c r="X1113">
        <v>80.411000000000001</v>
      </c>
      <c r="Y1113">
        <v>42.694000000000003</v>
      </c>
      <c r="Z1113">
        <v>27.806999999999999</v>
      </c>
      <c r="AA1113">
        <v>76.5</v>
      </c>
      <c r="AB1113">
        <v>33.430999999999997</v>
      </c>
      <c r="AC1113">
        <v>0</v>
      </c>
      <c r="AD1113">
        <v>0</v>
      </c>
      <c r="AE1113">
        <v>0.19700000000000001</v>
      </c>
      <c r="AF1113">
        <v>1.337</v>
      </c>
      <c r="AG1113">
        <v>0.77100000000000002</v>
      </c>
      <c r="AH1113">
        <v>263.14800000000002</v>
      </c>
      <c r="AI1113" t="s">
        <v>21</v>
      </c>
      <c r="AJ1113">
        <v>1946.6669999999999</v>
      </c>
      <c r="AK1113">
        <v>396.666</v>
      </c>
      <c r="AL1113">
        <v>1619.998</v>
      </c>
      <c r="AM1113">
        <v>43.332999999999998</v>
      </c>
      <c r="AN1113">
        <v>103.333</v>
      </c>
      <c r="AO1113">
        <v>0</v>
      </c>
      <c r="AP1113">
        <v>0</v>
      </c>
      <c r="AQ1113">
        <v>6.6669999999999998</v>
      </c>
      <c r="AR1113">
        <v>26.667000000000002</v>
      </c>
      <c r="AS1113">
        <v>26.666</v>
      </c>
      <c r="AT1113">
        <v>4169.9970000000003</v>
      </c>
      <c r="AU1113" t="s">
        <v>33</v>
      </c>
    </row>
    <row r="1114" spans="1:47" x14ac:dyDescent="0.2">
      <c r="A1114">
        <v>1786</v>
      </c>
      <c r="B1114" t="s">
        <v>613</v>
      </c>
      <c r="C1114">
        <v>40</v>
      </c>
      <c r="D1114" t="s">
        <v>604</v>
      </c>
      <c r="G1114" t="str">
        <f t="shared" si="17"/>
        <v>WWW110240SR093</v>
      </c>
      <c r="H1114">
        <v>71.807000000000002</v>
      </c>
      <c r="I1114">
        <v>-164.226</v>
      </c>
      <c r="J1114" s="3">
        <v>20110818</v>
      </c>
      <c r="K1114">
        <v>2011</v>
      </c>
      <c r="L1114">
        <v>4.1522300000000003</v>
      </c>
      <c r="M1114">
        <v>3.2982800000000001</v>
      </c>
      <c r="N1114">
        <v>0.17635000000000001</v>
      </c>
      <c r="O1114">
        <v>0</v>
      </c>
      <c r="P1114">
        <v>4.0000000000000003E-5</v>
      </c>
      <c r="Q1114">
        <v>0</v>
      </c>
      <c r="R1114">
        <v>0</v>
      </c>
      <c r="S1114">
        <v>0.24636</v>
      </c>
      <c r="T1114">
        <v>1.8319999999999999E-2</v>
      </c>
      <c r="U1114">
        <v>4.8199999999999996E-3</v>
      </c>
      <c r="V1114">
        <v>7.8963999999999999</v>
      </c>
      <c r="W1114" t="s">
        <v>9</v>
      </c>
      <c r="X1114">
        <v>60.670999999999999</v>
      </c>
      <c r="Y1114">
        <v>129.815</v>
      </c>
      <c r="Z1114">
        <v>2.407</v>
      </c>
      <c r="AA1114">
        <v>0</v>
      </c>
      <c r="AB1114">
        <v>3.0000000000000001E-3</v>
      </c>
      <c r="AC1114">
        <v>0</v>
      </c>
      <c r="AD1114">
        <v>0</v>
      </c>
      <c r="AE1114">
        <v>17.597000000000001</v>
      </c>
      <c r="AF1114">
        <v>0.19700000000000001</v>
      </c>
      <c r="AG1114">
        <v>0.107</v>
      </c>
      <c r="AH1114">
        <v>210.797</v>
      </c>
      <c r="AI1114" t="s">
        <v>22</v>
      </c>
      <c r="AJ1114">
        <v>363.33199999999999</v>
      </c>
      <c r="AK1114">
        <v>453.33300000000003</v>
      </c>
      <c r="AL1114">
        <v>76.665999999999997</v>
      </c>
      <c r="AM1114">
        <v>0</v>
      </c>
      <c r="AN1114">
        <v>3.3330000000000002</v>
      </c>
      <c r="AO1114">
        <v>0</v>
      </c>
      <c r="AP1114">
        <v>0</v>
      </c>
      <c r="AQ1114">
        <v>13.333</v>
      </c>
      <c r="AR1114">
        <v>10</v>
      </c>
      <c r="AS1114">
        <v>6.6669999999999998</v>
      </c>
      <c r="AT1114">
        <v>926.66399999999999</v>
      </c>
      <c r="AU1114" t="s">
        <v>34</v>
      </c>
    </row>
    <row r="1115" spans="1:47" x14ac:dyDescent="0.2">
      <c r="A1115">
        <v>1787</v>
      </c>
      <c r="B1115" t="s">
        <v>613</v>
      </c>
      <c r="C1115">
        <v>41</v>
      </c>
      <c r="D1115" t="s">
        <v>605</v>
      </c>
      <c r="G1115" t="str">
        <f t="shared" si="17"/>
        <v>WWW110241SR094</v>
      </c>
      <c r="H1115">
        <v>71.805999999999997</v>
      </c>
      <c r="I1115">
        <v>-164.09399999999999</v>
      </c>
      <c r="J1115" s="3">
        <v>20110818</v>
      </c>
      <c r="K1115">
        <v>2011</v>
      </c>
      <c r="L1115">
        <v>3.1502300000000001</v>
      </c>
      <c r="M1115">
        <v>1.8655200000000001</v>
      </c>
      <c r="N1115">
        <v>0.64515</v>
      </c>
      <c r="O1115">
        <v>0.93091999999999997</v>
      </c>
      <c r="P1115">
        <v>1.2600000000000001E-3</v>
      </c>
      <c r="Q1115">
        <v>0</v>
      </c>
      <c r="R1115">
        <v>0</v>
      </c>
      <c r="S1115">
        <v>0</v>
      </c>
      <c r="T1115">
        <v>5.8599999999999998E-3</v>
      </c>
      <c r="U1115">
        <v>1.695E-2</v>
      </c>
      <c r="V1115">
        <v>6.6158900000000003</v>
      </c>
      <c r="W1115" t="s">
        <v>9</v>
      </c>
      <c r="X1115">
        <v>43.841000000000001</v>
      </c>
      <c r="Y1115">
        <v>69.58</v>
      </c>
      <c r="Z1115">
        <v>9.1929999999999996</v>
      </c>
      <c r="AA1115">
        <v>20.687000000000001</v>
      </c>
      <c r="AB1115">
        <v>0.09</v>
      </c>
      <c r="AC1115">
        <v>0</v>
      </c>
      <c r="AD1115">
        <v>0</v>
      </c>
      <c r="AE1115">
        <v>0</v>
      </c>
      <c r="AF1115">
        <v>6.3E-2</v>
      </c>
      <c r="AG1115">
        <v>0.34300000000000003</v>
      </c>
      <c r="AH1115">
        <v>143.797</v>
      </c>
      <c r="AI1115" t="s">
        <v>22</v>
      </c>
      <c r="AJ1115">
        <v>300.00099999999998</v>
      </c>
      <c r="AK1115">
        <v>503.334</v>
      </c>
      <c r="AL1115">
        <v>406.66699999999997</v>
      </c>
      <c r="AM1115">
        <v>6.6669999999999998</v>
      </c>
      <c r="AN1115">
        <v>16.667000000000002</v>
      </c>
      <c r="AO1115">
        <v>0</v>
      </c>
      <c r="AP1115">
        <v>0</v>
      </c>
      <c r="AQ1115">
        <v>0</v>
      </c>
      <c r="AR1115">
        <v>3.3330000000000002</v>
      </c>
      <c r="AS1115">
        <v>43.334000000000003</v>
      </c>
      <c r="AT1115">
        <v>1280.0029999999999</v>
      </c>
      <c r="AU1115" t="s">
        <v>34</v>
      </c>
    </row>
    <row r="1116" spans="1:47" x14ac:dyDescent="0.2">
      <c r="A1116">
        <v>1788</v>
      </c>
      <c r="B1116" t="s">
        <v>613</v>
      </c>
      <c r="C1116">
        <v>42</v>
      </c>
      <c r="D1116" t="s">
        <v>606</v>
      </c>
      <c r="G1116" t="str">
        <f t="shared" si="17"/>
        <v>WWW110242SR104</v>
      </c>
      <c r="H1116">
        <v>71.850999999999999</v>
      </c>
      <c r="I1116">
        <v>-164.75899999999999</v>
      </c>
      <c r="J1116" s="3">
        <v>20110817</v>
      </c>
      <c r="K1116">
        <v>2011</v>
      </c>
      <c r="L1116">
        <v>2.0808300000000002</v>
      </c>
      <c r="M1116">
        <v>0.72909999999999997</v>
      </c>
      <c r="N1116">
        <v>0.29239999999999999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4.4359999999999997E-2</v>
      </c>
      <c r="U1116">
        <v>6.9699999999999996E-3</v>
      </c>
      <c r="V1116">
        <v>3.1536599999999999</v>
      </c>
      <c r="W1116" t="s">
        <v>9</v>
      </c>
      <c r="X1116">
        <v>27.702000000000002</v>
      </c>
      <c r="Y1116">
        <v>17.943999999999999</v>
      </c>
      <c r="Z1116">
        <v>4.0270000000000001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0.47699999999999998</v>
      </c>
      <c r="AG1116">
        <v>0.14599999999999999</v>
      </c>
      <c r="AH1116">
        <v>50.295999999999999</v>
      </c>
      <c r="AI1116" t="s">
        <v>21</v>
      </c>
      <c r="AJ1116">
        <v>160</v>
      </c>
      <c r="AK1116">
        <v>216.667</v>
      </c>
      <c r="AL1116">
        <v>70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3.3330000000000002</v>
      </c>
      <c r="AS1116">
        <v>13.333</v>
      </c>
      <c r="AT1116">
        <v>463.33300000000003</v>
      </c>
      <c r="AU1116" t="s">
        <v>34</v>
      </c>
    </row>
    <row r="1117" spans="1:47" x14ac:dyDescent="0.2">
      <c r="A1117">
        <v>1789</v>
      </c>
      <c r="B1117" t="s">
        <v>613</v>
      </c>
      <c r="C1117">
        <v>43</v>
      </c>
      <c r="D1117" t="s">
        <v>607</v>
      </c>
      <c r="G1117" t="str">
        <f t="shared" si="17"/>
        <v>WWW110243SR116</v>
      </c>
      <c r="H1117">
        <v>71.841999999999999</v>
      </c>
      <c r="I1117">
        <v>-163.16200000000001</v>
      </c>
      <c r="J1117" s="3">
        <v>20110820</v>
      </c>
      <c r="K1117">
        <v>2011</v>
      </c>
      <c r="L1117">
        <v>3.1122700000000001</v>
      </c>
      <c r="M1117">
        <v>14.844900000000001</v>
      </c>
      <c r="N1117">
        <v>0.18559</v>
      </c>
      <c r="O1117">
        <v>2.7820399999999998</v>
      </c>
      <c r="P1117">
        <v>2.1000000000000001E-4</v>
      </c>
      <c r="Q1117">
        <v>0</v>
      </c>
      <c r="R1117">
        <v>0.47336</v>
      </c>
      <c r="S1117">
        <v>0</v>
      </c>
      <c r="T1117">
        <v>0.13364000000000001</v>
      </c>
      <c r="U1117">
        <v>0.40699999999999997</v>
      </c>
      <c r="V1117">
        <v>21.93901</v>
      </c>
      <c r="W1117" t="s">
        <v>10</v>
      </c>
      <c r="X1117">
        <v>40.756999999999998</v>
      </c>
      <c r="Y1117">
        <v>431.58699999999999</v>
      </c>
      <c r="Z1117">
        <v>2.6379999999999999</v>
      </c>
      <c r="AA1117">
        <v>61.823</v>
      </c>
      <c r="AB1117">
        <v>1.4999999999999999E-2</v>
      </c>
      <c r="AC1117">
        <v>0</v>
      </c>
      <c r="AD1117">
        <v>7.76</v>
      </c>
      <c r="AE1117">
        <v>0</v>
      </c>
      <c r="AF1117">
        <v>1.4370000000000001</v>
      </c>
      <c r="AG1117">
        <v>36.204999999999998</v>
      </c>
      <c r="AH1117">
        <v>582.22199999999998</v>
      </c>
      <c r="AI1117" t="s">
        <v>22</v>
      </c>
      <c r="AJ1117">
        <v>1136.665</v>
      </c>
      <c r="AK1117">
        <v>756.66600000000005</v>
      </c>
      <c r="AL1117">
        <v>113.33199999999999</v>
      </c>
      <c r="AM1117">
        <v>56.667000000000002</v>
      </c>
      <c r="AN1117">
        <v>10</v>
      </c>
      <c r="AO1117">
        <v>0</v>
      </c>
      <c r="AP1117">
        <v>16.667000000000002</v>
      </c>
      <c r="AQ1117">
        <v>0</v>
      </c>
      <c r="AR1117">
        <v>16.667000000000002</v>
      </c>
      <c r="AS1117">
        <v>70</v>
      </c>
      <c r="AT1117">
        <v>2176.6640000000002</v>
      </c>
      <c r="AU1117" t="s">
        <v>33</v>
      </c>
    </row>
    <row r="1118" spans="1:47" x14ac:dyDescent="0.2">
      <c r="A1118">
        <v>1790</v>
      </c>
      <c r="B1118" t="s">
        <v>613</v>
      </c>
      <c r="C1118">
        <v>44</v>
      </c>
      <c r="D1118" t="s">
        <v>608</v>
      </c>
      <c r="G1118" t="str">
        <f t="shared" si="17"/>
        <v>WWW110244SR137</v>
      </c>
      <c r="H1118">
        <v>71.974999999999994</v>
      </c>
      <c r="I1118">
        <v>-164.35499999999999</v>
      </c>
      <c r="J1118" s="3">
        <v>20110817</v>
      </c>
      <c r="K1118">
        <v>2011</v>
      </c>
      <c r="L1118">
        <v>1.5981399999999999</v>
      </c>
      <c r="M1118">
        <v>3.31854</v>
      </c>
      <c r="N1118">
        <v>8.8419999999999999E-2</v>
      </c>
      <c r="O1118">
        <v>0</v>
      </c>
      <c r="P1118">
        <v>0</v>
      </c>
      <c r="Q1118">
        <v>0</v>
      </c>
      <c r="R1118">
        <v>0.31885000000000002</v>
      </c>
      <c r="S1118">
        <v>0</v>
      </c>
      <c r="T1118">
        <v>0</v>
      </c>
      <c r="U1118">
        <v>7.6999999999999996E-4</v>
      </c>
      <c r="V1118">
        <v>5.3247200000000001</v>
      </c>
      <c r="W1118" t="s">
        <v>10</v>
      </c>
      <c r="X1118">
        <v>23.472999999999999</v>
      </c>
      <c r="Y1118">
        <v>73.936999999999998</v>
      </c>
      <c r="Z1118">
        <v>1.1870000000000001</v>
      </c>
      <c r="AA1118">
        <v>0</v>
      </c>
      <c r="AB1118">
        <v>0</v>
      </c>
      <c r="AC1118">
        <v>0</v>
      </c>
      <c r="AD1118">
        <v>5.2270000000000003</v>
      </c>
      <c r="AE1118">
        <v>0</v>
      </c>
      <c r="AF1118">
        <v>0</v>
      </c>
      <c r="AG1118">
        <v>1.7000000000000001E-2</v>
      </c>
      <c r="AH1118">
        <v>103.84099999999999</v>
      </c>
      <c r="AI1118" t="s">
        <v>22</v>
      </c>
      <c r="AJ1118">
        <v>163.33199999999999</v>
      </c>
      <c r="AK1118">
        <v>243.33199999999999</v>
      </c>
      <c r="AL1118">
        <v>10</v>
      </c>
      <c r="AM1118">
        <v>0</v>
      </c>
      <c r="AN1118">
        <v>0</v>
      </c>
      <c r="AO1118">
        <v>0</v>
      </c>
      <c r="AP1118">
        <v>3.3330000000000002</v>
      </c>
      <c r="AQ1118">
        <v>0</v>
      </c>
      <c r="AR1118">
        <v>0</v>
      </c>
      <c r="AS1118">
        <v>3.3330000000000002</v>
      </c>
      <c r="AT1118">
        <v>423.33</v>
      </c>
      <c r="AU1118" t="s">
        <v>34</v>
      </c>
    </row>
    <row r="1119" spans="1:47" x14ac:dyDescent="0.2">
      <c r="A1119">
        <v>1791</v>
      </c>
      <c r="B1119" t="s">
        <v>613</v>
      </c>
      <c r="C1119">
        <v>5</v>
      </c>
      <c r="D1119" s="4" t="s">
        <v>782</v>
      </c>
      <c r="E1119" s="4" t="s">
        <v>782</v>
      </c>
      <c r="F1119" s="4" t="s">
        <v>57</v>
      </c>
      <c r="G1119" t="str">
        <f t="shared" si="17"/>
        <v>WWW11025DBO4.4</v>
      </c>
      <c r="H1119">
        <v>71.364999999999995</v>
      </c>
      <c r="I1119">
        <v>-162.99600000000001</v>
      </c>
      <c r="J1119" s="3">
        <v>20110814</v>
      </c>
      <c r="K1119">
        <v>2011</v>
      </c>
      <c r="L1119">
        <v>13.02826</v>
      </c>
      <c r="M1119">
        <v>3.0102500000000001</v>
      </c>
      <c r="N1119">
        <v>0.70438000000000001</v>
      </c>
      <c r="O1119">
        <v>3.7618299999999998</v>
      </c>
      <c r="P1119">
        <v>0.4854</v>
      </c>
      <c r="Q1119">
        <v>0</v>
      </c>
      <c r="R1119">
        <v>0</v>
      </c>
      <c r="S1119">
        <v>0</v>
      </c>
      <c r="T1119">
        <v>0.47987999999999997</v>
      </c>
      <c r="U1119">
        <v>5.604E-2</v>
      </c>
      <c r="V1119">
        <v>21.526039999999998</v>
      </c>
      <c r="W1119" t="s">
        <v>9</v>
      </c>
      <c r="X1119">
        <v>185.43799999999999</v>
      </c>
      <c r="Y1119">
        <v>83.953000000000003</v>
      </c>
      <c r="Z1119">
        <v>9.875</v>
      </c>
      <c r="AA1119">
        <v>83.596000000000004</v>
      </c>
      <c r="AB1119">
        <v>34.670999999999999</v>
      </c>
      <c r="AC1119">
        <v>0</v>
      </c>
      <c r="AD1119">
        <v>0</v>
      </c>
      <c r="AE1119">
        <v>0</v>
      </c>
      <c r="AF1119">
        <v>5.16</v>
      </c>
      <c r="AG1119">
        <v>1.216</v>
      </c>
      <c r="AH1119">
        <v>403.90899999999999</v>
      </c>
      <c r="AI1119" t="s">
        <v>21</v>
      </c>
      <c r="AJ1119">
        <v>11493.332</v>
      </c>
      <c r="AK1119">
        <v>676.66600000000005</v>
      </c>
      <c r="AL1119">
        <v>2586.6660000000002</v>
      </c>
      <c r="AM1119">
        <v>146.667</v>
      </c>
      <c r="AN1119">
        <v>120</v>
      </c>
      <c r="AO1119">
        <v>0</v>
      </c>
      <c r="AP1119">
        <v>0</v>
      </c>
      <c r="AQ1119">
        <v>0</v>
      </c>
      <c r="AR1119">
        <v>63.332999999999998</v>
      </c>
      <c r="AS1119">
        <v>49.999000000000002</v>
      </c>
      <c r="AT1119">
        <v>15136.663</v>
      </c>
      <c r="AU1119" t="s">
        <v>33</v>
      </c>
    </row>
    <row r="1120" spans="1:47" x14ac:dyDescent="0.2">
      <c r="A1120">
        <v>1792</v>
      </c>
      <c r="B1120" t="s">
        <v>613</v>
      </c>
      <c r="C1120">
        <v>6</v>
      </c>
      <c r="D1120" t="s">
        <v>58</v>
      </c>
      <c r="G1120" t="str">
        <f t="shared" si="17"/>
        <v>WWW11026BF015</v>
      </c>
      <c r="H1120">
        <v>71.349999999999994</v>
      </c>
      <c r="I1120">
        <v>-162.233</v>
      </c>
      <c r="J1120" s="3">
        <v>20110816</v>
      </c>
      <c r="K1120">
        <v>2011</v>
      </c>
      <c r="L1120">
        <v>11.684049999999999</v>
      </c>
      <c r="M1120">
        <v>14.954050000000001</v>
      </c>
      <c r="N1120">
        <v>0.69494999999999996</v>
      </c>
      <c r="O1120">
        <v>1.90157</v>
      </c>
      <c r="P1120">
        <v>0.50334000000000001</v>
      </c>
      <c r="Q1120">
        <v>0</v>
      </c>
      <c r="R1120">
        <v>0</v>
      </c>
      <c r="S1120">
        <v>6.4820000000000003E-2</v>
      </c>
      <c r="T1120">
        <v>0.14945</v>
      </c>
      <c r="U1120">
        <v>7.6200000000000004E-2</v>
      </c>
      <c r="V1120">
        <v>30.02843</v>
      </c>
      <c r="W1120" t="s">
        <v>10</v>
      </c>
      <c r="X1120">
        <v>166.947</v>
      </c>
      <c r="Y1120">
        <v>484.53800000000001</v>
      </c>
      <c r="Z1120">
        <v>9.8490000000000002</v>
      </c>
      <c r="AA1120">
        <v>42.256999999999998</v>
      </c>
      <c r="AB1120">
        <v>35.953000000000003</v>
      </c>
      <c r="AC1120">
        <v>0</v>
      </c>
      <c r="AD1120">
        <v>0</v>
      </c>
      <c r="AE1120">
        <v>4.63</v>
      </c>
      <c r="AF1120">
        <v>1.607</v>
      </c>
      <c r="AG1120">
        <v>1.613</v>
      </c>
      <c r="AH1120">
        <v>747.39400000000001</v>
      </c>
      <c r="AI1120" t="s">
        <v>22</v>
      </c>
      <c r="AJ1120">
        <v>5676.6660000000002</v>
      </c>
      <c r="AK1120">
        <v>1236.6669999999999</v>
      </c>
      <c r="AL1120">
        <v>1543.335</v>
      </c>
      <c r="AM1120">
        <v>93.334000000000003</v>
      </c>
      <c r="AN1120">
        <v>116.667</v>
      </c>
      <c r="AO1120">
        <v>0</v>
      </c>
      <c r="AP1120">
        <v>0</v>
      </c>
      <c r="AQ1120">
        <v>3.3330000000000002</v>
      </c>
      <c r="AR1120">
        <v>6.6669999999999998</v>
      </c>
      <c r="AS1120">
        <v>59.999000000000002</v>
      </c>
      <c r="AT1120">
        <v>8736.6679999999997</v>
      </c>
      <c r="AU1120" t="s">
        <v>33</v>
      </c>
    </row>
    <row r="1121" spans="1:47" x14ac:dyDescent="0.2">
      <c r="A1121">
        <v>1793</v>
      </c>
      <c r="B1121" t="s">
        <v>613</v>
      </c>
      <c r="C1121">
        <v>7</v>
      </c>
      <c r="D1121" s="4" t="s">
        <v>781</v>
      </c>
      <c r="E1121" s="4" t="s">
        <v>781</v>
      </c>
      <c r="F1121" s="4" t="s">
        <v>59</v>
      </c>
      <c r="G1121" t="str">
        <f t="shared" si="17"/>
        <v>WWW11027DBO4.5</v>
      </c>
      <c r="H1121">
        <v>71.491</v>
      </c>
      <c r="I1121">
        <v>-163.38999999999999</v>
      </c>
      <c r="J1121" s="3">
        <v>20110813</v>
      </c>
      <c r="K1121">
        <v>2011</v>
      </c>
      <c r="L1121">
        <v>3.2889200000000001</v>
      </c>
      <c r="M1121">
        <v>3.9850099999999999</v>
      </c>
      <c r="N1121">
        <v>0.54085000000000005</v>
      </c>
      <c r="O1121">
        <v>9.7199999999999995E-2</v>
      </c>
      <c r="P1121">
        <v>0.30690000000000001</v>
      </c>
      <c r="Q1121">
        <v>0</v>
      </c>
      <c r="R1121">
        <v>0.10492</v>
      </c>
      <c r="S1121">
        <v>0</v>
      </c>
      <c r="T1121">
        <v>0.22785</v>
      </c>
      <c r="U1121">
        <v>4.6280000000000002E-2</v>
      </c>
      <c r="V1121">
        <v>8.5979299999999999</v>
      </c>
      <c r="W1121" t="s">
        <v>10</v>
      </c>
      <c r="X1121">
        <v>45.055</v>
      </c>
      <c r="Y1121">
        <v>173.64400000000001</v>
      </c>
      <c r="Z1121">
        <v>7.8529999999999998</v>
      </c>
      <c r="AA1121">
        <v>2.16</v>
      </c>
      <c r="AB1121">
        <v>21.920999999999999</v>
      </c>
      <c r="AC1121">
        <v>0</v>
      </c>
      <c r="AD1121">
        <v>1.72</v>
      </c>
      <c r="AE1121">
        <v>0</v>
      </c>
      <c r="AF1121">
        <v>2.4500000000000002</v>
      </c>
      <c r="AG1121">
        <v>1.49</v>
      </c>
      <c r="AH1121">
        <v>256.29300000000001</v>
      </c>
      <c r="AI1121" t="s">
        <v>22</v>
      </c>
      <c r="AJ1121">
        <v>623.33199999999999</v>
      </c>
      <c r="AK1121">
        <v>250</v>
      </c>
      <c r="AL1121">
        <v>610</v>
      </c>
      <c r="AM1121">
        <v>30</v>
      </c>
      <c r="AN1121">
        <v>46.665999999999997</v>
      </c>
      <c r="AO1121">
        <v>0</v>
      </c>
      <c r="AP1121">
        <v>3.3330000000000002</v>
      </c>
      <c r="AQ1121">
        <v>0</v>
      </c>
      <c r="AR1121">
        <v>13.333</v>
      </c>
      <c r="AS1121">
        <v>50</v>
      </c>
      <c r="AT1121">
        <v>1626.664</v>
      </c>
      <c r="AU1121" t="s">
        <v>33</v>
      </c>
    </row>
    <row r="1122" spans="1:47" x14ac:dyDescent="0.2">
      <c r="A1122">
        <v>1794</v>
      </c>
      <c r="B1122" t="s">
        <v>613</v>
      </c>
      <c r="C1122">
        <v>8</v>
      </c>
      <c r="D1122" t="s">
        <v>60</v>
      </c>
      <c r="G1122" t="str">
        <f t="shared" si="17"/>
        <v>WWW11028BF019</v>
      </c>
      <c r="H1122">
        <v>71.483000000000004</v>
      </c>
      <c r="I1122">
        <v>-162.60300000000001</v>
      </c>
      <c r="J1122" s="3">
        <v>20110815</v>
      </c>
      <c r="K1122">
        <v>2011</v>
      </c>
      <c r="L1122">
        <v>6.5427900000000001</v>
      </c>
      <c r="M1122">
        <v>7.63741</v>
      </c>
      <c r="N1122">
        <v>0.55961000000000005</v>
      </c>
      <c r="O1122">
        <v>2.3539999999999998E-2</v>
      </c>
      <c r="P1122">
        <v>0.17444000000000001</v>
      </c>
      <c r="Q1122">
        <v>0</v>
      </c>
      <c r="R1122">
        <v>0</v>
      </c>
      <c r="S1122">
        <v>0</v>
      </c>
      <c r="T1122">
        <v>0.67676000000000003</v>
      </c>
      <c r="U1122">
        <v>0.16583000000000001</v>
      </c>
      <c r="V1122">
        <v>15.780379999999999</v>
      </c>
      <c r="W1122" t="s">
        <v>10</v>
      </c>
      <c r="X1122">
        <v>92.260999999999996</v>
      </c>
      <c r="Y1122">
        <v>244.01300000000001</v>
      </c>
      <c r="Z1122">
        <v>8.1769999999999996</v>
      </c>
      <c r="AA1122">
        <v>0.52300000000000002</v>
      </c>
      <c r="AB1122">
        <v>12.46</v>
      </c>
      <c r="AC1122">
        <v>0</v>
      </c>
      <c r="AD1122">
        <v>0</v>
      </c>
      <c r="AE1122">
        <v>0</v>
      </c>
      <c r="AF1122">
        <v>7.2770000000000001</v>
      </c>
      <c r="AG1122">
        <v>5.843</v>
      </c>
      <c r="AH1122">
        <v>370.55399999999997</v>
      </c>
      <c r="AI1122" t="s">
        <v>22</v>
      </c>
      <c r="AJ1122">
        <v>4179.9979999999996</v>
      </c>
      <c r="AK1122">
        <v>590.00199999999995</v>
      </c>
      <c r="AL1122">
        <v>430</v>
      </c>
      <c r="AM1122">
        <v>23.334</v>
      </c>
      <c r="AN1122">
        <v>16.667000000000002</v>
      </c>
      <c r="AO1122">
        <v>0</v>
      </c>
      <c r="AP1122">
        <v>0</v>
      </c>
      <c r="AQ1122">
        <v>0</v>
      </c>
      <c r="AR1122">
        <v>10</v>
      </c>
      <c r="AS1122">
        <v>89.998999999999995</v>
      </c>
      <c r="AT1122">
        <v>5340</v>
      </c>
      <c r="AU1122" t="s">
        <v>33</v>
      </c>
    </row>
    <row r="1123" spans="1:47" x14ac:dyDescent="0.2">
      <c r="A1123">
        <v>1795</v>
      </c>
      <c r="B1123" t="s">
        <v>613</v>
      </c>
      <c r="C1123">
        <v>9</v>
      </c>
      <c r="D1123" s="4" t="s">
        <v>780</v>
      </c>
      <c r="E1123" s="4" t="s">
        <v>780</v>
      </c>
      <c r="F1123" s="4" t="s">
        <v>61</v>
      </c>
      <c r="G1123" t="str">
        <f t="shared" si="17"/>
        <v>WWW11029DBO4.6</v>
      </c>
      <c r="H1123">
        <v>71.62</v>
      </c>
      <c r="I1123">
        <v>-163.774</v>
      </c>
      <c r="J1123" s="3">
        <v>20110811</v>
      </c>
      <c r="K1123">
        <v>2011</v>
      </c>
      <c r="L1123">
        <v>23.186710000000001</v>
      </c>
      <c r="M1123">
        <v>1.40228</v>
      </c>
      <c r="N1123">
        <v>0.31847999999999999</v>
      </c>
      <c r="O1123">
        <v>2.2499999999999998E-3</v>
      </c>
      <c r="P1123">
        <v>0.26679999999999998</v>
      </c>
      <c r="Q1123">
        <v>0</v>
      </c>
      <c r="R1123">
        <v>1.2E-4</v>
      </c>
      <c r="S1123">
        <v>0.18092</v>
      </c>
      <c r="T1123">
        <v>0.11848</v>
      </c>
      <c r="U1123">
        <v>4.1549999999999997E-2</v>
      </c>
      <c r="V1123">
        <v>25.517589999999998</v>
      </c>
      <c r="W1123" t="s">
        <v>9</v>
      </c>
      <c r="X1123">
        <v>330.19299999999998</v>
      </c>
      <c r="Y1123">
        <v>39.506999999999998</v>
      </c>
      <c r="Z1123">
        <v>4.6269999999999998</v>
      </c>
      <c r="AA1123">
        <v>0.05</v>
      </c>
      <c r="AB1123">
        <v>19.056999999999999</v>
      </c>
      <c r="AC1123">
        <v>0</v>
      </c>
      <c r="AD1123">
        <v>3.0000000000000001E-3</v>
      </c>
      <c r="AE1123">
        <v>12.923</v>
      </c>
      <c r="AF1123">
        <v>1.274</v>
      </c>
      <c r="AG1123">
        <v>0.97299999999999998</v>
      </c>
      <c r="AH1123">
        <v>408.60700000000003</v>
      </c>
      <c r="AI1123" t="s">
        <v>21</v>
      </c>
      <c r="AJ1123">
        <v>630</v>
      </c>
      <c r="AK1123">
        <v>209.999</v>
      </c>
      <c r="AL1123">
        <v>313.33199999999999</v>
      </c>
      <c r="AM1123">
        <v>13.333</v>
      </c>
      <c r="AN1123">
        <v>50</v>
      </c>
      <c r="AO1123">
        <v>0</v>
      </c>
      <c r="AP1123">
        <v>6.6669999999999998</v>
      </c>
      <c r="AQ1123">
        <v>3.3330000000000002</v>
      </c>
      <c r="AR1123">
        <v>13.333</v>
      </c>
      <c r="AS1123">
        <v>86.667000000000002</v>
      </c>
      <c r="AT1123">
        <v>1326.664</v>
      </c>
      <c r="AU1123" t="s">
        <v>33</v>
      </c>
    </row>
    <row r="1124" spans="1:47" x14ac:dyDescent="0.2">
      <c r="A1124">
        <v>1796</v>
      </c>
      <c r="B1124" t="s">
        <v>616</v>
      </c>
      <c r="C1124">
        <v>45</v>
      </c>
      <c r="D1124" t="s">
        <v>617</v>
      </c>
      <c r="G1124" t="str">
        <f t="shared" si="17"/>
        <v>WWW110445HC003</v>
      </c>
      <c r="H1124">
        <v>71.247</v>
      </c>
      <c r="I1124">
        <v>-165.732</v>
      </c>
      <c r="J1124" s="3">
        <v>20110910</v>
      </c>
      <c r="K1124">
        <v>2011</v>
      </c>
      <c r="L1124">
        <v>2.9741399999999998</v>
      </c>
      <c r="M1124">
        <v>0.91169999999999995</v>
      </c>
      <c r="N1124">
        <v>2.3570000000000001E-2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2.495E-2</v>
      </c>
      <c r="V1124">
        <v>3.9343599999999999</v>
      </c>
      <c r="W1124" t="s">
        <v>9</v>
      </c>
      <c r="X1124">
        <v>44.753999999999998</v>
      </c>
      <c r="Y1124">
        <v>21.190999999999999</v>
      </c>
      <c r="Z1124">
        <v>0.29399999999999998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0.64900000000000002</v>
      </c>
      <c r="AH1124">
        <v>66.888000000000005</v>
      </c>
      <c r="AI1124" t="s">
        <v>21</v>
      </c>
      <c r="AJ1124">
        <v>170</v>
      </c>
      <c r="AK1124">
        <v>1056.6669999999999</v>
      </c>
      <c r="AL1124">
        <v>39.999000000000002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60</v>
      </c>
      <c r="AT1124">
        <v>1326.6659999999999</v>
      </c>
      <c r="AU1124" t="s">
        <v>34</v>
      </c>
    </row>
    <row r="1125" spans="1:47" x14ac:dyDescent="0.2">
      <c r="A1125">
        <v>1797</v>
      </c>
      <c r="B1125" t="s">
        <v>616</v>
      </c>
      <c r="C1125">
        <v>46</v>
      </c>
      <c r="D1125" t="s">
        <v>618</v>
      </c>
      <c r="G1125" t="str">
        <f t="shared" si="17"/>
        <v>WWW110446HC011</v>
      </c>
      <c r="H1125">
        <v>71.620999999999995</v>
      </c>
      <c r="I1125">
        <v>-165.34800000000001</v>
      </c>
      <c r="J1125" s="3">
        <v>20110911</v>
      </c>
      <c r="K1125">
        <v>2011</v>
      </c>
      <c r="L1125">
        <v>7.3366800000000003</v>
      </c>
      <c r="M1125">
        <v>0.96804999999999997</v>
      </c>
      <c r="N1125">
        <v>0.12942000000000001</v>
      </c>
      <c r="O1125">
        <v>0</v>
      </c>
      <c r="P1125">
        <v>1.3999999999999999E-4</v>
      </c>
      <c r="Q1125">
        <v>0</v>
      </c>
      <c r="R1125">
        <v>0</v>
      </c>
      <c r="S1125">
        <v>0</v>
      </c>
      <c r="T1125">
        <v>1.67E-3</v>
      </c>
      <c r="U1125">
        <v>2.2210000000000001E-2</v>
      </c>
      <c r="V1125">
        <v>8.4581700000000009</v>
      </c>
      <c r="W1125" t="s">
        <v>9</v>
      </c>
      <c r="X1125">
        <v>102.89700000000001</v>
      </c>
      <c r="Y1125">
        <v>42.384</v>
      </c>
      <c r="Z1125">
        <v>1.6859999999999999</v>
      </c>
      <c r="AA1125">
        <v>0</v>
      </c>
      <c r="AB1125">
        <v>0.01</v>
      </c>
      <c r="AC1125">
        <v>0</v>
      </c>
      <c r="AD1125">
        <v>0</v>
      </c>
      <c r="AE1125">
        <v>0</v>
      </c>
      <c r="AF1125">
        <v>1.7999999999999999E-2</v>
      </c>
      <c r="AG1125">
        <v>0.54100000000000004</v>
      </c>
      <c r="AH1125">
        <v>147.536</v>
      </c>
      <c r="AI1125" t="s">
        <v>21</v>
      </c>
      <c r="AJ1125">
        <v>259.99799999999999</v>
      </c>
      <c r="AK1125">
        <v>406.66699999999997</v>
      </c>
      <c r="AL1125">
        <v>53.332999999999998</v>
      </c>
      <c r="AM1125">
        <v>0</v>
      </c>
      <c r="AN1125">
        <v>3.3330000000000002</v>
      </c>
      <c r="AO1125">
        <v>0</v>
      </c>
      <c r="AP1125">
        <v>0</v>
      </c>
      <c r="AQ1125">
        <v>0</v>
      </c>
      <c r="AR1125">
        <v>10</v>
      </c>
      <c r="AS1125">
        <v>30</v>
      </c>
      <c r="AT1125">
        <v>763.33100000000002</v>
      </c>
      <c r="AU1125" t="s">
        <v>34</v>
      </c>
    </row>
    <row r="1126" spans="1:47" x14ac:dyDescent="0.2">
      <c r="A1126">
        <v>1798</v>
      </c>
      <c r="B1126" t="s">
        <v>616</v>
      </c>
      <c r="C1126">
        <v>47</v>
      </c>
      <c r="D1126" t="s">
        <v>619</v>
      </c>
      <c r="G1126" t="str">
        <f t="shared" si="17"/>
        <v>WWW110447HC012</v>
      </c>
      <c r="H1126">
        <v>71.745000000000005</v>
      </c>
      <c r="I1126">
        <v>-165.749</v>
      </c>
      <c r="J1126" s="3">
        <v>20110913</v>
      </c>
      <c r="K1126">
        <v>2011</v>
      </c>
      <c r="L1126">
        <v>1.64821</v>
      </c>
      <c r="M1126">
        <v>5.8426</v>
      </c>
      <c r="N1126">
        <v>1.2559400000000001</v>
      </c>
      <c r="O1126">
        <v>4.4089700000000001</v>
      </c>
      <c r="P1126">
        <v>0</v>
      </c>
      <c r="Q1126">
        <v>0</v>
      </c>
      <c r="R1126">
        <v>0</v>
      </c>
      <c r="S1126">
        <v>1.5259999999999999E-2</v>
      </c>
      <c r="T1126">
        <v>1.9000000000000001E-4</v>
      </c>
      <c r="U1126">
        <v>6.2E-4</v>
      </c>
      <c r="V1126">
        <v>13.17179</v>
      </c>
      <c r="W1126" t="s">
        <v>10</v>
      </c>
      <c r="X1126">
        <v>24.167000000000002</v>
      </c>
      <c r="Y1126">
        <v>274.14699999999999</v>
      </c>
      <c r="Z1126">
        <v>16.716999999999999</v>
      </c>
      <c r="AA1126">
        <v>97.977000000000004</v>
      </c>
      <c r="AB1126">
        <v>0</v>
      </c>
      <c r="AC1126">
        <v>0</v>
      </c>
      <c r="AD1126">
        <v>0</v>
      </c>
      <c r="AE1126">
        <v>1.0900000000000001</v>
      </c>
      <c r="AF1126">
        <v>2E-3</v>
      </c>
      <c r="AG1126">
        <v>0.01</v>
      </c>
      <c r="AH1126">
        <v>414.11</v>
      </c>
      <c r="AI1126" t="s">
        <v>22</v>
      </c>
      <c r="AJ1126">
        <v>173.33099999999999</v>
      </c>
      <c r="AK1126">
        <v>883.33199999999999</v>
      </c>
      <c r="AL1126">
        <v>493.334</v>
      </c>
      <c r="AM1126">
        <v>3.3330000000000002</v>
      </c>
      <c r="AN1126">
        <v>0</v>
      </c>
      <c r="AO1126">
        <v>0</v>
      </c>
      <c r="AP1126">
        <v>0</v>
      </c>
      <c r="AQ1126">
        <v>13.333</v>
      </c>
      <c r="AR1126">
        <v>0</v>
      </c>
      <c r="AS1126">
        <v>3.3330000000000002</v>
      </c>
      <c r="AT1126">
        <v>1569.9960000000001</v>
      </c>
      <c r="AU1126" t="s">
        <v>34</v>
      </c>
    </row>
    <row r="1127" spans="1:47" x14ac:dyDescent="0.2">
      <c r="A1127">
        <v>1799</v>
      </c>
      <c r="B1127" t="s">
        <v>616</v>
      </c>
      <c r="C1127">
        <v>48</v>
      </c>
      <c r="D1127" t="s">
        <v>620</v>
      </c>
      <c r="G1127" t="str">
        <f t="shared" si="17"/>
        <v>WWW110448HC020</v>
      </c>
      <c r="H1127">
        <v>71.572000000000003</v>
      </c>
      <c r="I1127">
        <v>-160.62100000000001</v>
      </c>
      <c r="J1127" s="3">
        <v>20111002</v>
      </c>
      <c r="K1127">
        <v>2011</v>
      </c>
      <c r="L1127">
        <v>2.55315</v>
      </c>
      <c r="M1127">
        <v>9.8872900000000001</v>
      </c>
      <c r="N1127">
        <v>7.2559999999999999E-2</v>
      </c>
      <c r="O1127">
        <v>0</v>
      </c>
      <c r="P1127">
        <v>0.13367999999999999</v>
      </c>
      <c r="Q1127">
        <v>0</v>
      </c>
      <c r="R1127">
        <v>0.28548000000000001</v>
      </c>
      <c r="S1127">
        <v>0</v>
      </c>
      <c r="T1127">
        <v>0.11067</v>
      </c>
      <c r="U1127">
        <v>2.46E-2</v>
      </c>
      <c r="V1127">
        <v>13.06743</v>
      </c>
      <c r="W1127" t="s">
        <v>10</v>
      </c>
      <c r="X1127">
        <v>39.033000000000001</v>
      </c>
      <c r="Y1127">
        <v>275.74599999999998</v>
      </c>
      <c r="Z1127">
        <v>1.056</v>
      </c>
      <c r="AA1127">
        <v>0</v>
      </c>
      <c r="AB1127">
        <v>9.5489999999999995</v>
      </c>
      <c r="AC1127">
        <v>0</v>
      </c>
      <c r="AD1127">
        <v>4.68</v>
      </c>
      <c r="AE1127">
        <v>0</v>
      </c>
      <c r="AF1127">
        <v>1.19</v>
      </c>
      <c r="AG1127">
        <v>0.6</v>
      </c>
      <c r="AH1127">
        <v>331.85399999999998</v>
      </c>
      <c r="AI1127" t="s">
        <v>22</v>
      </c>
      <c r="AJ1127">
        <v>283.33199999999999</v>
      </c>
      <c r="AK1127">
        <v>519.99900000000002</v>
      </c>
      <c r="AL1127">
        <v>29.998999999999999</v>
      </c>
      <c r="AM1127">
        <v>0</v>
      </c>
      <c r="AN1127">
        <v>10</v>
      </c>
      <c r="AO1127">
        <v>0</v>
      </c>
      <c r="AP1127">
        <v>13.333</v>
      </c>
      <c r="AQ1127">
        <v>0</v>
      </c>
      <c r="AR1127">
        <v>10</v>
      </c>
      <c r="AS1127">
        <v>23.332000000000001</v>
      </c>
      <c r="AT1127">
        <v>889.995</v>
      </c>
      <c r="AU1127" t="s">
        <v>34</v>
      </c>
    </row>
    <row r="1128" spans="1:47" x14ac:dyDescent="0.2">
      <c r="A1128">
        <v>1800</v>
      </c>
      <c r="B1128" t="s">
        <v>616</v>
      </c>
      <c r="C1128">
        <v>49</v>
      </c>
      <c r="D1128" s="4" t="s">
        <v>850</v>
      </c>
      <c r="E1128" s="4" t="s">
        <v>850</v>
      </c>
      <c r="F1128" s="4" t="s">
        <v>621</v>
      </c>
      <c r="G1128" t="str">
        <f t="shared" si="17"/>
        <v>WWW110449DBO4.5n</v>
      </c>
      <c r="H1128">
        <v>71.718999999999994</v>
      </c>
      <c r="I1128">
        <v>-161.77799999999999</v>
      </c>
      <c r="J1128" s="3">
        <v>20110926</v>
      </c>
      <c r="K1128">
        <v>2011</v>
      </c>
      <c r="L1128">
        <v>1.07579</v>
      </c>
      <c r="M1128">
        <v>24.62968</v>
      </c>
      <c r="N1128">
        <v>7.7060000000000003E-2</v>
      </c>
      <c r="O1128">
        <v>0.14837</v>
      </c>
      <c r="P1128">
        <v>0</v>
      </c>
      <c r="Q1128">
        <v>0</v>
      </c>
      <c r="R1128">
        <v>0.14804999999999999</v>
      </c>
      <c r="S1128">
        <v>0.18343999999999999</v>
      </c>
      <c r="T1128">
        <v>0.17856</v>
      </c>
      <c r="U1128">
        <v>0.33362000000000003</v>
      </c>
      <c r="V1128">
        <v>26.774570000000001</v>
      </c>
      <c r="W1128" t="s">
        <v>10</v>
      </c>
      <c r="X1128">
        <v>15.541</v>
      </c>
      <c r="Y1128">
        <v>722.14700000000005</v>
      </c>
      <c r="Z1128">
        <v>1.131</v>
      </c>
      <c r="AA1128">
        <v>3.2970000000000002</v>
      </c>
      <c r="AB1128">
        <v>0</v>
      </c>
      <c r="AC1128">
        <v>0</v>
      </c>
      <c r="AD1128">
        <v>2.427</v>
      </c>
      <c r="AE1128">
        <v>13.103</v>
      </c>
      <c r="AF1128">
        <v>1.92</v>
      </c>
      <c r="AG1128">
        <v>7.5430000000000001</v>
      </c>
      <c r="AH1128">
        <v>767.10900000000004</v>
      </c>
      <c r="AI1128" t="s">
        <v>22</v>
      </c>
      <c r="AJ1128">
        <v>520</v>
      </c>
      <c r="AK1128">
        <v>1089.999</v>
      </c>
      <c r="AL1128">
        <v>30</v>
      </c>
      <c r="AM1128">
        <v>10</v>
      </c>
      <c r="AN1128">
        <v>0</v>
      </c>
      <c r="AO1128">
        <v>0</v>
      </c>
      <c r="AP1128">
        <v>3.3330000000000002</v>
      </c>
      <c r="AQ1128">
        <v>6.6669999999999998</v>
      </c>
      <c r="AR1128">
        <v>16.667000000000002</v>
      </c>
      <c r="AS1128">
        <v>39.999000000000002</v>
      </c>
      <c r="AT1128">
        <v>1716.665</v>
      </c>
      <c r="AU1128" t="s">
        <v>34</v>
      </c>
    </row>
    <row r="1129" spans="1:47" x14ac:dyDescent="0.2">
      <c r="A1129">
        <v>1801</v>
      </c>
      <c r="B1129" t="s">
        <v>616</v>
      </c>
      <c r="C1129">
        <v>50</v>
      </c>
      <c r="D1129" s="4" t="s">
        <v>851</v>
      </c>
      <c r="E1129" s="4" t="s">
        <v>851</v>
      </c>
      <c r="F1129" s="4" t="s">
        <v>622</v>
      </c>
      <c r="G1129" t="str">
        <f t="shared" si="17"/>
        <v>WWW110450DBO4.6n</v>
      </c>
      <c r="H1129">
        <v>71.850999999999999</v>
      </c>
      <c r="I1129">
        <v>-162.16</v>
      </c>
      <c r="J1129" s="3">
        <v>20110925</v>
      </c>
      <c r="K1129">
        <v>2011</v>
      </c>
      <c r="L1129">
        <v>0.87895999999999996</v>
      </c>
      <c r="M1129">
        <v>18.38993</v>
      </c>
      <c r="N1129">
        <v>0.10321</v>
      </c>
      <c r="O1129">
        <v>0</v>
      </c>
      <c r="P1129">
        <v>0.13775999999999999</v>
      </c>
      <c r="Q1129">
        <v>0</v>
      </c>
      <c r="R1129">
        <v>0</v>
      </c>
      <c r="S1129">
        <v>0</v>
      </c>
      <c r="T1129">
        <v>1.9000000000000001E-4</v>
      </c>
      <c r="U1129">
        <v>1.2999999999999999E-2</v>
      </c>
      <c r="V1129">
        <v>19.523050000000001</v>
      </c>
      <c r="W1129" t="s">
        <v>10</v>
      </c>
      <c r="X1129">
        <v>13.163</v>
      </c>
      <c r="Y1129">
        <v>562.59900000000005</v>
      </c>
      <c r="Z1129">
        <v>1.4990000000000001</v>
      </c>
      <c r="AA1129">
        <v>0</v>
      </c>
      <c r="AB1129">
        <v>9.84</v>
      </c>
      <c r="AC1129">
        <v>0</v>
      </c>
      <c r="AD1129">
        <v>0</v>
      </c>
      <c r="AE1129">
        <v>0</v>
      </c>
      <c r="AF1129">
        <v>2E-3</v>
      </c>
      <c r="AG1129">
        <v>0.28399999999999997</v>
      </c>
      <c r="AH1129">
        <v>587.38699999999994</v>
      </c>
      <c r="AI1129" t="s">
        <v>22</v>
      </c>
      <c r="AJ1129">
        <v>149.99799999999999</v>
      </c>
      <c r="AK1129">
        <v>1000</v>
      </c>
      <c r="AL1129">
        <v>46.665999999999997</v>
      </c>
      <c r="AM1129">
        <v>0</v>
      </c>
      <c r="AN1129">
        <v>6.6660000000000004</v>
      </c>
      <c r="AO1129">
        <v>0</v>
      </c>
      <c r="AP1129">
        <v>0</v>
      </c>
      <c r="AQ1129">
        <v>0</v>
      </c>
      <c r="AR1129">
        <v>0</v>
      </c>
      <c r="AS1129">
        <v>23.334</v>
      </c>
      <c r="AT1129">
        <v>1226.664</v>
      </c>
      <c r="AU1129" t="s">
        <v>34</v>
      </c>
    </row>
    <row r="1130" spans="1:47" x14ac:dyDescent="0.2">
      <c r="A1130">
        <v>1802</v>
      </c>
      <c r="B1130" t="s">
        <v>616</v>
      </c>
      <c r="C1130">
        <v>51</v>
      </c>
      <c r="D1130" t="s">
        <v>623</v>
      </c>
      <c r="G1130" t="str">
        <f t="shared" si="17"/>
        <v>WWW110451HC026</v>
      </c>
      <c r="H1130">
        <v>71.837999999999994</v>
      </c>
      <c r="I1130">
        <v>-161.36199999999999</v>
      </c>
      <c r="J1130" s="3">
        <v>20111003</v>
      </c>
      <c r="K1130">
        <v>2011</v>
      </c>
      <c r="L1130">
        <v>1.2231700000000001</v>
      </c>
      <c r="M1130">
        <v>17.208069999999999</v>
      </c>
      <c r="N1130">
        <v>0.16317999999999999</v>
      </c>
      <c r="O1130">
        <v>0</v>
      </c>
      <c r="P1130">
        <v>4.1000000000000003E-3</v>
      </c>
      <c r="Q1130">
        <v>0</v>
      </c>
      <c r="R1130">
        <v>0</v>
      </c>
      <c r="S1130">
        <v>0</v>
      </c>
      <c r="T1130">
        <v>4.3150000000000001E-2</v>
      </c>
      <c r="U1130">
        <v>3.5569999999999997E-2</v>
      </c>
      <c r="V1130">
        <v>18.677240000000001</v>
      </c>
      <c r="W1130" t="s">
        <v>10</v>
      </c>
      <c r="X1130">
        <v>17.390999999999998</v>
      </c>
      <c r="Y1130">
        <v>542.68600000000004</v>
      </c>
      <c r="Z1130">
        <v>2.379</v>
      </c>
      <c r="AA1130">
        <v>0</v>
      </c>
      <c r="AB1130">
        <v>0.29299999999999998</v>
      </c>
      <c r="AC1130">
        <v>0</v>
      </c>
      <c r="AD1130">
        <v>0</v>
      </c>
      <c r="AE1130">
        <v>0</v>
      </c>
      <c r="AF1130">
        <v>0.46400000000000002</v>
      </c>
      <c r="AG1130">
        <v>1.1339999999999999</v>
      </c>
      <c r="AH1130">
        <v>564.34699999999998</v>
      </c>
      <c r="AI1130" t="s">
        <v>22</v>
      </c>
      <c r="AJ1130">
        <v>310</v>
      </c>
      <c r="AK1130">
        <v>1333.3330000000001</v>
      </c>
      <c r="AL1130">
        <v>69.998999999999995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3.3330000000000002</v>
      </c>
      <c r="AS1130">
        <v>56.665999999999997</v>
      </c>
      <c r="AT1130">
        <v>1773.3309999999999</v>
      </c>
      <c r="AU1130" t="s">
        <v>34</v>
      </c>
    </row>
    <row r="1131" spans="1:47" x14ac:dyDescent="0.2">
      <c r="A1131">
        <v>1803</v>
      </c>
      <c r="B1131" t="s">
        <v>616</v>
      </c>
      <c r="C1131">
        <v>52</v>
      </c>
      <c r="D1131" t="s">
        <v>624</v>
      </c>
      <c r="G1131" t="str">
        <f t="shared" si="17"/>
        <v>WWW110452HC027</v>
      </c>
      <c r="H1131">
        <v>71.820999999999998</v>
      </c>
      <c r="I1131">
        <v>-160.56299999999999</v>
      </c>
      <c r="J1131" s="3">
        <v>20111004</v>
      </c>
      <c r="K1131">
        <v>2011</v>
      </c>
      <c r="L1131">
        <v>0.79867999999999995</v>
      </c>
      <c r="M1131">
        <v>1.39818</v>
      </c>
      <c r="N1131">
        <v>2.14E-3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2.1989999999999998</v>
      </c>
      <c r="W1131" t="s">
        <v>10</v>
      </c>
      <c r="X1131">
        <v>11.224</v>
      </c>
      <c r="Y1131">
        <v>36.417999999999999</v>
      </c>
      <c r="Z1131">
        <v>2.9000000000000001E-2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47.670999999999999</v>
      </c>
      <c r="AI1131" t="s">
        <v>22</v>
      </c>
      <c r="AJ1131">
        <v>323.33300000000003</v>
      </c>
      <c r="AK1131">
        <v>83.332999999999998</v>
      </c>
      <c r="AL1131">
        <v>6.6660000000000004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413.33199999999999</v>
      </c>
      <c r="AU1131" t="s">
        <v>33</v>
      </c>
    </row>
    <row r="1132" spans="1:47" x14ac:dyDescent="0.2">
      <c r="A1132">
        <v>1804</v>
      </c>
      <c r="B1132" t="s">
        <v>616</v>
      </c>
      <c r="C1132">
        <v>53</v>
      </c>
      <c r="D1132" t="s">
        <v>625</v>
      </c>
      <c r="G1132" t="str">
        <f t="shared" si="17"/>
        <v>WWW110453HC028</v>
      </c>
      <c r="H1132">
        <v>71.8</v>
      </c>
      <c r="I1132">
        <v>-159.77199999999999</v>
      </c>
      <c r="J1132" s="3">
        <v>20111002</v>
      </c>
      <c r="K1132">
        <v>2011</v>
      </c>
      <c r="L1132">
        <v>1.09162</v>
      </c>
      <c r="M1132">
        <v>10.55855</v>
      </c>
      <c r="N1132">
        <v>3.5040000000000002E-2</v>
      </c>
      <c r="O1132">
        <v>0</v>
      </c>
      <c r="P1132">
        <v>0</v>
      </c>
      <c r="Q1132">
        <v>0</v>
      </c>
      <c r="R1132">
        <v>1.8000000000000001E-4</v>
      </c>
      <c r="S1132">
        <v>0</v>
      </c>
      <c r="T1132">
        <v>1.8308</v>
      </c>
      <c r="U1132">
        <v>9.0100000000000006E-3</v>
      </c>
      <c r="V1132">
        <v>13.5252</v>
      </c>
      <c r="W1132" t="s">
        <v>10</v>
      </c>
      <c r="X1132">
        <v>17.992000000000001</v>
      </c>
      <c r="Y1132">
        <v>307.863</v>
      </c>
      <c r="Z1132">
        <v>0.499</v>
      </c>
      <c r="AA1132">
        <v>0</v>
      </c>
      <c r="AB1132">
        <v>0</v>
      </c>
      <c r="AC1132">
        <v>0</v>
      </c>
      <c r="AD1132">
        <v>3.0000000000000001E-3</v>
      </c>
      <c r="AE1132">
        <v>0</v>
      </c>
      <c r="AF1132">
        <v>19.686</v>
      </c>
      <c r="AG1132">
        <v>0.30599999999999999</v>
      </c>
      <c r="AH1132">
        <v>346.34899999999999</v>
      </c>
      <c r="AI1132" t="s">
        <v>22</v>
      </c>
      <c r="AJ1132">
        <v>306.66699999999997</v>
      </c>
      <c r="AK1132">
        <v>740.00099999999998</v>
      </c>
      <c r="AL1132">
        <v>26.666</v>
      </c>
      <c r="AM1132">
        <v>0</v>
      </c>
      <c r="AN1132">
        <v>0</v>
      </c>
      <c r="AO1132">
        <v>0</v>
      </c>
      <c r="AP1132">
        <v>3.3330000000000002</v>
      </c>
      <c r="AQ1132">
        <v>0</v>
      </c>
      <c r="AR1132">
        <v>6.6669999999999998</v>
      </c>
      <c r="AS1132">
        <v>26.667000000000002</v>
      </c>
      <c r="AT1132">
        <v>1110.001</v>
      </c>
      <c r="AU1132" t="s">
        <v>34</v>
      </c>
    </row>
    <row r="1133" spans="1:47" x14ac:dyDescent="0.2">
      <c r="A1133">
        <v>1805</v>
      </c>
      <c r="B1133" t="s">
        <v>616</v>
      </c>
      <c r="C1133">
        <v>54</v>
      </c>
      <c r="D1133" t="s">
        <v>626</v>
      </c>
      <c r="G1133" t="str">
        <f t="shared" si="17"/>
        <v>WWW110454HC032</v>
      </c>
      <c r="H1133">
        <v>71.933999999999997</v>
      </c>
      <c r="I1133">
        <v>-160.137</v>
      </c>
      <c r="J1133" s="3">
        <v>20111004</v>
      </c>
      <c r="K1133">
        <v>2011</v>
      </c>
      <c r="L1133">
        <v>2.7924500000000001</v>
      </c>
      <c r="M1133">
        <v>1.51881</v>
      </c>
      <c r="N1133">
        <v>0.29943999999999998</v>
      </c>
      <c r="O1133">
        <v>0</v>
      </c>
      <c r="P1133">
        <v>6.6E-4</v>
      </c>
      <c r="Q1133">
        <v>0</v>
      </c>
      <c r="R1133">
        <v>0.15939</v>
      </c>
      <c r="S1133">
        <v>1.08E-3</v>
      </c>
      <c r="T1133">
        <v>3.7199999999999997E-2</v>
      </c>
      <c r="U1133">
        <v>1.159E-2</v>
      </c>
      <c r="V1133">
        <v>4.8206199999999999</v>
      </c>
      <c r="W1133" t="s">
        <v>9</v>
      </c>
      <c r="X1133">
        <v>40.188000000000002</v>
      </c>
      <c r="Y1133">
        <v>43.22</v>
      </c>
      <c r="Z1133">
        <v>4.2519999999999998</v>
      </c>
      <c r="AA1133">
        <v>0</v>
      </c>
      <c r="AB1133">
        <v>4.7E-2</v>
      </c>
      <c r="AC1133">
        <v>0</v>
      </c>
      <c r="AD1133">
        <v>2.613</v>
      </c>
      <c r="AE1133">
        <v>7.6999999999999999E-2</v>
      </c>
      <c r="AF1133">
        <v>0.4</v>
      </c>
      <c r="AG1133">
        <v>0.30399999999999999</v>
      </c>
      <c r="AH1133">
        <v>91.100999999999999</v>
      </c>
      <c r="AI1133" t="s">
        <v>22</v>
      </c>
      <c r="AJ1133">
        <v>309.99900000000002</v>
      </c>
      <c r="AK1133">
        <v>80.001000000000005</v>
      </c>
      <c r="AL1133">
        <v>383.33199999999999</v>
      </c>
      <c r="AM1133">
        <v>0</v>
      </c>
      <c r="AN1133">
        <v>6.6669999999999998</v>
      </c>
      <c r="AO1133">
        <v>0</v>
      </c>
      <c r="AP1133">
        <v>3.3330000000000002</v>
      </c>
      <c r="AQ1133">
        <v>6.6669999999999998</v>
      </c>
      <c r="AR1133">
        <v>0</v>
      </c>
      <c r="AS1133">
        <v>19.998999999999999</v>
      </c>
      <c r="AT1133">
        <v>809.99800000000005</v>
      </c>
      <c r="AU1133" t="s">
        <v>35</v>
      </c>
    </row>
    <row r="1134" spans="1:47" x14ac:dyDescent="0.2">
      <c r="A1134">
        <v>1806</v>
      </c>
      <c r="B1134" t="s">
        <v>616</v>
      </c>
      <c r="C1134">
        <v>55</v>
      </c>
      <c r="D1134" t="s">
        <v>627</v>
      </c>
      <c r="G1134" t="str">
        <f t="shared" si="17"/>
        <v>WWW110455HN002</v>
      </c>
      <c r="H1134">
        <v>72.114999999999995</v>
      </c>
      <c r="I1134">
        <v>-163.74</v>
      </c>
      <c r="J1134" s="3">
        <v>20110927</v>
      </c>
      <c r="K1134">
        <v>2011</v>
      </c>
      <c r="L1134">
        <v>1.9970699999999999</v>
      </c>
      <c r="M1134">
        <v>2.1228600000000002</v>
      </c>
      <c r="N1134">
        <v>0.2717</v>
      </c>
      <c r="O1134">
        <v>0</v>
      </c>
      <c r="P1134">
        <v>0</v>
      </c>
      <c r="Q1134">
        <v>0</v>
      </c>
      <c r="R1134">
        <v>0.14316999999999999</v>
      </c>
      <c r="S1134">
        <v>0</v>
      </c>
      <c r="T1134">
        <v>0</v>
      </c>
      <c r="U1134">
        <v>0</v>
      </c>
      <c r="V1134">
        <v>4.5347999999999997</v>
      </c>
      <c r="W1134" t="s">
        <v>10</v>
      </c>
      <c r="X1134">
        <v>28.809000000000001</v>
      </c>
      <c r="Y1134">
        <v>59.24</v>
      </c>
      <c r="Z1134">
        <v>3.8029999999999999</v>
      </c>
      <c r="AA1134">
        <v>0</v>
      </c>
      <c r="AB1134">
        <v>0</v>
      </c>
      <c r="AC1134">
        <v>0</v>
      </c>
      <c r="AD1134">
        <v>2.347</v>
      </c>
      <c r="AE1134">
        <v>0</v>
      </c>
      <c r="AF1134">
        <v>0</v>
      </c>
      <c r="AG1134">
        <v>0</v>
      </c>
      <c r="AH1134">
        <v>94.198999999999998</v>
      </c>
      <c r="AI1134" t="s">
        <v>22</v>
      </c>
      <c r="AJ1134">
        <v>133.33199999999999</v>
      </c>
      <c r="AK1134">
        <v>370</v>
      </c>
      <c r="AL1134">
        <v>43.334000000000003</v>
      </c>
      <c r="AM1134">
        <v>0</v>
      </c>
      <c r="AN1134">
        <v>0</v>
      </c>
      <c r="AO1134">
        <v>0</v>
      </c>
      <c r="AP1134">
        <v>3.3330000000000002</v>
      </c>
      <c r="AQ1134">
        <v>0</v>
      </c>
      <c r="AR1134">
        <v>0</v>
      </c>
      <c r="AS1134">
        <v>0</v>
      </c>
      <c r="AT1134">
        <v>549.99900000000002</v>
      </c>
      <c r="AU1134" t="s">
        <v>34</v>
      </c>
    </row>
    <row r="1135" spans="1:47" x14ac:dyDescent="0.2">
      <c r="A1135">
        <v>1807</v>
      </c>
      <c r="B1135" t="s">
        <v>616</v>
      </c>
      <c r="C1135">
        <v>56</v>
      </c>
      <c r="D1135" t="s">
        <v>628</v>
      </c>
      <c r="G1135" t="str">
        <f t="shared" si="17"/>
        <v>WWW110456HN004</v>
      </c>
      <c r="H1135">
        <v>72.099000000000004</v>
      </c>
      <c r="I1135">
        <v>-162.12299999999999</v>
      </c>
      <c r="J1135" s="3">
        <v>20110928</v>
      </c>
      <c r="K1135">
        <v>2011</v>
      </c>
      <c r="L1135">
        <v>1.2939700000000001</v>
      </c>
      <c r="M1135">
        <v>2.69171</v>
      </c>
      <c r="N1135">
        <v>2.3452799999999998</v>
      </c>
      <c r="O1135">
        <v>0</v>
      </c>
      <c r="P1135">
        <v>8.1939999999999999E-2</v>
      </c>
      <c r="Q1135">
        <v>0</v>
      </c>
      <c r="R1135">
        <v>0.12601999999999999</v>
      </c>
      <c r="S1135">
        <v>0.72968</v>
      </c>
      <c r="T1135">
        <v>9.1789999999999997E-2</v>
      </c>
      <c r="U1135">
        <v>7.3800000000000004E-2</v>
      </c>
      <c r="V1135">
        <v>7.4341900000000001</v>
      </c>
      <c r="W1135" t="s">
        <v>10</v>
      </c>
      <c r="X1135">
        <v>16.219000000000001</v>
      </c>
      <c r="Y1135">
        <v>104.41800000000001</v>
      </c>
      <c r="Z1135">
        <v>33.259</v>
      </c>
      <c r="AA1135">
        <v>0</v>
      </c>
      <c r="AB1135">
        <v>5.8529999999999998</v>
      </c>
      <c r="AC1135">
        <v>0</v>
      </c>
      <c r="AD1135">
        <v>2.0659999999999998</v>
      </c>
      <c r="AE1135">
        <v>52.12</v>
      </c>
      <c r="AF1135">
        <v>0.98699999999999999</v>
      </c>
      <c r="AG1135">
        <v>2.4540000000000002</v>
      </c>
      <c r="AH1135">
        <v>217.376</v>
      </c>
      <c r="AI1135" t="s">
        <v>22</v>
      </c>
      <c r="AJ1135">
        <v>200</v>
      </c>
      <c r="AK1135">
        <v>210</v>
      </c>
      <c r="AL1135">
        <v>893.33199999999999</v>
      </c>
      <c r="AM1135">
        <v>0</v>
      </c>
      <c r="AN1135">
        <v>86.665999999999997</v>
      </c>
      <c r="AO1135">
        <v>0</v>
      </c>
      <c r="AP1135">
        <v>6.6660000000000004</v>
      </c>
      <c r="AQ1135">
        <v>76.667000000000002</v>
      </c>
      <c r="AR1135">
        <v>6.6669999999999998</v>
      </c>
      <c r="AS1135">
        <v>26.667000000000002</v>
      </c>
      <c r="AT1135">
        <v>1506.665</v>
      </c>
      <c r="AU1135" t="s">
        <v>35</v>
      </c>
    </row>
    <row r="1136" spans="1:47" x14ac:dyDescent="0.2">
      <c r="A1136">
        <v>1808</v>
      </c>
      <c r="B1136" t="s">
        <v>616</v>
      </c>
      <c r="C1136">
        <v>57</v>
      </c>
      <c r="D1136" t="s">
        <v>629</v>
      </c>
      <c r="G1136" t="str">
        <f t="shared" si="17"/>
        <v>WWW110457HN006</v>
      </c>
      <c r="H1136">
        <v>72.067999999999998</v>
      </c>
      <c r="I1136">
        <v>-160.50299999999999</v>
      </c>
      <c r="J1136" s="3">
        <v>20110930</v>
      </c>
      <c r="K1136">
        <v>2011</v>
      </c>
      <c r="L1136">
        <v>1.4180200000000001</v>
      </c>
      <c r="M1136">
        <v>4.6896199999999997</v>
      </c>
      <c r="N1136">
        <v>3.7679999999999998E-2</v>
      </c>
      <c r="O1136">
        <v>9.4500000000000001E-3</v>
      </c>
      <c r="P1136">
        <v>1.4400000000000001E-3</v>
      </c>
      <c r="Q1136">
        <v>0</v>
      </c>
      <c r="R1136">
        <v>3.9469999999999998E-2</v>
      </c>
      <c r="S1136">
        <v>0</v>
      </c>
      <c r="T1136">
        <v>2.0740000000000001E-2</v>
      </c>
      <c r="U1136">
        <v>2.792E-2</v>
      </c>
      <c r="V1136">
        <v>6.2443400000000002</v>
      </c>
      <c r="W1136" t="s">
        <v>10</v>
      </c>
      <c r="X1136">
        <v>22.11</v>
      </c>
      <c r="Y1136">
        <v>142.66499999999999</v>
      </c>
      <c r="Z1136">
        <v>0.54100000000000004</v>
      </c>
      <c r="AA1136">
        <v>0.21</v>
      </c>
      <c r="AB1136">
        <v>0.10299999999999999</v>
      </c>
      <c r="AC1136">
        <v>0</v>
      </c>
      <c r="AD1136">
        <v>0.64700000000000002</v>
      </c>
      <c r="AE1136">
        <v>0</v>
      </c>
      <c r="AF1136">
        <v>0.223</v>
      </c>
      <c r="AG1136">
        <v>1.2769999999999999</v>
      </c>
      <c r="AH1136">
        <v>167.77600000000001</v>
      </c>
      <c r="AI1136" t="s">
        <v>22</v>
      </c>
      <c r="AJ1136">
        <v>359.99799999999999</v>
      </c>
      <c r="AK1136">
        <v>129.99799999999999</v>
      </c>
      <c r="AL1136">
        <v>40</v>
      </c>
      <c r="AM1136">
        <v>10</v>
      </c>
      <c r="AN1136">
        <v>6.6669999999999998</v>
      </c>
      <c r="AO1136">
        <v>0</v>
      </c>
      <c r="AP1136">
        <v>3.3330000000000002</v>
      </c>
      <c r="AQ1136">
        <v>0</v>
      </c>
      <c r="AR1136">
        <v>10</v>
      </c>
      <c r="AS1136">
        <v>6.6660000000000004</v>
      </c>
      <c r="AT1136">
        <v>566.66200000000003</v>
      </c>
      <c r="AU1136" t="s">
        <v>33</v>
      </c>
    </row>
    <row r="1137" spans="1:47" x14ac:dyDescent="0.2">
      <c r="A1137">
        <v>1809</v>
      </c>
      <c r="B1137" t="s">
        <v>616</v>
      </c>
      <c r="C1137">
        <v>58</v>
      </c>
      <c r="D1137" t="s">
        <v>630</v>
      </c>
      <c r="G1137" t="str">
        <f t="shared" si="17"/>
        <v>WWW110458HN007</v>
      </c>
      <c r="H1137">
        <v>72.046999999999997</v>
      </c>
      <c r="I1137">
        <v>-159.697</v>
      </c>
      <c r="J1137" s="3">
        <v>20111004</v>
      </c>
      <c r="K1137">
        <v>2011</v>
      </c>
      <c r="L1137">
        <v>1.09171</v>
      </c>
      <c r="M1137">
        <v>2.1257700000000002</v>
      </c>
      <c r="N1137">
        <v>5.1999999999999995E-4</v>
      </c>
      <c r="O1137">
        <v>0</v>
      </c>
      <c r="P1137">
        <v>0</v>
      </c>
      <c r="Q1137">
        <v>0</v>
      </c>
      <c r="R1137">
        <v>0.25881999999999999</v>
      </c>
      <c r="S1137">
        <v>8.2559999999999995E-2</v>
      </c>
      <c r="T1137">
        <v>0</v>
      </c>
      <c r="U1137">
        <v>0</v>
      </c>
      <c r="V1137">
        <v>3.55938</v>
      </c>
      <c r="W1137" t="s">
        <v>10</v>
      </c>
      <c r="X1137">
        <v>16.803000000000001</v>
      </c>
      <c r="Y1137">
        <v>60.356000000000002</v>
      </c>
      <c r="Z1137">
        <v>7.0000000000000001E-3</v>
      </c>
      <c r="AA1137">
        <v>0</v>
      </c>
      <c r="AB1137">
        <v>0</v>
      </c>
      <c r="AC1137">
        <v>0</v>
      </c>
      <c r="AD1137">
        <v>4.2430000000000003</v>
      </c>
      <c r="AE1137">
        <v>5.8970000000000002</v>
      </c>
      <c r="AF1137">
        <v>0</v>
      </c>
      <c r="AG1137">
        <v>0</v>
      </c>
      <c r="AH1137">
        <v>87.305999999999997</v>
      </c>
      <c r="AI1137" t="s">
        <v>22</v>
      </c>
      <c r="AJ1137">
        <v>170</v>
      </c>
      <c r="AK1137">
        <v>280</v>
      </c>
      <c r="AL1137">
        <v>3.3330000000000002</v>
      </c>
      <c r="AM1137">
        <v>0</v>
      </c>
      <c r="AN1137">
        <v>0</v>
      </c>
      <c r="AO1137">
        <v>0</v>
      </c>
      <c r="AP1137">
        <v>3.3330000000000002</v>
      </c>
      <c r="AQ1137">
        <v>6.6660000000000004</v>
      </c>
      <c r="AR1137">
        <v>0</v>
      </c>
      <c r="AS1137">
        <v>0</v>
      </c>
      <c r="AT1137">
        <v>463.33199999999999</v>
      </c>
      <c r="AU1137" t="s">
        <v>34</v>
      </c>
    </row>
    <row r="1138" spans="1:47" x14ac:dyDescent="0.2">
      <c r="A1138">
        <v>1810</v>
      </c>
      <c r="B1138" t="s">
        <v>616</v>
      </c>
      <c r="C1138">
        <v>59</v>
      </c>
      <c r="D1138" t="s">
        <v>631</v>
      </c>
      <c r="G1138" t="str">
        <f t="shared" si="17"/>
        <v>WWW110459HN008</v>
      </c>
      <c r="H1138">
        <v>72.242999999999995</v>
      </c>
      <c r="I1138">
        <v>-164.136</v>
      </c>
      <c r="J1138" s="3">
        <v>20110927</v>
      </c>
      <c r="K1138">
        <v>2011</v>
      </c>
      <c r="L1138">
        <v>1.71702</v>
      </c>
      <c r="M1138">
        <v>2.6914600000000002</v>
      </c>
      <c r="N1138">
        <v>0.1143</v>
      </c>
      <c r="O1138">
        <v>0</v>
      </c>
      <c r="P1138">
        <v>0</v>
      </c>
      <c r="Q1138">
        <v>0</v>
      </c>
      <c r="R1138">
        <v>0.19703000000000001</v>
      </c>
      <c r="S1138">
        <v>0</v>
      </c>
      <c r="T1138">
        <v>1.9000000000000001E-4</v>
      </c>
      <c r="U1138">
        <v>0</v>
      </c>
      <c r="V1138">
        <v>4.72</v>
      </c>
      <c r="W1138" t="s">
        <v>10</v>
      </c>
      <c r="X1138">
        <v>25.11</v>
      </c>
      <c r="Y1138">
        <v>69.86</v>
      </c>
      <c r="Z1138">
        <v>1.6259999999999999</v>
      </c>
      <c r="AA1138">
        <v>0</v>
      </c>
      <c r="AB1138">
        <v>0</v>
      </c>
      <c r="AC1138">
        <v>0</v>
      </c>
      <c r="AD1138">
        <v>3.23</v>
      </c>
      <c r="AE1138">
        <v>0</v>
      </c>
      <c r="AF1138">
        <v>2E-3</v>
      </c>
      <c r="AG1138">
        <v>0</v>
      </c>
      <c r="AH1138">
        <v>99.828000000000003</v>
      </c>
      <c r="AI1138" t="s">
        <v>22</v>
      </c>
      <c r="AJ1138">
        <v>106.666</v>
      </c>
      <c r="AK1138">
        <v>203.334</v>
      </c>
      <c r="AL1138">
        <v>43.332999999999998</v>
      </c>
      <c r="AM1138">
        <v>0</v>
      </c>
      <c r="AN1138">
        <v>0</v>
      </c>
      <c r="AO1138">
        <v>0</v>
      </c>
      <c r="AP1138">
        <v>3.3330000000000002</v>
      </c>
      <c r="AQ1138">
        <v>0</v>
      </c>
      <c r="AR1138">
        <v>0</v>
      </c>
      <c r="AS1138">
        <v>0</v>
      </c>
      <c r="AT1138">
        <v>356.666</v>
      </c>
      <c r="AU1138" t="s">
        <v>34</v>
      </c>
    </row>
    <row r="1139" spans="1:47" x14ac:dyDescent="0.2">
      <c r="A1139">
        <v>1811</v>
      </c>
      <c r="B1139" t="s">
        <v>616</v>
      </c>
      <c r="C1139">
        <v>60</v>
      </c>
      <c r="D1139" t="s">
        <v>632</v>
      </c>
      <c r="G1139" t="str">
        <f t="shared" si="17"/>
        <v>WWW110460HN013</v>
      </c>
      <c r="H1139">
        <v>72.182000000000002</v>
      </c>
      <c r="I1139">
        <v>-160.066</v>
      </c>
      <c r="J1139" s="3">
        <v>20111005</v>
      </c>
      <c r="K1139">
        <v>2011</v>
      </c>
      <c r="L1139">
        <v>0.97650999999999999</v>
      </c>
      <c r="M1139">
        <v>0.42987999999999998</v>
      </c>
      <c r="N1139">
        <v>0.33027000000000001</v>
      </c>
      <c r="O1139">
        <v>0.28125</v>
      </c>
      <c r="P1139">
        <v>2.0999999999999999E-3</v>
      </c>
      <c r="Q1139">
        <v>0</v>
      </c>
      <c r="R1139">
        <v>0</v>
      </c>
      <c r="S1139">
        <v>0</v>
      </c>
      <c r="T1139">
        <v>9.58E-3</v>
      </c>
      <c r="U1139">
        <v>1.839E-2</v>
      </c>
      <c r="V1139">
        <v>2.0479799999999999</v>
      </c>
      <c r="W1139" t="s">
        <v>9</v>
      </c>
      <c r="X1139">
        <v>15.754</v>
      </c>
      <c r="Y1139">
        <v>9.75</v>
      </c>
      <c r="Z1139">
        <v>4.8090000000000002</v>
      </c>
      <c r="AA1139">
        <v>6.25</v>
      </c>
      <c r="AB1139">
        <v>0.15</v>
      </c>
      <c r="AC1139">
        <v>0</v>
      </c>
      <c r="AD1139">
        <v>0</v>
      </c>
      <c r="AE1139">
        <v>0</v>
      </c>
      <c r="AF1139">
        <v>0.10299999999999999</v>
      </c>
      <c r="AG1139">
        <v>0.83699999999999997</v>
      </c>
      <c r="AH1139">
        <v>37.652999999999999</v>
      </c>
      <c r="AI1139" t="s">
        <v>21</v>
      </c>
      <c r="AJ1139">
        <v>206.667</v>
      </c>
      <c r="AK1139">
        <v>193.33199999999999</v>
      </c>
      <c r="AL1139">
        <v>166.666</v>
      </c>
      <c r="AM1139">
        <v>3.3330000000000002</v>
      </c>
      <c r="AN1139">
        <v>10</v>
      </c>
      <c r="AO1139">
        <v>0</v>
      </c>
      <c r="AP1139">
        <v>0</v>
      </c>
      <c r="AQ1139">
        <v>0</v>
      </c>
      <c r="AR1139">
        <v>0</v>
      </c>
      <c r="AS1139">
        <v>13.333</v>
      </c>
      <c r="AT1139">
        <v>593.33100000000002</v>
      </c>
      <c r="AU1139" t="s">
        <v>33</v>
      </c>
    </row>
    <row r="1140" spans="1:47" x14ac:dyDescent="0.2">
      <c r="A1140">
        <v>1812</v>
      </c>
      <c r="B1140" t="s">
        <v>616</v>
      </c>
      <c r="C1140">
        <v>61</v>
      </c>
      <c r="D1140" t="s">
        <v>633</v>
      </c>
      <c r="G1140" t="str">
        <f t="shared" si="17"/>
        <v>WWW110461HN016</v>
      </c>
      <c r="H1140">
        <v>72.347999999999999</v>
      </c>
      <c r="I1140">
        <v>-162.07900000000001</v>
      </c>
      <c r="J1140" s="3">
        <v>20110928</v>
      </c>
      <c r="K1140">
        <v>2011</v>
      </c>
      <c r="L1140">
        <v>1.3952</v>
      </c>
      <c r="M1140">
        <v>2.1884800000000002</v>
      </c>
      <c r="N1140">
        <v>0.79398000000000002</v>
      </c>
      <c r="O1140">
        <v>0.25109999999999999</v>
      </c>
      <c r="P1140">
        <v>1.1E-4</v>
      </c>
      <c r="Q1140">
        <v>0</v>
      </c>
      <c r="R1140">
        <v>0.26578000000000002</v>
      </c>
      <c r="S1140">
        <v>3.8800000000000002E-3</v>
      </c>
      <c r="T1140">
        <v>0</v>
      </c>
      <c r="U1140">
        <v>2.4299999999999999E-3</v>
      </c>
      <c r="V1140">
        <v>4.9009600000000004</v>
      </c>
      <c r="W1140" t="s">
        <v>10</v>
      </c>
      <c r="X1140">
        <v>19.483000000000001</v>
      </c>
      <c r="Y1140">
        <v>87.42</v>
      </c>
      <c r="Z1140">
        <v>11.336</v>
      </c>
      <c r="AA1140">
        <v>5.58</v>
      </c>
      <c r="AB1140">
        <v>8.0000000000000002E-3</v>
      </c>
      <c r="AC1140">
        <v>0</v>
      </c>
      <c r="AD1140">
        <v>4.3570000000000002</v>
      </c>
      <c r="AE1140">
        <v>0.27700000000000002</v>
      </c>
      <c r="AF1140">
        <v>0</v>
      </c>
      <c r="AG1140">
        <v>6.7000000000000004E-2</v>
      </c>
      <c r="AH1140">
        <v>128.52799999999999</v>
      </c>
      <c r="AI1140" t="s">
        <v>22</v>
      </c>
      <c r="AJ1140">
        <v>313.33600000000001</v>
      </c>
      <c r="AK1140">
        <v>226.666</v>
      </c>
      <c r="AL1140">
        <v>303.33300000000003</v>
      </c>
      <c r="AM1140">
        <v>16.667000000000002</v>
      </c>
      <c r="AN1140">
        <v>6.6669999999999998</v>
      </c>
      <c r="AO1140">
        <v>0</v>
      </c>
      <c r="AP1140">
        <v>6.6669999999999998</v>
      </c>
      <c r="AQ1140">
        <v>6.6669999999999998</v>
      </c>
      <c r="AR1140">
        <v>0</v>
      </c>
      <c r="AS1140">
        <v>13.333</v>
      </c>
      <c r="AT1140">
        <v>893.33600000000001</v>
      </c>
      <c r="AU1140" t="s">
        <v>33</v>
      </c>
    </row>
    <row r="1141" spans="1:47" x14ac:dyDescent="0.2">
      <c r="A1141">
        <v>1813</v>
      </c>
      <c r="B1141" t="s">
        <v>616</v>
      </c>
      <c r="C1141">
        <v>62</v>
      </c>
      <c r="D1141" t="s">
        <v>634</v>
      </c>
      <c r="G1141" t="str">
        <f t="shared" si="17"/>
        <v>WWW110462HN017</v>
      </c>
      <c r="H1141">
        <v>72.334999999999994</v>
      </c>
      <c r="I1141">
        <v>-161.25800000000001</v>
      </c>
      <c r="J1141" s="3">
        <v>20110930</v>
      </c>
      <c r="K1141">
        <v>2011</v>
      </c>
      <c r="L1141">
        <v>0.82308000000000003</v>
      </c>
      <c r="M1141">
        <v>5.10215</v>
      </c>
      <c r="N1141">
        <v>4.274E-2</v>
      </c>
      <c r="O1141">
        <v>0</v>
      </c>
      <c r="P1141">
        <v>2.9399999999999999E-3</v>
      </c>
      <c r="Q1141">
        <v>0</v>
      </c>
      <c r="R1141">
        <v>7.1399999999999996E-3</v>
      </c>
      <c r="S1141">
        <v>0</v>
      </c>
      <c r="T1141">
        <v>8.677E-2</v>
      </c>
      <c r="U1141">
        <v>5.5199999999999997E-3</v>
      </c>
      <c r="V1141">
        <v>6.0703399999999998</v>
      </c>
      <c r="W1141" t="s">
        <v>10</v>
      </c>
      <c r="X1141">
        <v>13.465</v>
      </c>
      <c r="Y1141">
        <v>141.63399999999999</v>
      </c>
      <c r="Z1141">
        <v>0.60699999999999998</v>
      </c>
      <c r="AA1141">
        <v>0</v>
      </c>
      <c r="AB1141">
        <v>0.21</v>
      </c>
      <c r="AC1141">
        <v>0</v>
      </c>
      <c r="AD1141">
        <v>0.11700000000000001</v>
      </c>
      <c r="AE1141">
        <v>0</v>
      </c>
      <c r="AF1141">
        <v>0.93300000000000005</v>
      </c>
      <c r="AG1141">
        <v>0.20100000000000001</v>
      </c>
      <c r="AH1141">
        <v>157.167</v>
      </c>
      <c r="AI1141" t="s">
        <v>22</v>
      </c>
      <c r="AJ1141">
        <v>226.66499999999999</v>
      </c>
      <c r="AK1141">
        <v>340</v>
      </c>
      <c r="AL1141">
        <v>16.666</v>
      </c>
      <c r="AM1141">
        <v>0</v>
      </c>
      <c r="AN1141">
        <v>13.333</v>
      </c>
      <c r="AO1141">
        <v>0</v>
      </c>
      <c r="AP1141">
        <v>3.3330000000000002</v>
      </c>
      <c r="AQ1141">
        <v>0</v>
      </c>
      <c r="AR1141">
        <v>20</v>
      </c>
      <c r="AS1141">
        <v>16.666</v>
      </c>
      <c r="AT1141">
        <v>636.66300000000001</v>
      </c>
      <c r="AU1141" t="s">
        <v>34</v>
      </c>
    </row>
    <row r="1142" spans="1:47" x14ac:dyDescent="0.2">
      <c r="A1142">
        <v>1814</v>
      </c>
      <c r="B1142" t="s">
        <v>616</v>
      </c>
      <c r="C1142">
        <v>63</v>
      </c>
      <c r="D1142" t="s">
        <v>635</v>
      </c>
      <c r="G1142" t="str">
        <f t="shared" si="17"/>
        <v>WWW110463HN019</v>
      </c>
      <c r="H1142">
        <v>72.296999999999997</v>
      </c>
      <c r="I1142">
        <v>-159.62899999999999</v>
      </c>
      <c r="J1142" s="3">
        <v>20111001</v>
      </c>
      <c r="K1142">
        <v>2011</v>
      </c>
      <c r="L1142">
        <v>1.4025399999999999</v>
      </c>
      <c r="M1142">
        <v>4.1308999999999996</v>
      </c>
      <c r="N1142">
        <v>3.5599999999999998E-3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6.4999999999999997E-4</v>
      </c>
      <c r="U1142">
        <v>4.3830000000000001E-2</v>
      </c>
      <c r="V1142">
        <v>5.58148</v>
      </c>
      <c r="W1142" t="s">
        <v>10</v>
      </c>
      <c r="X1142">
        <v>20.422999999999998</v>
      </c>
      <c r="Y1142">
        <v>151.87700000000001</v>
      </c>
      <c r="Z1142">
        <v>0.05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7.0000000000000001E-3</v>
      </c>
      <c r="AG1142">
        <v>0.70699999999999996</v>
      </c>
      <c r="AH1142">
        <v>173.06399999999999</v>
      </c>
      <c r="AI1142" t="s">
        <v>22</v>
      </c>
      <c r="AJ1142">
        <v>173.33099999999999</v>
      </c>
      <c r="AK1142">
        <v>216.666</v>
      </c>
      <c r="AL1142">
        <v>6.6669999999999998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3.3330000000000002</v>
      </c>
      <c r="AS1142">
        <v>10</v>
      </c>
      <c r="AT1142">
        <v>409.99700000000001</v>
      </c>
      <c r="AU1142" t="s">
        <v>34</v>
      </c>
    </row>
    <row r="1143" spans="1:47" x14ac:dyDescent="0.2">
      <c r="A1143">
        <v>1815</v>
      </c>
      <c r="B1143" t="s">
        <v>616</v>
      </c>
      <c r="C1143">
        <v>64</v>
      </c>
      <c r="D1143" t="s">
        <v>636</v>
      </c>
      <c r="G1143" t="str">
        <f t="shared" si="17"/>
        <v>WWW110464HN020</v>
      </c>
      <c r="H1143">
        <v>72.486999999999995</v>
      </c>
      <c r="I1143">
        <v>-163.297</v>
      </c>
      <c r="J1143" s="3">
        <v>20110928</v>
      </c>
      <c r="K1143">
        <v>2011</v>
      </c>
      <c r="L1143">
        <v>0.78178999999999998</v>
      </c>
      <c r="M1143">
        <v>5.0989899999999997</v>
      </c>
      <c r="N1143">
        <v>0.13563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2.2790000000000001E-2</v>
      </c>
      <c r="U1143">
        <v>8.3400000000000002E-3</v>
      </c>
      <c r="V1143">
        <v>6.0475399999999997</v>
      </c>
      <c r="W1143" t="s">
        <v>10</v>
      </c>
      <c r="X1143">
        <v>11.369</v>
      </c>
      <c r="Y1143">
        <v>141.78100000000001</v>
      </c>
      <c r="Z1143">
        <v>1.9890000000000001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0.245</v>
      </c>
      <c r="AG1143">
        <v>0.39700000000000002</v>
      </c>
      <c r="AH1143">
        <v>155.78100000000001</v>
      </c>
      <c r="AI1143" t="s">
        <v>22</v>
      </c>
      <c r="AJ1143">
        <v>126.66500000000001</v>
      </c>
      <c r="AK1143">
        <v>293.33300000000003</v>
      </c>
      <c r="AL1143">
        <v>13.333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3.3330000000000002</v>
      </c>
      <c r="AS1143">
        <v>0</v>
      </c>
      <c r="AT1143">
        <v>436.66399999999999</v>
      </c>
      <c r="AU1143" t="s">
        <v>34</v>
      </c>
    </row>
    <row r="1144" spans="1:47" x14ac:dyDescent="0.2">
      <c r="A1144">
        <v>1816</v>
      </c>
      <c r="B1144" t="s">
        <v>616</v>
      </c>
      <c r="C1144">
        <v>65</v>
      </c>
      <c r="D1144" t="s">
        <v>637</v>
      </c>
      <c r="G1144" t="str">
        <f t="shared" si="17"/>
        <v>WWW110465HN026</v>
      </c>
      <c r="H1144">
        <v>72.596999999999994</v>
      </c>
      <c r="I1144">
        <v>-162.03899999999999</v>
      </c>
      <c r="J1144" s="3">
        <v>20110929</v>
      </c>
      <c r="K1144">
        <v>2011</v>
      </c>
      <c r="L1144">
        <v>1.27179</v>
      </c>
      <c r="M1144">
        <v>4.7865900000000003</v>
      </c>
      <c r="N1144">
        <v>0.20293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9.3000000000000005E-4</v>
      </c>
      <c r="U1144">
        <v>1.73E-3</v>
      </c>
      <c r="V1144">
        <v>6.2639699999999996</v>
      </c>
      <c r="W1144" t="s">
        <v>10</v>
      </c>
      <c r="X1144">
        <v>17.914000000000001</v>
      </c>
      <c r="Y1144">
        <v>129.619</v>
      </c>
      <c r="Z1144">
        <v>2.9329999999999998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0.01</v>
      </c>
      <c r="AG1144">
        <v>5.0999999999999997E-2</v>
      </c>
      <c r="AH1144">
        <v>150.52699999999999</v>
      </c>
      <c r="AI1144" t="s">
        <v>22</v>
      </c>
      <c r="AJ1144">
        <v>120</v>
      </c>
      <c r="AK1144">
        <v>386.66500000000002</v>
      </c>
      <c r="AL1144">
        <v>53.332000000000001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9.9990000000000006</v>
      </c>
      <c r="AT1144">
        <v>569.99599999999998</v>
      </c>
      <c r="AU1144" t="s">
        <v>34</v>
      </c>
    </row>
    <row r="1145" spans="1:47" x14ac:dyDescent="0.2">
      <c r="A1145">
        <v>1817</v>
      </c>
      <c r="B1145" t="s">
        <v>616</v>
      </c>
      <c r="C1145">
        <v>66</v>
      </c>
      <c r="D1145" t="s">
        <v>638</v>
      </c>
      <c r="G1145" t="str">
        <f t="shared" si="17"/>
        <v>WWW110466HN028</v>
      </c>
      <c r="H1145">
        <v>72.563999999999993</v>
      </c>
      <c r="I1145">
        <v>-160.381</v>
      </c>
      <c r="J1145" s="3">
        <v>20111001</v>
      </c>
      <c r="K1145">
        <v>2011</v>
      </c>
      <c r="L1145">
        <v>2.1087099999999999</v>
      </c>
      <c r="M1145">
        <v>5.4128400000000001</v>
      </c>
      <c r="N1145">
        <v>5.5199999999999997E-3</v>
      </c>
      <c r="O1145">
        <v>0</v>
      </c>
      <c r="P1145">
        <v>3.5400000000000002E-3</v>
      </c>
      <c r="Q1145">
        <v>0</v>
      </c>
      <c r="R1145">
        <v>0</v>
      </c>
      <c r="S1145">
        <v>0</v>
      </c>
      <c r="T1145">
        <v>5.459E-2</v>
      </c>
      <c r="U1145">
        <v>2.8080000000000001E-2</v>
      </c>
      <c r="V1145">
        <v>7.6132799999999996</v>
      </c>
      <c r="W1145" t="s">
        <v>10</v>
      </c>
      <c r="X1145">
        <v>32.718000000000004</v>
      </c>
      <c r="Y1145">
        <v>171.59800000000001</v>
      </c>
      <c r="Z1145">
        <v>0.08</v>
      </c>
      <c r="AA1145">
        <v>0</v>
      </c>
      <c r="AB1145">
        <v>0.253</v>
      </c>
      <c r="AC1145">
        <v>0</v>
      </c>
      <c r="AD1145">
        <v>0</v>
      </c>
      <c r="AE1145">
        <v>0</v>
      </c>
      <c r="AF1145">
        <v>0.58699999999999997</v>
      </c>
      <c r="AG1145">
        <v>0.54700000000000004</v>
      </c>
      <c r="AH1145">
        <v>205.78299999999999</v>
      </c>
      <c r="AI1145" t="s">
        <v>22</v>
      </c>
      <c r="AJ1145">
        <v>320</v>
      </c>
      <c r="AK1145">
        <v>436.66399999999999</v>
      </c>
      <c r="AL1145">
        <v>6.6660000000000004</v>
      </c>
      <c r="AM1145">
        <v>0</v>
      </c>
      <c r="AN1145">
        <v>6.6669999999999998</v>
      </c>
      <c r="AO1145">
        <v>0</v>
      </c>
      <c r="AP1145">
        <v>0</v>
      </c>
      <c r="AQ1145">
        <v>0</v>
      </c>
      <c r="AR1145">
        <v>6.6669999999999998</v>
      </c>
      <c r="AS1145">
        <v>29.998999999999999</v>
      </c>
      <c r="AT1145">
        <v>806.66300000000001</v>
      </c>
      <c r="AU1145" t="s">
        <v>34</v>
      </c>
    </row>
    <row r="1146" spans="1:47" x14ac:dyDescent="0.2">
      <c r="A1146">
        <v>1818</v>
      </c>
      <c r="B1146" t="s">
        <v>616</v>
      </c>
      <c r="C1146">
        <v>67</v>
      </c>
      <c r="D1146" t="s">
        <v>639</v>
      </c>
      <c r="G1146" t="str">
        <f t="shared" si="17"/>
        <v>WWW110467HS002</v>
      </c>
      <c r="H1146">
        <v>70.64</v>
      </c>
      <c r="I1146">
        <v>-166.83500000000001</v>
      </c>
      <c r="J1146" s="3">
        <v>20110908</v>
      </c>
      <c r="K1146">
        <v>2011</v>
      </c>
      <c r="L1146">
        <v>3.2745799999999998</v>
      </c>
      <c r="M1146">
        <v>1.19906</v>
      </c>
      <c r="N1146">
        <v>0.10359</v>
      </c>
      <c r="O1146">
        <v>0</v>
      </c>
      <c r="P1146">
        <v>0</v>
      </c>
      <c r="Q1146">
        <v>0</v>
      </c>
      <c r="R1146">
        <v>1.2E-4</v>
      </c>
      <c r="S1146">
        <v>2.0480000000000002E-2</v>
      </c>
      <c r="T1146">
        <v>1.3299999999999999E-2</v>
      </c>
      <c r="U1146">
        <v>8.5999999999999998E-4</v>
      </c>
      <c r="V1146">
        <v>4.6119899999999996</v>
      </c>
      <c r="W1146" t="s">
        <v>9</v>
      </c>
      <c r="X1146">
        <v>47.386000000000003</v>
      </c>
      <c r="Y1146">
        <v>47.999000000000002</v>
      </c>
      <c r="Z1146">
        <v>1.337</v>
      </c>
      <c r="AA1146">
        <v>0</v>
      </c>
      <c r="AB1146">
        <v>0</v>
      </c>
      <c r="AC1146">
        <v>0</v>
      </c>
      <c r="AD1146">
        <v>3.0000000000000001E-3</v>
      </c>
      <c r="AE1146">
        <v>1.4630000000000001</v>
      </c>
      <c r="AF1146">
        <v>0.14299999999999999</v>
      </c>
      <c r="AG1146">
        <v>1.4E-2</v>
      </c>
      <c r="AH1146">
        <v>98.344999999999999</v>
      </c>
      <c r="AI1146" t="s">
        <v>22</v>
      </c>
      <c r="AJ1146">
        <v>163.33099999999999</v>
      </c>
      <c r="AK1146">
        <v>236.66499999999999</v>
      </c>
      <c r="AL1146">
        <v>73.332999999999998</v>
      </c>
      <c r="AM1146">
        <v>0</v>
      </c>
      <c r="AN1146">
        <v>0</v>
      </c>
      <c r="AO1146">
        <v>0</v>
      </c>
      <c r="AP1146">
        <v>3.3330000000000002</v>
      </c>
      <c r="AQ1146">
        <v>3.3330000000000002</v>
      </c>
      <c r="AR1146">
        <v>0</v>
      </c>
      <c r="AS1146">
        <v>6.6660000000000004</v>
      </c>
      <c r="AT1146">
        <v>486.661</v>
      </c>
      <c r="AU1146" t="s">
        <v>34</v>
      </c>
    </row>
    <row r="1147" spans="1:47" x14ac:dyDescent="0.2">
      <c r="A1147">
        <v>1819</v>
      </c>
      <c r="B1147" t="s">
        <v>616</v>
      </c>
      <c r="C1147">
        <v>68</v>
      </c>
      <c r="D1147" t="s">
        <v>640</v>
      </c>
      <c r="G1147" t="str">
        <f t="shared" si="17"/>
        <v>WWW110468HS005</v>
      </c>
      <c r="H1147">
        <v>70.856999999999999</v>
      </c>
      <c r="I1147">
        <v>-167.53399999999999</v>
      </c>
      <c r="J1147" s="3">
        <v>20110907</v>
      </c>
      <c r="K1147">
        <v>2011</v>
      </c>
      <c r="L1147">
        <v>1.80806</v>
      </c>
      <c r="M1147">
        <v>2.1012200000000001</v>
      </c>
      <c r="N1147">
        <v>0.43425000000000002</v>
      </c>
      <c r="O1147">
        <v>1.5429999999999999E-2</v>
      </c>
      <c r="P1147">
        <v>0</v>
      </c>
      <c r="Q1147">
        <v>0</v>
      </c>
      <c r="R1147">
        <v>0</v>
      </c>
      <c r="S1147">
        <v>0</v>
      </c>
      <c r="T1147">
        <v>4.1570000000000003E-2</v>
      </c>
      <c r="U1147">
        <v>2.588E-2</v>
      </c>
      <c r="V1147">
        <v>4.4264099999999997</v>
      </c>
      <c r="W1147" t="s">
        <v>10</v>
      </c>
      <c r="X1147">
        <v>27.867000000000001</v>
      </c>
      <c r="Y1147">
        <v>91.307000000000002</v>
      </c>
      <c r="Z1147">
        <v>5.6319999999999997</v>
      </c>
      <c r="AA1147">
        <v>0.34300000000000003</v>
      </c>
      <c r="AB1147">
        <v>0</v>
      </c>
      <c r="AC1147">
        <v>0</v>
      </c>
      <c r="AD1147">
        <v>0</v>
      </c>
      <c r="AE1147">
        <v>0</v>
      </c>
      <c r="AF1147">
        <v>0.44700000000000001</v>
      </c>
      <c r="AG1147">
        <v>0.85399999999999998</v>
      </c>
      <c r="AH1147">
        <v>126.45</v>
      </c>
      <c r="AI1147" t="s">
        <v>22</v>
      </c>
      <c r="AJ1147">
        <v>243.333</v>
      </c>
      <c r="AK1147">
        <v>330</v>
      </c>
      <c r="AL1147">
        <v>256.66699999999997</v>
      </c>
      <c r="AM1147">
        <v>3.3330000000000002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20</v>
      </c>
      <c r="AT1147">
        <v>853.33299999999997</v>
      </c>
      <c r="AU1147" t="s">
        <v>34</v>
      </c>
    </row>
    <row r="1148" spans="1:47" x14ac:dyDescent="0.2">
      <c r="A1148">
        <v>1820</v>
      </c>
      <c r="B1148" t="s">
        <v>616</v>
      </c>
      <c r="C1148">
        <v>69</v>
      </c>
      <c r="D1148" t="s">
        <v>641</v>
      </c>
      <c r="G1148" t="str">
        <f t="shared" si="17"/>
        <v>WWW110469HS010</v>
      </c>
      <c r="H1148">
        <v>71.114999999999995</v>
      </c>
      <c r="I1148">
        <v>-166.88200000000001</v>
      </c>
      <c r="J1148" s="3">
        <v>20110908</v>
      </c>
      <c r="K1148">
        <v>2011</v>
      </c>
      <c r="L1148">
        <v>0.11677</v>
      </c>
      <c r="M1148">
        <v>0.28791</v>
      </c>
      <c r="N1148">
        <v>9.0770000000000003E-2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7.5100000000000002E-3</v>
      </c>
      <c r="V1148">
        <v>0.50295999999999996</v>
      </c>
      <c r="W1148" t="s">
        <v>10</v>
      </c>
      <c r="X1148">
        <v>2.65</v>
      </c>
      <c r="Y1148">
        <v>12</v>
      </c>
      <c r="Z1148">
        <v>1.31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0.16500000000000001</v>
      </c>
      <c r="AH1148">
        <v>16.125</v>
      </c>
      <c r="AI1148" t="s">
        <v>22</v>
      </c>
      <c r="AJ1148">
        <v>110</v>
      </c>
      <c r="AK1148">
        <v>300</v>
      </c>
      <c r="AL1148">
        <v>10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20</v>
      </c>
      <c r="AT1148">
        <v>440</v>
      </c>
      <c r="AU1148" t="s">
        <v>34</v>
      </c>
    </row>
    <row r="1149" spans="1:47" x14ac:dyDescent="0.2">
      <c r="A1149">
        <v>1821</v>
      </c>
      <c r="B1149" t="s">
        <v>616</v>
      </c>
      <c r="C1149">
        <v>70</v>
      </c>
      <c r="D1149" t="s">
        <v>642</v>
      </c>
      <c r="G1149" t="str">
        <f t="shared" si="17"/>
        <v>WWW110470HS013</v>
      </c>
      <c r="H1149">
        <v>70.744</v>
      </c>
      <c r="I1149">
        <v>-163.447</v>
      </c>
      <c r="J1149" s="3">
        <v>20110831</v>
      </c>
      <c r="K1149">
        <v>2011</v>
      </c>
      <c r="L1149">
        <v>10.80423</v>
      </c>
      <c r="M1149">
        <v>4.8903800000000004</v>
      </c>
      <c r="N1149">
        <v>0.15584999999999999</v>
      </c>
      <c r="O1149">
        <v>0.19877</v>
      </c>
      <c r="P1149">
        <v>0.29955999999999999</v>
      </c>
      <c r="Q1149">
        <v>0</v>
      </c>
      <c r="R1149">
        <v>0</v>
      </c>
      <c r="S1149">
        <v>0</v>
      </c>
      <c r="T1149">
        <v>9.0579999999999994E-2</v>
      </c>
      <c r="U1149">
        <v>6.0679999999999998E-2</v>
      </c>
      <c r="V1149">
        <v>16.500050000000002</v>
      </c>
      <c r="W1149" t="s">
        <v>9</v>
      </c>
      <c r="X1149">
        <v>155.785</v>
      </c>
      <c r="Y1149">
        <v>152.96600000000001</v>
      </c>
      <c r="Z1149">
        <v>2.0609999999999999</v>
      </c>
      <c r="AA1149">
        <v>4.4169999999999998</v>
      </c>
      <c r="AB1149">
        <v>21.396999999999998</v>
      </c>
      <c r="AC1149">
        <v>0</v>
      </c>
      <c r="AD1149">
        <v>0</v>
      </c>
      <c r="AE1149">
        <v>0</v>
      </c>
      <c r="AF1149">
        <v>0.97399999999999998</v>
      </c>
      <c r="AG1149">
        <v>1.1639999999999999</v>
      </c>
      <c r="AH1149">
        <v>338.76400000000001</v>
      </c>
      <c r="AI1149" t="s">
        <v>21</v>
      </c>
      <c r="AJ1149">
        <v>516.66399999999999</v>
      </c>
      <c r="AK1149">
        <v>396.666</v>
      </c>
      <c r="AL1149">
        <v>716.66600000000005</v>
      </c>
      <c r="AM1149">
        <v>23.334</v>
      </c>
      <c r="AN1149">
        <v>90</v>
      </c>
      <c r="AO1149">
        <v>0</v>
      </c>
      <c r="AP1149">
        <v>0</v>
      </c>
      <c r="AQ1149">
        <v>0</v>
      </c>
      <c r="AR1149">
        <v>6.6669999999999998</v>
      </c>
      <c r="AS1149">
        <v>33.332999999999998</v>
      </c>
      <c r="AT1149">
        <v>1783.33</v>
      </c>
      <c r="AU1149" t="s">
        <v>35</v>
      </c>
    </row>
    <row r="1150" spans="1:47" x14ac:dyDescent="0.2">
      <c r="A1150">
        <v>1822</v>
      </c>
      <c r="B1150" t="s">
        <v>616</v>
      </c>
      <c r="C1150">
        <v>71</v>
      </c>
      <c r="D1150" t="s">
        <v>643</v>
      </c>
      <c r="G1150" t="str">
        <f t="shared" si="17"/>
        <v>WWW110471HS014</v>
      </c>
      <c r="H1150">
        <v>70.870999999999995</v>
      </c>
      <c r="I1150">
        <v>-163.81700000000001</v>
      </c>
      <c r="J1150" s="3">
        <v>20110901</v>
      </c>
      <c r="K1150">
        <v>2011</v>
      </c>
      <c r="L1150">
        <v>11.475239999999999</v>
      </c>
      <c r="M1150">
        <v>1.5643400000000001</v>
      </c>
      <c r="N1150">
        <v>0.50570999999999999</v>
      </c>
      <c r="O1150">
        <v>0.27073000000000003</v>
      </c>
      <c r="P1150">
        <v>0.54586000000000001</v>
      </c>
      <c r="Q1150">
        <v>0</v>
      </c>
      <c r="R1150">
        <v>2.8609399999999998</v>
      </c>
      <c r="S1150">
        <v>7.3800000000000003E-3</v>
      </c>
      <c r="T1150">
        <v>2.111E-2</v>
      </c>
      <c r="U1150">
        <v>1.81864</v>
      </c>
      <c r="V1150">
        <v>19.069949999999999</v>
      </c>
      <c r="W1150" t="s">
        <v>9</v>
      </c>
      <c r="X1150">
        <v>165.54400000000001</v>
      </c>
      <c r="Y1150">
        <v>58.098999999999997</v>
      </c>
      <c r="Z1150">
        <v>6.6609999999999996</v>
      </c>
      <c r="AA1150">
        <v>6.016</v>
      </c>
      <c r="AB1150">
        <v>38.99</v>
      </c>
      <c r="AC1150">
        <v>0</v>
      </c>
      <c r="AD1150">
        <v>48.77</v>
      </c>
      <c r="AE1150">
        <v>0.52700000000000002</v>
      </c>
      <c r="AF1150">
        <v>0.22700000000000001</v>
      </c>
      <c r="AG1150">
        <v>89.981999999999999</v>
      </c>
      <c r="AH1150">
        <v>414.81599999999997</v>
      </c>
      <c r="AI1150" t="s">
        <v>21</v>
      </c>
      <c r="AJ1150">
        <v>1356.663</v>
      </c>
      <c r="AK1150">
        <v>393.334</v>
      </c>
      <c r="AL1150">
        <v>1080</v>
      </c>
      <c r="AM1150">
        <v>123.334</v>
      </c>
      <c r="AN1150">
        <v>233.333</v>
      </c>
      <c r="AO1150">
        <v>0</v>
      </c>
      <c r="AP1150">
        <v>36.665999999999997</v>
      </c>
      <c r="AQ1150">
        <v>3.3330000000000002</v>
      </c>
      <c r="AR1150">
        <v>6.6669999999999998</v>
      </c>
      <c r="AS1150">
        <v>129.999</v>
      </c>
      <c r="AT1150">
        <v>3363.3290000000002</v>
      </c>
      <c r="AU1150" t="s">
        <v>33</v>
      </c>
    </row>
    <row r="1151" spans="1:47" x14ac:dyDescent="0.2">
      <c r="A1151">
        <v>1823</v>
      </c>
      <c r="B1151" t="s">
        <v>616</v>
      </c>
      <c r="C1151">
        <v>72</v>
      </c>
      <c r="D1151" t="s">
        <v>609</v>
      </c>
      <c r="G1151" t="str">
        <f t="shared" si="17"/>
        <v>WWW110472TF001</v>
      </c>
      <c r="H1151">
        <v>70.998000000000005</v>
      </c>
      <c r="I1151">
        <v>-164.19300000000001</v>
      </c>
      <c r="J1151" s="3">
        <v>20110901</v>
      </c>
      <c r="K1151">
        <v>2011</v>
      </c>
      <c r="L1151">
        <v>17.61055</v>
      </c>
      <c r="M1151">
        <v>8.2806099999999994</v>
      </c>
      <c r="N1151">
        <v>0.25900000000000001</v>
      </c>
      <c r="O1151">
        <v>5.6515599999999999</v>
      </c>
      <c r="P1151">
        <v>0.33344000000000001</v>
      </c>
      <c r="Q1151">
        <v>0</v>
      </c>
      <c r="R1151">
        <v>0</v>
      </c>
      <c r="S1151">
        <v>0</v>
      </c>
      <c r="T1151">
        <v>1.023E-2</v>
      </c>
      <c r="U1151">
        <v>0.13048000000000001</v>
      </c>
      <c r="V1151">
        <v>32.275869999999998</v>
      </c>
      <c r="W1151" t="s">
        <v>9</v>
      </c>
      <c r="X1151">
        <v>254.524</v>
      </c>
      <c r="Y1151">
        <v>473.976</v>
      </c>
      <c r="Z1151">
        <v>3.4260000000000002</v>
      </c>
      <c r="AA1151">
        <v>125.59</v>
      </c>
      <c r="AB1151">
        <v>23.817</v>
      </c>
      <c r="AC1151">
        <v>0</v>
      </c>
      <c r="AD1151">
        <v>0</v>
      </c>
      <c r="AE1151">
        <v>0</v>
      </c>
      <c r="AF1151">
        <v>0.11</v>
      </c>
      <c r="AG1151">
        <v>2.6230000000000002</v>
      </c>
      <c r="AH1151">
        <v>884.06600000000003</v>
      </c>
      <c r="AI1151" t="s">
        <v>22</v>
      </c>
      <c r="AJ1151">
        <v>806.66499999999996</v>
      </c>
      <c r="AK1151">
        <v>729.99900000000002</v>
      </c>
      <c r="AL1151">
        <v>1203.3340000000001</v>
      </c>
      <c r="AM1151">
        <v>33.334000000000003</v>
      </c>
      <c r="AN1151">
        <v>113.334</v>
      </c>
      <c r="AO1151">
        <v>0</v>
      </c>
      <c r="AP1151">
        <v>0</v>
      </c>
      <c r="AQ1151">
        <v>0</v>
      </c>
      <c r="AR1151">
        <v>6.6669999999999998</v>
      </c>
      <c r="AS1151">
        <v>139.999</v>
      </c>
      <c r="AT1151">
        <v>3033.3319999999999</v>
      </c>
      <c r="AU1151" t="s">
        <v>35</v>
      </c>
    </row>
    <row r="1152" spans="1:47" x14ac:dyDescent="0.2">
      <c r="A1152">
        <v>1824</v>
      </c>
      <c r="B1152" t="s">
        <v>616</v>
      </c>
      <c r="C1152">
        <v>73</v>
      </c>
      <c r="D1152" t="s">
        <v>610</v>
      </c>
      <c r="G1152" t="str">
        <f t="shared" si="17"/>
        <v>WWW110473TF003</v>
      </c>
      <c r="H1152">
        <v>71.247</v>
      </c>
      <c r="I1152">
        <v>-164.56899999999999</v>
      </c>
      <c r="J1152" s="3">
        <v>20110912</v>
      </c>
      <c r="K1152">
        <v>2011</v>
      </c>
      <c r="L1152">
        <v>10.41685</v>
      </c>
      <c r="M1152">
        <v>4.1247699999999998</v>
      </c>
      <c r="N1152">
        <v>0.1174</v>
      </c>
      <c r="O1152">
        <v>5.7200000000000003E-3</v>
      </c>
      <c r="P1152">
        <v>0.31857999999999997</v>
      </c>
      <c r="Q1152">
        <v>0</v>
      </c>
      <c r="R1152">
        <v>0</v>
      </c>
      <c r="S1152">
        <v>0</v>
      </c>
      <c r="T1152">
        <v>6.2300000000000003E-3</v>
      </c>
      <c r="U1152">
        <v>3.1690000000000003E-2</v>
      </c>
      <c r="V1152">
        <v>15.021240000000001</v>
      </c>
      <c r="W1152" t="s">
        <v>9</v>
      </c>
      <c r="X1152">
        <v>152.56100000000001</v>
      </c>
      <c r="Y1152">
        <v>93.772000000000006</v>
      </c>
      <c r="Z1152">
        <v>1.4890000000000001</v>
      </c>
      <c r="AA1152">
        <v>0.127</v>
      </c>
      <c r="AB1152">
        <v>22.756</v>
      </c>
      <c r="AC1152">
        <v>0</v>
      </c>
      <c r="AD1152">
        <v>0</v>
      </c>
      <c r="AE1152">
        <v>0</v>
      </c>
      <c r="AF1152">
        <v>6.7000000000000004E-2</v>
      </c>
      <c r="AG1152">
        <v>0.69899999999999995</v>
      </c>
      <c r="AH1152">
        <v>271.471</v>
      </c>
      <c r="AI1152" t="s">
        <v>21</v>
      </c>
      <c r="AJ1152">
        <v>383.33300000000003</v>
      </c>
      <c r="AK1152">
        <v>316.66699999999997</v>
      </c>
      <c r="AL1152">
        <v>343.334</v>
      </c>
      <c r="AM1152">
        <v>13.333</v>
      </c>
      <c r="AN1152">
        <v>53.334000000000003</v>
      </c>
      <c r="AO1152">
        <v>0</v>
      </c>
      <c r="AP1152">
        <v>0</v>
      </c>
      <c r="AQ1152">
        <v>0</v>
      </c>
      <c r="AR1152">
        <v>0</v>
      </c>
      <c r="AS1152">
        <v>56.665999999999997</v>
      </c>
      <c r="AT1152">
        <v>1166.6669999999999</v>
      </c>
      <c r="AU1152" t="s">
        <v>33</v>
      </c>
    </row>
    <row r="1153" spans="1:47" x14ac:dyDescent="0.2">
      <c r="A1153">
        <v>1825</v>
      </c>
      <c r="B1153" t="s">
        <v>616</v>
      </c>
      <c r="C1153">
        <v>74</v>
      </c>
      <c r="D1153" t="s">
        <v>612</v>
      </c>
      <c r="G1153" t="str">
        <f t="shared" si="17"/>
        <v>WWW110474TF006</v>
      </c>
      <c r="H1153">
        <v>71.370999999999995</v>
      </c>
      <c r="I1153">
        <v>-164.17500000000001</v>
      </c>
      <c r="J1153" s="3">
        <v>20110913</v>
      </c>
      <c r="K1153">
        <v>2011</v>
      </c>
      <c r="L1153">
        <v>5.8315900000000003</v>
      </c>
      <c r="M1153">
        <v>3.04251</v>
      </c>
      <c r="N1153">
        <v>0.57033</v>
      </c>
      <c r="O1153">
        <v>4.7786799999999996</v>
      </c>
      <c r="P1153">
        <v>0.16561999999999999</v>
      </c>
      <c r="Q1153">
        <v>0</v>
      </c>
      <c r="R1153">
        <v>1.9581</v>
      </c>
      <c r="S1153">
        <v>0</v>
      </c>
      <c r="T1153">
        <v>0.12062</v>
      </c>
      <c r="U1153">
        <v>4.3699999999999998E-3</v>
      </c>
      <c r="V1153">
        <v>16.471820000000001</v>
      </c>
      <c r="W1153" t="s">
        <v>9</v>
      </c>
      <c r="X1153">
        <v>84.858000000000004</v>
      </c>
      <c r="Y1153">
        <v>87.837000000000003</v>
      </c>
      <c r="Z1153">
        <v>8.2899999999999991</v>
      </c>
      <c r="AA1153">
        <v>106.193</v>
      </c>
      <c r="AB1153">
        <v>11.83</v>
      </c>
      <c r="AC1153">
        <v>0</v>
      </c>
      <c r="AD1153">
        <v>32.1</v>
      </c>
      <c r="AE1153">
        <v>0</v>
      </c>
      <c r="AF1153">
        <v>1.2969999999999999</v>
      </c>
      <c r="AG1153">
        <v>0.107</v>
      </c>
      <c r="AH1153">
        <v>332.512</v>
      </c>
      <c r="AI1153" t="s">
        <v>24</v>
      </c>
      <c r="AJ1153">
        <v>349.99700000000001</v>
      </c>
      <c r="AK1153">
        <v>266.66500000000002</v>
      </c>
      <c r="AL1153">
        <v>390</v>
      </c>
      <c r="AM1153">
        <v>13.333</v>
      </c>
      <c r="AN1153">
        <v>26.667000000000002</v>
      </c>
      <c r="AO1153">
        <v>0</v>
      </c>
      <c r="AP1153">
        <v>10</v>
      </c>
      <c r="AQ1153">
        <v>0</v>
      </c>
      <c r="AR1153">
        <v>16.667000000000002</v>
      </c>
      <c r="AS1153">
        <v>13.333</v>
      </c>
      <c r="AT1153">
        <v>1086.662</v>
      </c>
      <c r="AU1153" t="s">
        <v>35</v>
      </c>
    </row>
    <row r="1154" spans="1:47" x14ac:dyDescent="0.2">
      <c r="A1154">
        <v>1935</v>
      </c>
      <c r="B1154" t="s">
        <v>718</v>
      </c>
      <c r="C1154">
        <v>32</v>
      </c>
      <c r="D1154" t="s">
        <v>719</v>
      </c>
      <c r="G1154" t="str">
        <f t="shared" si="17"/>
        <v>AKMAP_J201132PB032</v>
      </c>
      <c r="H1154">
        <v>70.67</v>
      </c>
      <c r="I1154">
        <v>-160.392</v>
      </c>
      <c r="J1154" s="3">
        <v>20110909</v>
      </c>
      <c r="K1154">
        <v>2011</v>
      </c>
      <c r="L1154">
        <v>0.10353999999999999</v>
      </c>
      <c r="M1154">
        <v>6.8300000000000001E-3</v>
      </c>
      <c r="N1154">
        <v>0.35814000000000001</v>
      </c>
      <c r="O1154">
        <v>0</v>
      </c>
      <c r="P1154">
        <v>1.6760000000000001E-2</v>
      </c>
      <c r="Q1154">
        <v>0.10222000000000001</v>
      </c>
      <c r="R1154">
        <v>0</v>
      </c>
      <c r="S1154">
        <v>0</v>
      </c>
      <c r="T1154">
        <v>0</v>
      </c>
      <c r="U1154">
        <v>2.7100000000000002E-3</v>
      </c>
      <c r="V1154">
        <v>0.59019999999999995</v>
      </c>
      <c r="W1154" t="s">
        <v>11</v>
      </c>
      <c r="X1154">
        <v>1.617</v>
      </c>
      <c r="Y1154">
        <v>0.33100000000000002</v>
      </c>
      <c r="Z1154">
        <v>4.6769999999999996</v>
      </c>
      <c r="AA1154">
        <v>0</v>
      </c>
      <c r="AB1154">
        <v>1.1970000000000001</v>
      </c>
      <c r="AC1154">
        <v>12.776999999999999</v>
      </c>
      <c r="AD1154">
        <v>0</v>
      </c>
      <c r="AE1154">
        <v>0</v>
      </c>
      <c r="AF1154">
        <v>0</v>
      </c>
      <c r="AG1154">
        <v>0.25900000000000001</v>
      </c>
      <c r="AH1154">
        <v>20.858000000000001</v>
      </c>
      <c r="AI1154" t="s">
        <v>26</v>
      </c>
      <c r="AJ1154">
        <v>33.332000000000001</v>
      </c>
      <c r="AK1154">
        <v>46.667999999999999</v>
      </c>
      <c r="AL1154">
        <v>363.334</v>
      </c>
      <c r="AM1154">
        <v>0</v>
      </c>
      <c r="AN1154">
        <v>16.667000000000002</v>
      </c>
      <c r="AO1154">
        <v>3.3330000000000002</v>
      </c>
      <c r="AP1154">
        <v>0</v>
      </c>
      <c r="AQ1154">
        <v>0</v>
      </c>
      <c r="AR1154">
        <v>0</v>
      </c>
      <c r="AS1154">
        <v>9.9990000000000006</v>
      </c>
      <c r="AT1154">
        <v>473.33300000000003</v>
      </c>
      <c r="AU1154" t="s">
        <v>35</v>
      </c>
    </row>
    <row r="1155" spans="1:47" x14ac:dyDescent="0.2">
      <c r="A1155">
        <v>1936</v>
      </c>
      <c r="B1155" t="s">
        <v>718</v>
      </c>
      <c r="C1155">
        <v>34</v>
      </c>
      <c r="D1155" t="s">
        <v>720</v>
      </c>
      <c r="G1155" t="str">
        <f t="shared" ref="G1155:G1218" si="18">CONCATENATE(B1155,C1155,D1155)</f>
        <v>AKMAP_J201134PB034</v>
      </c>
      <c r="H1155">
        <v>70.417000000000002</v>
      </c>
      <c r="I1155">
        <v>-163.08099999999999</v>
      </c>
      <c r="J1155" s="3">
        <v>20110914</v>
      </c>
      <c r="K1155">
        <v>2011</v>
      </c>
      <c r="L1155">
        <v>0.44139</v>
      </c>
      <c r="M1155">
        <v>2.04393</v>
      </c>
      <c r="N1155">
        <v>1.7690000000000001E-2</v>
      </c>
      <c r="O1155">
        <v>0</v>
      </c>
      <c r="P1155">
        <v>2E-3</v>
      </c>
      <c r="Q1155">
        <v>5.5035400000000001</v>
      </c>
      <c r="R1155">
        <v>0</v>
      </c>
      <c r="S1155">
        <v>8.8000000000000003E-4</v>
      </c>
      <c r="T1155">
        <v>2.7999999999999998E-4</v>
      </c>
      <c r="U1155">
        <v>0.22624</v>
      </c>
      <c r="V1155">
        <v>8.2359500000000008</v>
      </c>
      <c r="W1155" t="s">
        <v>14</v>
      </c>
      <c r="X1155">
        <v>6.2130000000000001</v>
      </c>
      <c r="Y1155">
        <v>92.17</v>
      </c>
      <c r="Z1155">
        <v>0.23799999999999999</v>
      </c>
      <c r="AA1155">
        <v>0</v>
      </c>
      <c r="AB1155">
        <v>0.14299999999999999</v>
      </c>
      <c r="AC1155">
        <v>687.94299999999998</v>
      </c>
      <c r="AD1155">
        <v>0</v>
      </c>
      <c r="AE1155">
        <v>6.3E-2</v>
      </c>
      <c r="AF1155">
        <v>3.0000000000000001E-3</v>
      </c>
      <c r="AG1155">
        <v>11.207000000000001</v>
      </c>
      <c r="AH1155">
        <v>797.98</v>
      </c>
      <c r="AI1155" t="s">
        <v>26</v>
      </c>
      <c r="AJ1155">
        <v>170</v>
      </c>
      <c r="AK1155">
        <v>463.334</v>
      </c>
      <c r="AL1155">
        <v>96.665999999999997</v>
      </c>
      <c r="AM1155">
        <v>0</v>
      </c>
      <c r="AN1155">
        <v>3.3330000000000002</v>
      </c>
      <c r="AO1155">
        <v>366.66699999999997</v>
      </c>
      <c r="AP1155">
        <v>0</v>
      </c>
      <c r="AQ1155">
        <v>13.333</v>
      </c>
      <c r="AR1155">
        <v>3.3330000000000002</v>
      </c>
      <c r="AS1155">
        <v>199.999</v>
      </c>
      <c r="AT1155">
        <v>1316.665</v>
      </c>
      <c r="AU1155" t="s">
        <v>34</v>
      </c>
    </row>
    <row r="1156" spans="1:47" x14ac:dyDescent="0.2">
      <c r="A1156">
        <v>1937</v>
      </c>
      <c r="B1156" t="s">
        <v>718</v>
      </c>
      <c r="C1156">
        <v>35</v>
      </c>
      <c r="D1156" t="s">
        <v>721</v>
      </c>
      <c r="G1156" t="str">
        <f t="shared" si="18"/>
        <v>AKMAP_J201135PB035</v>
      </c>
      <c r="H1156">
        <v>71.224000000000004</v>
      </c>
      <c r="I1156">
        <v>-157.976</v>
      </c>
      <c r="J1156" s="3">
        <v>20110906</v>
      </c>
      <c r="K1156">
        <v>2011</v>
      </c>
      <c r="L1156">
        <v>3.8077999999999999</v>
      </c>
      <c r="M1156">
        <v>16.208480000000002</v>
      </c>
      <c r="N1156">
        <v>4.7932100000000002</v>
      </c>
      <c r="O1156">
        <v>1.0399999999999999E-3</v>
      </c>
      <c r="P1156">
        <v>4.7200000000000002E-3</v>
      </c>
      <c r="Q1156">
        <v>0.30814000000000002</v>
      </c>
      <c r="R1156">
        <v>0.20918999999999999</v>
      </c>
      <c r="S1156">
        <v>0.83411999999999997</v>
      </c>
      <c r="T1156">
        <v>0.13699</v>
      </c>
      <c r="U1156">
        <v>0.71006999999999998</v>
      </c>
      <c r="V1156">
        <v>27.013760000000001</v>
      </c>
      <c r="W1156" t="s">
        <v>10</v>
      </c>
      <c r="X1156">
        <v>51.173000000000002</v>
      </c>
      <c r="Y1156">
        <v>683.77800000000002</v>
      </c>
      <c r="Z1156">
        <v>65.736000000000004</v>
      </c>
      <c r="AA1156">
        <v>2.3E-2</v>
      </c>
      <c r="AB1156">
        <v>0.33700000000000002</v>
      </c>
      <c r="AC1156">
        <v>38.517000000000003</v>
      </c>
      <c r="AD1156">
        <v>3.84</v>
      </c>
      <c r="AE1156">
        <v>59.58</v>
      </c>
      <c r="AF1156">
        <v>1.4730000000000001</v>
      </c>
      <c r="AG1156">
        <v>38.625</v>
      </c>
      <c r="AH1156">
        <v>943.08199999999999</v>
      </c>
      <c r="AI1156" t="s">
        <v>22</v>
      </c>
      <c r="AJ1156">
        <v>760.00099999999998</v>
      </c>
      <c r="AK1156">
        <v>1266.665</v>
      </c>
      <c r="AL1156">
        <v>12003.333000000001</v>
      </c>
      <c r="AM1156">
        <v>3.3330000000000002</v>
      </c>
      <c r="AN1156">
        <v>33.332999999999998</v>
      </c>
      <c r="AO1156">
        <v>3.3330000000000002</v>
      </c>
      <c r="AP1156">
        <v>16.666</v>
      </c>
      <c r="AQ1156">
        <v>30</v>
      </c>
      <c r="AR1156">
        <v>133.333</v>
      </c>
      <c r="AS1156">
        <v>103.331</v>
      </c>
      <c r="AT1156">
        <v>14353.328</v>
      </c>
      <c r="AU1156" t="s">
        <v>35</v>
      </c>
    </row>
    <row r="1157" spans="1:47" x14ac:dyDescent="0.2">
      <c r="A1157">
        <v>1938</v>
      </c>
      <c r="B1157" t="s">
        <v>718</v>
      </c>
      <c r="C1157">
        <v>36</v>
      </c>
      <c r="D1157" t="s">
        <v>722</v>
      </c>
      <c r="G1157" t="str">
        <f t="shared" si="18"/>
        <v>AKMAP_J201136PB036</v>
      </c>
      <c r="H1157">
        <v>70.694999999999993</v>
      </c>
      <c r="I1157">
        <v>-161.98400000000001</v>
      </c>
      <c r="J1157" s="3">
        <v>20110915</v>
      </c>
      <c r="K1157">
        <v>2011</v>
      </c>
      <c r="L1157">
        <v>2.5014799999999999</v>
      </c>
      <c r="M1157">
        <v>0.45967000000000002</v>
      </c>
      <c r="N1157">
        <v>2.7577199999999999</v>
      </c>
      <c r="O1157">
        <v>1.4854499999999999</v>
      </c>
      <c r="P1157">
        <v>2.4039999999999999E-2</v>
      </c>
      <c r="Q1157">
        <v>0</v>
      </c>
      <c r="R1157">
        <v>4.6539999999999998E-2</v>
      </c>
      <c r="S1157">
        <v>8.26E-3</v>
      </c>
      <c r="T1157">
        <v>5.4870000000000002E-2</v>
      </c>
      <c r="U1157">
        <v>0.11956</v>
      </c>
      <c r="V1157">
        <v>7.4575899999999997</v>
      </c>
      <c r="W1157" t="s">
        <v>11</v>
      </c>
      <c r="X1157">
        <v>35.561</v>
      </c>
      <c r="Y1157">
        <v>14.804</v>
      </c>
      <c r="Z1157">
        <v>40.487000000000002</v>
      </c>
      <c r="AA1157">
        <v>33.01</v>
      </c>
      <c r="AB1157">
        <v>1.7170000000000001</v>
      </c>
      <c r="AC1157">
        <v>0</v>
      </c>
      <c r="AD1157">
        <v>0.76300000000000001</v>
      </c>
      <c r="AE1157">
        <v>0.59</v>
      </c>
      <c r="AF1157">
        <v>0.59</v>
      </c>
      <c r="AG1157">
        <v>6.4539999999999997</v>
      </c>
      <c r="AH1157">
        <v>133.976</v>
      </c>
      <c r="AI1157" t="s">
        <v>23</v>
      </c>
      <c r="AJ1157">
        <v>1189.998</v>
      </c>
      <c r="AK1157">
        <v>913.33100000000002</v>
      </c>
      <c r="AL1157">
        <v>7729.9979999999996</v>
      </c>
      <c r="AM1157">
        <v>86.667000000000002</v>
      </c>
      <c r="AN1157">
        <v>96.667000000000002</v>
      </c>
      <c r="AO1157">
        <v>0</v>
      </c>
      <c r="AP1157">
        <v>10</v>
      </c>
      <c r="AQ1157">
        <v>6.6669999999999998</v>
      </c>
      <c r="AR1157">
        <v>70</v>
      </c>
      <c r="AS1157">
        <v>43.332000000000001</v>
      </c>
      <c r="AT1157">
        <v>10146.66</v>
      </c>
      <c r="AU1157" t="s">
        <v>35</v>
      </c>
    </row>
    <row r="1158" spans="1:47" x14ac:dyDescent="0.2">
      <c r="A1158">
        <v>1939</v>
      </c>
      <c r="B1158" t="s">
        <v>718</v>
      </c>
      <c r="C1158">
        <v>37</v>
      </c>
      <c r="D1158" t="s">
        <v>723</v>
      </c>
      <c r="G1158" t="str">
        <f t="shared" si="18"/>
        <v>AKMAP_J201137PB037</v>
      </c>
      <c r="H1158">
        <v>70.688999999999993</v>
      </c>
      <c r="I1158">
        <v>-161.12</v>
      </c>
      <c r="J1158" s="3">
        <v>20110910</v>
      </c>
      <c r="K1158">
        <v>2011</v>
      </c>
      <c r="L1158">
        <v>3.2406600000000001</v>
      </c>
      <c r="M1158">
        <v>5.8468900000000001</v>
      </c>
      <c r="N1158">
        <v>1.0094399999999999</v>
      </c>
      <c r="O1158">
        <v>6.368E-2</v>
      </c>
      <c r="P1158">
        <v>7.3499999999999998E-3</v>
      </c>
      <c r="Q1158">
        <v>0</v>
      </c>
      <c r="R1158">
        <v>6.2238300000000004</v>
      </c>
      <c r="S1158">
        <v>0.36476999999999998</v>
      </c>
      <c r="T1158">
        <v>3.0689999999999999E-2</v>
      </c>
      <c r="U1158">
        <v>2.75373</v>
      </c>
      <c r="V1158">
        <v>19.541039999999999</v>
      </c>
      <c r="W1158" t="s">
        <v>15</v>
      </c>
      <c r="X1158">
        <v>47.146999999999998</v>
      </c>
      <c r="Y1158">
        <v>354.84800000000001</v>
      </c>
      <c r="Z1158">
        <v>14.715999999999999</v>
      </c>
      <c r="AA1158">
        <v>1.415</v>
      </c>
      <c r="AB1158">
        <v>0.52500000000000002</v>
      </c>
      <c r="AC1158">
        <v>0</v>
      </c>
      <c r="AD1158">
        <v>102.03</v>
      </c>
      <c r="AE1158">
        <v>26.055</v>
      </c>
      <c r="AF1158">
        <v>0.33</v>
      </c>
      <c r="AG1158">
        <v>156.078</v>
      </c>
      <c r="AH1158">
        <v>703.14400000000001</v>
      </c>
      <c r="AI1158" t="s">
        <v>22</v>
      </c>
      <c r="AJ1158">
        <v>2340</v>
      </c>
      <c r="AK1158">
        <v>1840</v>
      </c>
      <c r="AL1158">
        <v>1985</v>
      </c>
      <c r="AM1158">
        <v>90</v>
      </c>
      <c r="AN1158">
        <v>45</v>
      </c>
      <c r="AO1158">
        <v>0</v>
      </c>
      <c r="AP1158">
        <v>25</v>
      </c>
      <c r="AQ1158">
        <v>200</v>
      </c>
      <c r="AR1158">
        <v>60</v>
      </c>
      <c r="AS1158">
        <v>215</v>
      </c>
      <c r="AT1158">
        <v>6800</v>
      </c>
      <c r="AU1158" t="s">
        <v>33</v>
      </c>
    </row>
    <row r="1159" spans="1:47" x14ac:dyDescent="0.2">
      <c r="A1159">
        <v>1940</v>
      </c>
      <c r="B1159" t="s">
        <v>718</v>
      </c>
      <c r="C1159">
        <v>38</v>
      </c>
      <c r="D1159" t="s">
        <v>724</v>
      </c>
      <c r="G1159" t="str">
        <f t="shared" si="18"/>
        <v>AKMAP_J201138PB038</v>
      </c>
      <c r="H1159">
        <v>70.156000000000006</v>
      </c>
      <c r="I1159">
        <v>-163.191</v>
      </c>
      <c r="J1159" s="3">
        <v>20110912</v>
      </c>
      <c r="K1159">
        <v>2011</v>
      </c>
      <c r="L1159">
        <v>1.1546099999999999</v>
      </c>
      <c r="M1159">
        <v>0.12144000000000001</v>
      </c>
      <c r="N1159">
        <v>4.0770000000000001E-2</v>
      </c>
      <c r="O1159">
        <v>0</v>
      </c>
      <c r="P1159">
        <v>0</v>
      </c>
      <c r="Q1159">
        <v>6.8341599999999998</v>
      </c>
      <c r="R1159">
        <v>0</v>
      </c>
      <c r="S1159">
        <v>9.4820000000000002E-2</v>
      </c>
      <c r="T1159">
        <v>1.553E-2</v>
      </c>
      <c r="U1159">
        <v>0.68211999999999995</v>
      </c>
      <c r="V1159">
        <v>8.9434500000000003</v>
      </c>
      <c r="W1159" t="s">
        <v>14</v>
      </c>
      <c r="X1159">
        <v>14.654</v>
      </c>
      <c r="Y1159">
        <v>7.5419999999999998</v>
      </c>
      <c r="Z1159">
        <v>0.503</v>
      </c>
      <c r="AA1159">
        <v>0</v>
      </c>
      <c r="AB1159">
        <v>0</v>
      </c>
      <c r="AC1159">
        <v>854.27</v>
      </c>
      <c r="AD1159">
        <v>0</v>
      </c>
      <c r="AE1159">
        <v>6.7729999999999997</v>
      </c>
      <c r="AF1159">
        <v>0.16700000000000001</v>
      </c>
      <c r="AG1159">
        <v>32.773000000000003</v>
      </c>
      <c r="AH1159">
        <v>916.68200000000002</v>
      </c>
      <c r="AI1159" t="s">
        <v>26</v>
      </c>
      <c r="AJ1159">
        <v>313.33499999999998</v>
      </c>
      <c r="AK1159">
        <v>140</v>
      </c>
      <c r="AL1159">
        <v>230</v>
      </c>
      <c r="AM1159">
        <v>0</v>
      </c>
      <c r="AN1159">
        <v>0</v>
      </c>
      <c r="AO1159">
        <v>186.667</v>
      </c>
      <c r="AP1159">
        <v>0</v>
      </c>
      <c r="AQ1159">
        <v>293.334</v>
      </c>
      <c r="AR1159">
        <v>13.333</v>
      </c>
      <c r="AS1159">
        <v>286.66500000000002</v>
      </c>
      <c r="AT1159">
        <v>1463.3340000000001</v>
      </c>
      <c r="AU1159" t="s">
        <v>33</v>
      </c>
    </row>
    <row r="1160" spans="1:47" x14ac:dyDescent="0.2">
      <c r="A1160">
        <v>1941</v>
      </c>
      <c r="B1160" t="s">
        <v>718</v>
      </c>
      <c r="C1160">
        <v>39</v>
      </c>
      <c r="D1160" t="s">
        <v>725</v>
      </c>
      <c r="G1160" t="str">
        <f t="shared" si="18"/>
        <v>AKMAP_J201139PB039</v>
      </c>
      <c r="H1160">
        <v>71.028999999999996</v>
      </c>
      <c r="I1160">
        <v>-158.435</v>
      </c>
      <c r="J1160" s="3">
        <v>20110906</v>
      </c>
      <c r="K1160">
        <v>2011</v>
      </c>
      <c r="L1160">
        <v>6.4165900000000002</v>
      </c>
      <c r="M1160">
        <v>40.852490000000003</v>
      </c>
      <c r="N1160">
        <v>6.4666600000000001</v>
      </c>
      <c r="O1160">
        <v>0</v>
      </c>
      <c r="P1160">
        <v>6.6879999999999995E-2</v>
      </c>
      <c r="Q1160">
        <v>0</v>
      </c>
      <c r="R1160">
        <v>1.95157</v>
      </c>
      <c r="S1160">
        <v>0.35196</v>
      </c>
      <c r="T1160">
        <v>0</v>
      </c>
      <c r="U1160">
        <v>3.4689999999999999E-2</v>
      </c>
      <c r="V1160">
        <v>56.140839999999997</v>
      </c>
      <c r="W1160" t="s">
        <v>10</v>
      </c>
      <c r="X1160">
        <v>103.437</v>
      </c>
      <c r="Y1160">
        <v>1487.9949999999999</v>
      </c>
      <c r="Z1160">
        <v>94.762</v>
      </c>
      <c r="AA1160">
        <v>0</v>
      </c>
      <c r="AB1160">
        <v>4.7770000000000001</v>
      </c>
      <c r="AC1160">
        <v>0</v>
      </c>
      <c r="AD1160">
        <v>31.992999999999999</v>
      </c>
      <c r="AE1160">
        <v>25.14</v>
      </c>
      <c r="AF1160">
        <v>0</v>
      </c>
      <c r="AG1160">
        <v>1.17</v>
      </c>
      <c r="AH1160">
        <v>1749.2739999999999</v>
      </c>
      <c r="AI1160" t="s">
        <v>22</v>
      </c>
      <c r="AJ1160">
        <v>1169.998</v>
      </c>
      <c r="AK1160">
        <v>2286.6660000000002</v>
      </c>
      <c r="AL1160">
        <v>2183.3319999999999</v>
      </c>
      <c r="AM1160">
        <v>0</v>
      </c>
      <c r="AN1160">
        <v>80</v>
      </c>
      <c r="AO1160">
        <v>0</v>
      </c>
      <c r="AP1160">
        <v>46.667000000000002</v>
      </c>
      <c r="AQ1160">
        <v>56.665999999999997</v>
      </c>
      <c r="AR1160">
        <v>0</v>
      </c>
      <c r="AS1160">
        <v>26.666</v>
      </c>
      <c r="AT1160">
        <v>5849.9949999999999</v>
      </c>
      <c r="AU1160" t="s">
        <v>34</v>
      </c>
    </row>
    <row r="1161" spans="1:47" x14ac:dyDescent="0.2">
      <c r="A1161">
        <v>1942</v>
      </c>
      <c r="B1161" t="s">
        <v>718</v>
      </c>
      <c r="C1161">
        <v>40</v>
      </c>
      <c r="D1161" t="s">
        <v>726</v>
      </c>
      <c r="G1161" t="str">
        <f t="shared" si="18"/>
        <v>AKMAP_J201140PB040</v>
      </c>
      <c r="H1161">
        <v>70.602999999999994</v>
      </c>
      <c r="I1161">
        <v>-162.09399999999999</v>
      </c>
      <c r="J1161" s="3">
        <v>20110914</v>
      </c>
      <c r="K1161">
        <v>2011</v>
      </c>
      <c r="L1161">
        <v>8.7660000000000002E-2</v>
      </c>
      <c r="M1161">
        <v>2.8365399999999998</v>
      </c>
      <c r="N1161">
        <v>0.25242999999999999</v>
      </c>
      <c r="O1161">
        <v>0</v>
      </c>
      <c r="P1161">
        <v>0</v>
      </c>
      <c r="Q1161">
        <v>10.82917</v>
      </c>
      <c r="R1161">
        <v>0</v>
      </c>
      <c r="S1161">
        <v>0</v>
      </c>
      <c r="T1161">
        <v>1.58E-3</v>
      </c>
      <c r="U1161">
        <v>2.053E-2</v>
      </c>
      <c r="V1161">
        <v>14.02791</v>
      </c>
      <c r="W1161" t="s">
        <v>14</v>
      </c>
      <c r="X1161">
        <v>1.2789999999999999</v>
      </c>
      <c r="Y1161">
        <v>104.06</v>
      </c>
      <c r="Z1161">
        <v>3.234</v>
      </c>
      <c r="AA1161">
        <v>0</v>
      </c>
      <c r="AB1161">
        <v>0</v>
      </c>
      <c r="AC1161">
        <v>1353.646</v>
      </c>
      <c r="AD1161">
        <v>0</v>
      </c>
      <c r="AE1161">
        <v>0</v>
      </c>
      <c r="AF1161">
        <v>1.7000000000000001E-2</v>
      </c>
      <c r="AG1161">
        <v>0.86799999999999999</v>
      </c>
      <c r="AH1161">
        <v>1463.104</v>
      </c>
      <c r="AI1161" t="s">
        <v>26</v>
      </c>
      <c r="AJ1161">
        <v>86.665000000000006</v>
      </c>
      <c r="AK1161">
        <v>283.33199999999999</v>
      </c>
      <c r="AL1161">
        <v>123.33199999999999</v>
      </c>
      <c r="AM1161">
        <v>0</v>
      </c>
      <c r="AN1161">
        <v>0</v>
      </c>
      <c r="AO1161">
        <v>626.66700000000003</v>
      </c>
      <c r="AP1161">
        <v>0</v>
      </c>
      <c r="AQ1161">
        <v>0</v>
      </c>
      <c r="AR1161">
        <v>10</v>
      </c>
      <c r="AS1161">
        <v>123.33199999999999</v>
      </c>
      <c r="AT1161">
        <v>1253.328</v>
      </c>
      <c r="AU1161" t="s">
        <v>38</v>
      </c>
    </row>
    <row r="1162" spans="1:47" x14ac:dyDescent="0.2">
      <c r="A1162">
        <v>1943</v>
      </c>
      <c r="B1162" t="s">
        <v>718</v>
      </c>
      <c r="C1162">
        <v>41</v>
      </c>
      <c r="D1162" t="s">
        <v>727</v>
      </c>
      <c r="G1162" t="str">
        <f t="shared" si="18"/>
        <v>AKMAP_J201141PB041</v>
      </c>
      <c r="H1162">
        <v>70.257999999999996</v>
      </c>
      <c r="I1162">
        <v>-163.702</v>
      </c>
      <c r="J1162" s="3">
        <v>20110913</v>
      </c>
      <c r="K1162">
        <v>2011</v>
      </c>
      <c r="L1162">
        <v>0.16078999999999999</v>
      </c>
      <c r="M1162">
        <v>0.13464000000000001</v>
      </c>
      <c r="N1162">
        <v>1.4840000000000001E-2</v>
      </c>
      <c r="O1162">
        <v>0</v>
      </c>
      <c r="P1162">
        <v>0</v>
      </c>
      <c r="Q1162">
        <v>4.1849600000000002</v>
      </c>
      <c r="R1162">
        <v>0</v>
      </c>
      <c r="S1162">
        <v>5.4200000000000003E-3</v>
      </c>
      <c r="T1162">
        <v>0</v>
      </c>
      <c r="U1162">
        <v>0.50494000000000006</v>
      </c>
      <c r="V1162">
        <v>5.0055899999999998</v>
      </c>
      <c r="W1162" t="s">
        <v>14</v>
      </c>
      <c r="X1162">
        <v>2.472</v>
      </c>
      <c r="Y1162">
        <v>3.9910000000000001</v>
      </c>
      <c r="Z1162">
        <v>0.20300000000000001</v>
      </c>
      <c r="AA1162">
        <v>0</v>
      </c>
      <c r="AB1162">
        <v>0</v>
      </c>
      <c r="AC1162">
        <v>523.12</v>
      </c>
      <c r="AD1162">
        <v>0</v>
      </c>
      <c r="AE1162">
        <v>0.38700000000000001</v>
      </c>
      <c r="AF1162">
        <v>0</v>
      </c>
      <c r="AG1162">
        <v>24.785</v>
      </c>
      <c r="AH1162">
        <v>554.95799999999997</v>
      </c>
      <c r="AI1162" t="s">
        <v>26</v>
      </c>
      <c r="AJ1162">
        <v>316.666</v>
      </c>
      <c r="AK1162">
        <v>719.99900000000002</v>
      </c>
      <c r="AL1162">
        <v>103.333</v>
      </c>
      <c r="AM1162">
        <v>0</v>
      </c>
      <c r="AN1162">
        <v>0</v>
      </c>
      <c r="AO1162">
        <v>296.66699999999997</v>
      </c>
      <c r="AP1162">
        <v>0</v>
      </c>
      <c r="AQ1162">
        <v>20</v>
      </c>
      <c r="AR1162">
        <v>0</v>
      </c>
      <c r="AS1162">
        <v>573.33399999999995</v>
      </c>
      <c r="AT1162">
        <v>2029.999</v>
      </c>
      <c r="AU1162" t="s">
        <v>34</v>
      </c>
    </row>
    <row r="1163" spans="1:47" x14ac:dyDescent="0.2">
      <c r="A1163">
        <v>1944</v>
      </c>
      <c r="B1163" t="s">
        <v>718</v>
      </c>
      <c r="C1163">
        <v>42</v>
      </c>
      <c r="D1163" t="s">
        <v>728</v>
      </c>
      <c r="G1163" t="str">
        <f t="shared" si="18"/>
        <v>AKMAP_J201142PB042</v>
      </c>
      <c r="H1163">
        <v>70.512</v>
      </c>
      <c r="I1163">
        <v>-162.71</v>
      </c>
      <c r="J1163" s="3">
        <v>20110914</v>
      </c>
      <c r="K1163">
        <v>2011</v>
      </c>
      <c r="L1163">
        <v>3.1469999999999998E-2</v>
      </c>
      <c r="M1163">
        <v>2.2866200000000001</v>
      </c>
      <c r="N1163">
        <v>2.257E-2</v>
      </c>
      <c r="O1163">
        <v>0</v>
      </c>
      <c r="P1163">
        <v>0</v>
      </c>
      <c r="Q1163">
        <v>4.6174200000000001</v>
      </c>
      <c r="R1163">
        <v>0</v>
      </c>
      <c r="S1163">
        <v>1.64E-3</v>
      </c>
      <c r="T1163">
        <v>5.3E-3</v>
      </c>
      <c r="U1163">
        <v>0.20161000000000001</v>
      </c>
      <c r="V1163">
        <v>7.1666299999999996</v>
      </c>
      <c r="W1163" t="s">
        <v>14</v>
      </c>
      <c r="X1163">
        <v>0.45700000000000002</v>
      </c>
      <c r="Y1163">
        <v>81.623000000000005</v>
      </c>
      <c r="Z1163">
        <v>0.30199999999999999</v>
      </c>
      <c r="AA1163">
        <v>0</v>
      </c>
      <c r="AB1163">
        <v>0</v>
      </c>
      <c r="AC1163">
        <v>577.17700000000002</v>
      </c>
      <c r="AD1163">
        <v>0</v>
      </c>
      <c r="AE1163">
        <v>0.11700000000000001</v>
      </c>
      <c r="AF1163">
        <v>5.7000000000000002E-2</v>
      </c>
      <c r="AG1163">
        <v>12.946999999999999</v>
      </c>
      <c r="AH1163">
        <v>672.68</v>
      </c>
      <c r="AI1163" t="s">
        <v>26</v>
      </c>
      <c r="AJ1163">
        <v>79.998000000000005</v>
      </c>
      <c r="AK1163">
        <v>233.33199999999999</v>
      </c>
      <c r="AL1163">
        <v>150</v>
      </c>
      <c r="AM1163">
        <v>0</v>
      </c>
      <c r="AN1163">
        <v>0</v>
      </c>
      <c r="AO1163">
        <v>226.667</v>
      </c>
      <c r="AP1163">
        <v>0</v>
      </c>
      <c r="AQ1163">
        <v>23.332999999999998</v>
      </c>
      <c r="AR1163">
        <v>6.6669999999999998</v>
      </c>
      <c r="AS1163">
        <v>196.66399999999999</v>
      </c>
      <c r="AT1163">
        <v>916.66099999999994</v>
      </c>
      <c r="AU1163" t="s">
        <v>34</v>
      </c>
    </row>
    <row r="1164" spans="1:47" x14ac:dyDescent="0.2">
      <c r="A1164">
        <v>1945</v>
      </c>
      <c r="B1164" t="s">
        <v>718</v>
      </c>
      <c r="C1164">
        <v>43</v>
      </c>
      <c r="D1164" t="s">
        <v>729</v>
      </c>
      <c r="G1164" t="str">
        <f t="shared" si="18"/>
        <v>AKMAP_J201143PB043</v>
      </c>
      <c r="H1164">
        <v>71.161000000000001</v>
      </c>
      <c r="I1164">
        <v>-160.18899999999999</v>
      </c>
      <c r="J1164" s="3">
        <v>20110907</v>
      </c>
      <c r="K1164">
        <v>2011</v>
      </c>
      <c r="L1164">
        <v>7.3991400000000001</v>
      </c>
      <c r="M1164">
        <v>1.3412900000000001</v>
      </c>
      <c r="N1164">
        <v>2.80396</v>
      </c>
      <c r="O1164">
        <v>0.13693</v>
      </c>
      <c r="P1164">
        <v>2.5100000000000001E-2</v>
      </c>
      <c r="Q1164">
        <v>0</v>
      </c>
      <c r="R1164">
        <v>0.57645000000000002</v>
      </c>
      <c r="S1164">
        <v>2.4819999999999998E-2</v>
      </c>
      <c r="T1164">
        <v>0.80696000000000001</v>
      </c>
      <c r="U1164">
        <v>14.80467</v>
      </c>
      <c r="V1164">
        <v>27.919319999999999</v>
      </c>
      <c r="W1164" t="s">
        <v>18</v>
      </c>
      <c r="X1164">
        <v>107.129</v>
      </c>
      <c r="Y1164">
        <v>50.281999999999996</v>
      </c>
      <c r="Z1164">
        <v>39.368000000000002</v>
      </c>
      <c r="AA1164">
        <v>3.0430000000000001</v>
      </c>
      <c r="AB1164">
        <v>1.7929999999999999</v>
      </c>
      <c r="AC1164">
        <v>0</v>
      </c>
      <c r="AD1164">
        <v>9.4499999999999993</v>
      </c>
      <c r="AE1164">
        <v>1.7729999999999999</v>
      </c>
      <c r="AF1164">
        <v>8.6769999999999996</v>
      </c>
      <c r="AG1164">
        <v>624.43399999999997</v>
      </c>
      <c r="AH1164">
        <v>845.94899999999996</v>
      </c>
      <c r="AI1164" t="s">
        <v>30</v>
      </c>
      <c r="AJ1164">
        <v>1953.335</v>
      </c>
      <c r="AK1164">
        <v>376.666</v>
      </c>
      <c r="AL1164">
        <v>8226.6669999999995</v>
      </c>
      <c r="AM1164">
        <v>110</v>
      </c>
      <c r="AN1164">
        <v>13.333</v>
      </c>
      <c r="AO1164">
        <v>0</v>
      </c>
      <c r="AP1164">
        <v>36.667000000000002</v>
      </c>
      <c r="AQ1164">
        <v>3.3330000000000002</v>
      </c>
      <c r="AR1164">
        <v>216.667</v>
      </c>
      <c r="AS1164">
        <v>113.331</v>
      </c>
      <c r="AT1164">
        <v>11049.999</v>
      </c>
      <c r="AU1164" t="s">
        <v>35</v>
      </c>
    </row>
    <row r="1165" spans="1:47" x14ac:dyDescent="0.2">
      <c r="A1165">
        <v>1946</v>
      </c>
      <c r="B1165" t="s">
        <v>718</v>
      </c>
      <c r="C1165">
        <v>44</v>
      </c>
      <c r="D1165" t="s">
        <v>730</v>
      </c>
      <c r="G1165" t="str">
        <f t="shared" si="18"/>
        <v>AKMAP_J201144PB044</v>
      </c>
      <c r="H1165">
        <v>71.066000000000003</v>
      </c>
      <c r="I1165">
        <v>-160.964</v>
      </c>
      <c r="J1165" s="3">
        <v>20110907</v>
      </c>
      <c r="K1165">
        <v>2011</v>
      </c>
      <c r="L1165">
        <v>9.4821299999999997</v>
      </c>
      <c r="M1165">
        <v>5.65571</v>
      </c>
      <c r="N1165">
        <v>1.33667</v>
      </c>
      <c r="O1165">
        <v>0.87134</v>
      </c>
      <c r="P1165">
        <v>2.6079999999999999E-2</v>
      </c>
      <c r="Q1165">
        <v>0</v>
      </c>
      <c r="R1165">
        <v>0.22625000000000001</v>
      </c>
      <c r="S1165">
        <v>2.376E-2</v>
      </c>
      <c r="T1165">
        <v>4.0640000000000003E-2</v>
      </c>
      <c r="U1165">
        <v>1.85155</v>
      </c>
      <c r="V1165">
        <v>19.514130000000002</v>
      </c>
      <c r="W1165" t="s">
        <v>9</v>
      </c>
      <c r="X1165">
        <v>130.26</v>
      </c>
      <c r="Y1165">
        <v>330.41</v>
      </c>
      <c r="Z1165">
        <v>19.413</v>
      </c>
      <c r="AA1165">
        <v>19.363</v>
      </c>
      <c r="AB1165">
        <v>1.863</v>
      </c>
      <c r="AC1165">
        <v>0</v>
      </c>
      <c r="AD1165">
        <v>3.71</v>
      </c>
      <c r="AE1165">
        <v>1.6970000000000001</v>
      </c>
      <c r="AF1165">
        <v>0.437</v>
      </c>
      <c r="AG1165">
        <v>100.04300000000001</v>
      </c>
      <c r="AH1165">
        <v>607.19600000000003</v>
      </c>
      <c r="AI1165" t="s">
        <v>22</v>
      </c>
      <c r="AJ1165">
        <v>1999.999</v>
      </c>
      <c r="AK1165">
        <v>516.66499999999996</v>
      </c>
      <c r="AL1165">
        <v>2349.9989999999998</v>
      </c>
      <c r="AM1165">
        <v>63.332999999999998</v>
      </c>
      <c r="AN1165">
        <v>23.334</v>
      </c>
      <c r="AO1165">
        <v>0</v>
      </c>
      <c r="AP1165">
        <v>16.666</v>
      </c>
      <c r="AQ1165">
        <v>13.333</v>
      </c>
      <c r="AR1165">
        <v>60</v>
      </c>
      <c r="AS1165">
        <v>103.33199999999999</v>
      </c>
      <c r="AT1165">
        <v>5146.6610000000001</v>
      </c>
      <c r="AU1165" t="s">
        <v>35</v>
      </c>
    </row>
    <row r="1166" spans="1:47" x14ac:dyDescent="0.2">
      <c r="A1166">
        <v>1947</v>
      </c>
      <c r="B1166" t="s">
        <v>718</v>
      </c>
      <c r="C1166">
        <v>45</v>
      </c>
      <c r="D1166" t="s">
        <v>731</v>
      </c>
      <c r="G1166" t="str">
        <f t="shared" si="18"/>
        <v>AKMAP_J201145PB045</v>
      </c>
      <c r="H1166">
        <v>70.102999999999994</v>
      </c>
      <c r="I1166">
        <v>-163.392</v>
      </c>
      <c r="J1166" s="3">
        <v>20110912</v>
      </c>
      <c r="K1166">
        <v>2011</v>
      </c>
      <c r="L1166">
        <v>0.50883999999999996</v>
      </c>
      <c r="M1166">
        <v>0.79732000000000003</v>
      </c>
      <c r="N1166">
        <v>7.0790000000000006E-2</v>
      </c>
      <c r="O1166">
        <v>0</v>
      </c>
      <c r="P1166">
        <v>2.98E-3</v>
      </c>
      <c r="Q1166">
        <v>4.99186</v>
      </c>
      <c r="R1166">
        <v>0</v>
      </c>
      <c r="S1166">
        <v>0.14377999999999999</v>
      </c>
      <c r="T1166">
        <v>1.58E-3</v>
      </c>
      <c r="U1166">
        <v>0.46422000000000002</v>
      </c>
      <c r="V1166">
        <v>6.9813700000000001</v>
      </c>
      <c r="W1166" t="s">
        <v>14</v>
      </c>
      <c r="X1166">
        <v>7.899</v>
      </c>
      <c r="Y1166">
        <v>46.637999999999998</v>
      </c>
      <c r="Z1166">
        <v>0.96</v>
      </c>
      <c r="AA1166">
        <v>0</v>
      </c>
      <c r="AB1166">
        <v>0.21299999999999999</v>
      </c>
      <c r="AC1166">
        <v>623.98299999999995</v>
      </c>
      <c r="AD1166">
        <v>0</v>
      </c>
      <c r="AE1166">
        <v>10.27</v>
      </c>
      <c r="AF1166">
        <v>1.7000000000000001E-2</v>
      </c>
      <c r="AG1166">
        <v>19.434999999999999</v>
      </c>
      <c r="AH1166">
        <v>709.41499999999996</v>
      </c>
      <c r="AI1166" t="s">
        <v>26</v>
      </c>
      <c r="AJ1166">
        <v>753.33299999999997</v>
      </c>
      <c r="AK1166">
        <v>240.00200000000001</v>
      </c>
      <c r="AL1166">
        <v>346.666</v>
      </c>
      <c r="AM1166">
        <v>0</v>
      </c>
      <c r="AN1166">
        <v>20</v>
      </c>
      <c r="AO1166">
        <v>196.667</v>
      </c>
      <c r="AP1166">
        <v>0</v>
      </c>
      <c r="AQ1166">
        <v>306.666</v>
      </c>
      <c r="AR1166">
        <v>6.6669999999999998</v>
      </c>
      <c r="AS1166">
        <v>213.333</v>
      </c>
      <c r="AT1166">
        <v>2083.3339999999998</v>
      </c>
      <c r="AU1166" t="s">
        <v>33</v>
      </c>
    </row>
    <row r="1167" spans="1:47" x14ac:dyDescent="0.2">
      <c r="A1167">
        <v>1948</v>
      </c>
      <c r="B1167" t="s">
        <v>718</v>
      </c>
      <c r="C1167">
        <v>46</v>
      </c>
      <c r="D1167" t="s">
        <v>732</v>
      </c>
      <c r="G1167" t="str">
        <f t="shared" si="18"/>
        <v>AKMAP_J201146PB046</v>
      </c>
      <c r="H1167">
        <v>70.481999999999999</v>
      </c>
      <c r="I1167">
        <v>-161.23400000000001</v>
      </c>
      <c r="J1167" s="3">
        <v>20110911</v>
      </c>
      <c r="K1167">
        <v>2011</v>
      </c>
      <c r="L1167">
        <v>0.59170999999999996</v>
      </c>
      <c r="M1167">
        <v>2.33866</v>
      </c>
      <c r="N1167">
        <v>0.55052999999999996</v>
      </c>
      <c r="O1167">
        <v>9.1400000000000006E-3</v>
      </c>
      <c r="P1167">
        <v>0.35182000000000002</v>
      </c>
      <c r="Q1167">
        <v>9.8799999999999999E-3</v>
      </c>
      <c r="R1167">
        <v>1.32E-3</v>
      </c>
      <c r="S1167">
        <v>0.1608</v>
      </c>
      <c r="T1167">
        <v>9.9500000000000005E-3</v>
      </c>
      <c r="U1167">
        <v>0.38469999999999999</v>
      </c>
      <c r="V1167">
        <v>4.4085099999999997</v>
      </c>
      <c r="W1167" t="s">
        <v>10</v>
      </c>
      <c r="X1167">
        <v>8.9489999999999998</v>
      </c>
      <c r="Y1167">
        <v>133.435</v>
      </c>
      <c r="Z1167">
        <v>7.8780000000000001</v>
      </c>
      <c r="AA1167">
        <v>0.20300000000000001</v>
      </c>
      <c r="AB1167">
        <v>25.13</v>
      </c>
      <c r="AC1167">
        <v>1.234</v>
      </c>
      <c r="AD1167">
        <v>3.3000000000000002E-2</v>
      </c>
      <c r="AE1167">
        <v>10.103</v>
      </c>
      <c r="AF1167">
        <v>0.107</v>
      </c>
      <c r="AG1167">
        <v>16.498999999999999</v>
      </c>
      <c r="AH1167">
        <v>203.571</v>
      </c>
      <c r="AI1167" t="s">
        <v>22</v>
      </c>
      <c r="AJ1167">
        <v>1239.9970000000001</v>
      </c>
      <c r="AK1167">
        <v>663.33299999999997</v>
      </c>
      <c r="AL1167">
        <v>369.99799999999999</v>
      </c>
      <c r="AM1167">
        <v>6.6669999999999998</v>
      </c>
      <c r="AN1167">
        <v>43.332999999999998</v>
      </c>
      <c r="AO1167">
        <v>96.665999999999997</v>
      </c>
      <c r="AP1167">
        <v>10</v>
      </c>
      <c r="AQ1167">
        <v>136.666</v>
      </c>
      <c r="AR1167">
        <v>23.332999999999998</v>
      </c>
      <c r="AS1167">
        <v>416.66800000000001</v>
      </c>
      <c r="AT1167">
        <v>3006.6610000000001</v>
      </c>
      <c r="AU1167" t="s">
        <v>33</v>
      </c>
    </row>
    <row r="1168" spans="1:47" x14ac:dyDescent="0.2">
      <c r="A1168">
        <v>1949</v>
      </c>
      <c r="B1168" t="s">
        <v>718</v>
      </c>
      <c r="C1168">
        <v>47</v>
      </c>
      <c r="D1168" t="s">
        <v>733</v>
      </c>
      <c r="G1168" t="str">
        <f t="shared" si="18"/>
        <v>AKMAP_J201147PB047</v>
      </c>
      <c r="H1168">
        <v>71.004000000000005</v>
      </c>
      <c r="I1168">
        <v>-158.077</v>
      </c>
      <c r="J1168" s="3">
        <v>20110906</v>
      </c>
      <c r="K1168">
        <v>2011</v>
      </c>
      <c r="L1168">
        <v>7.3192399999999997</v>
      </c>
      <c r="M1168">
        <v>1.9412199999999999</v>
      </c>
      <c r="N1168">
        <v>4.9540899999999999</v>
      </c>
      <c r="O1168">
        <v>0</v>
      </c>
      <c r="P1168">
        <v>4.786E-2</v>
      </c>
      <c r="Q1168">
        <v>0</v>
      </c>
      <c r="R1168">
        <v>0</v>
      </c>
      <c r="S1168">
        <v>0</v>
      </c>
      <c r="T1168">
        <v>3.1899999999999998E-2</v>
      </c>
      <c r="U1168">
        <v>2.8400000000000001E-3</v>
      </c>
      <c r="V1168">
        <v>14.29715</v>
      </c>
      <c r="W1168" t="s">
        <v>9</v>
      </c>
      <c r="X1168">
        <v>115.965</v>
      </c>
      <c r="Y1168">
        <v>68.367999999999995</v>
      </c>
      <c r="Z1168">
        <v>71.596000000000004</v>
      </c>
      <c r="AA1168">
        <v>0</v>
      </c>
      <c r="AB1168">
        <v>3.419</v>
      </c>
      <c r="AC1168">
        <v>0</v>
      </c>
      <c r="AD1168">
        <v>0</v>
      </c>
      <c r="AE1168">
        <v>0</v>
      </c>
      <c r="AF1168">
        <v>0.34300000000000003</v>
      </c>
      <c r="AG1168">
        <v>0.11</v>
      </c>
      <c r="AH1168">
        <v>259.80099999999999</v>
      </c>
      <c r="AI1168" t="s">
        <v>21</v>
      </c>
      <c r="AJ1168">
        <v>1576.6659999999999</v>
      </c>
      <c r="AK1168">
        <v>366.666</v>
      </c>
      <c r="AL1168">
        <v>2536.6680000000001</v>
      </c>
      <c r="AM1168">
        <v>0</v>
      </c>
      <c r="AN1168">
        <v>66.665999999999997</v>
      </c>
      <c r="AO1168">
        <v>0</v>
      </c>
      <c r="AP1168">
        <v>0</v>
      </c>
      <c r="AQ1168">
        <v>0</v>
      </c>
      <c r="AR1168">
        <v>36.667000000000002</v>
      </c>
      <c r="AS1168">
        <v>20</v>
      </c>
      <c r="AT1168">
        <v>4603.3329999999996</v>
      </c>
      <c r="AU1168" t="s">
        <v>35</v>
      </c>
    </row>
    <row r="1169" spans="1:47" x14ac:dyDescent="0.2">
      <c r="A1169">
        <v>1950</v>
      </c>
      <c r="B1169" t="s">
        <v>718</v>
      </c>
      <c r="C1169">
        <v>48</v>
      </c>
      <c r="D1169" t="s">
        <v>734</v>
      </c>
      <c r="G1169" t="str">
        <f t="shared" si="18"/>
        <v>AKMAP_J201148PB048</v>
      </c>
      <c r="H1169">
        <v>70.614999999999995</v>
      </c>
      <c r="I1169">
        <v>-160.74299999999999</v>
      </c>
      <c r="J1169" s="3">
        <v>20110909</v>
      </c>
      <c r="K1169">
        <v>2011</v>
      </c>
      <c r="L1169">
        <v>2.27163</v>
      </c>
      <c r="M1169">
        <v>1.81419</v>
      </c>
      <c r="N1169">
        <v>8.5849700000000002</v>
      </c>
      <c r="O1169">
        <v>2.5699999999999998E-3</v>
      </c>
      <c r="P1169">
        <v>1.5820000000000001E-2</v>
      </c>
      <c r="Q1169">
        <v>0</v>
      </c>
      <c r="R1169">
        <v>0</v>
      </c>
      <c r="S1169">
        <v>0.69835999999999998</v>
      </c>
      <c r="T1169">
        <v>2.911E-2</v>
      </c>
      <c r="U1169">
        <v>0.38628000000000001</v>
      </c>
      <c r="V1169">
        <v>13.80293</v>
      </c>
      <c r="W1169" t="s">
        <v>11</v>
      </c>
      <c r="X1169">
        <v>32.808</v>
      </c>
      <c r="Y1169">
        <v>57.283999999999999</v>
      </c>
      <c r="Z1169">
        <v>125.69799999999999</v>
      </c>
      <c r="AA1169">
        <v>5.7000000000000002E-2</v>
      </c>
      <c r="AB1169">
        <v>1.1299999999999999</v>
      </c>
      <c r="AC1169">
        <v>0</v>
      </c>
      <c r="AD1169">
        <v>0</v>
      </c>
      <c r="AE1169">
        <v>49.883000000000003</v>
      </c>
      <c r="AF1169">
        <v>0.313</v>
      </c>
      <c r="AG1169">
        <v>25.707999999999998</v>
      </c>
      <c r="AH1169">
        <v>292.88099999999997</v>
      </c>
      <c r="AI1169" t="s">
        <v>23</v>
      </c>
      <c r="AJ1169">
        <v>3896.665</v>
      </c>
      <c r="AK1169">
        <v>916.66700000000003</v>
      </c>
      <c r="AL1169">
        <v>6669.9989999999998</v>
      </c>
      <c r="AM1169">
        <v>26.666</v>
      </c>
      <c r="AN1169">
        <v>40</v>
      </c>
      <c r="AO1169">
        <v>0</v>
      </c>
      <c r="AP1169">
        <v>0</v>
      </c>
      <c r="AQ1169">
        <v>373.334</v>
      </c>
      <c r="AR1169">
        <v>76.667000000000002</v>
      </c>
      <c r="AS1169">
        <v>193.33099999999999</v>
      </c>
      <c r="AT1169">
        <v>12193.329</v>
      </c>
      <c r="AU1169" t="s">
        <v>35</v>
      </c>
    </row>
    <row r="1170" spans="1:47" x14ac:dyDescent="0.2">
      <c r="A1170">
        <v>1951</v>
      </c>
      <c r="B1170" t="s">
        <v>718</v>
      </c>
      <c r="C1170">
        <v>49</v>
      </c>
      <c r="D1170" t="s">
        <v>735</v>
      </c>
      <c r="G1170" t="str">
        <f t="shared" si="18"/>
        <v>AKMAP_J201149PB049</v>
      </c>
      <c r="H1170">
        <v>70.998999999999995</v>
      </c>
      <c r="I1170">
        <v>-160.613</v>
      </c>
      <c r="J1170" s="3">
        <v>20110908</v>
      </c>
      <c r="K1170">
        <v>2011</v>
      </c>
      <c r="L1170">
        <v>5.5088999999999997</v>
      </c>
      <c r="M1170">
        <v>1.60304</v>
      </c>
      <c r="N1170">
        <v>3.7165300000000001</v>
      </c>
      <c r="O1170">
        <v>3.8128600000000001</v>
      </c>
      <c r="P1170">
        <v>3.7240000000000002E-2</v>
      </c>
      <c r="Q1170">
        <v>0</v>
      </c>
      <c r="R1170">
        <v>0.20082</v>
      </c>
      <c r="S1170">
        <v>0.13519999999999999</v>
      </c>
      <c r="T1170">
        <v>5.0500000000000003E-2</v>
      </c>
      <c r="U1170">
        <v>0.92574999999999996</v>
      </c>
      <c r="V1170">
        <v>15.99084</v>
      </c>
      <c r="W1170" t="s">
        <v>9</v>
      </c>
      <c r="X1170">
        <v>77.078999999999994</v>
      </c>
      <c r="Y1170">
        <v>76.781000000000006</v>
      </c>
      <c r="Z1170">
        <v>53.975000000000001</v>
      </c>
      <c r="AA1170">
        <v>84.73</v>
      </c>
      <c r="AB1170">
        <v>2.66</v>
      </c>
      <c r="AC1170">
        <v>0</v>
      </c>
      <c r="AD1170">
        <v>3.3</v>
      </c>
      <c r="AE1170">
        <v>9.657</v>
      </c>
      <c r="AF1170">
        <v>0.54300000000000004</v>
      </c>
      <c r="AG1170">
        <v>44.061999999999998</v>
      </c>
      <c r="AH1170">
        <v>352.78699999999998</v>
      </c>
      <c r="AI1170" t="s">
        <v>24</v>
      </c>
      <c r="AJ1170">
        <v>2516.6660000000002</v>
      </c>
      <c r="AK1170">
        <v>646.66399999999999</v>
      </c>
      <c r="AL1170">
        <v>4913.3339999999998</v>
      </c>
      <c r="AM1170">
        <v>80</v>
      </c>
      <c r="AN1170">
        <v>43.334000000000003</v>
      </c>
      <c r="AO1170">
        <v>0</v>
      </c>
      <c r="AP1170">
        <v>26.666</v>
      </c>
      <c r="AQ1170">
        <v>26.667000000000002</v>
      </c>
      <c r="AR1170">
        <v>46.667000000000002</v>
      </c>
      <c r="AS1170">
        <v>49.999000000000002</v>
      </c>
      <c r="AT1170">
        <v>8349.9969999999994</v>
      </c>
      <c r="AU1170" t="s">
        <v>35</v>
      </c>
    </row>
    <row r="1171" spans="1:47" x14ac:dyDescent="0.2">
      <c r="A1171">
        <v>1952</v>
      </c>
      <c r="B1171" t="s">
        <v>718</v>
      </c>
      <c r="C1171">
        <v>50</v>
      </c>
      <c r="D1171" t="s">
        <v>736</v>
      </c>
      <c r="G1171" t="str">
        <f t="shared" si="18"/>
        <v>AKMAP_J201150PB050</v>
      </c>
      <c r="H1171">
        <v>70.188999999999993</v>
      </c>
      <c r="I1171">
        <v>-163.75200000000001</v>
      </c>
      <c r="J1171" s="3">
        <v>20110912</v>
      </c>
      <c r="K1171">
        <v>2011</v>
      </c>
      <c r="L1171">
        <v>0.17860000000000001</v>
      </c>
      <c r="M1171">
        <v>0.91959000000000002</v>
      </c>
      <c r="N1171">
        <v>1.333E-2</v>
      </c>
      <c r="O1171">
        <v>0</v>
      </c>
      <c r="P1171">
        <v>8.8000000000000003E-4</v>
      </c>
      <c r="Q1171">
        <v>4.7478199999999999</v>
      </c>
      <c r="R1171">
        <v>0</v>
      </c>
      <c r="S1171">
        <v>2.4000000000000001E-4</v>
      </c>
      <c r="T1171">
        <v>9.3000000000000005E-4</v>
      </c>
      <c r="U1171">
        <v>9.9199999999999997E-2</v>
      </c>
      <c r="V1171">
        <v>5.9605899999999998</v>
      </c>
      <c r="W1171" t="s">
        <v>14</v>
      </c>
      <c r="X1171">
        <v>2.649</v>
      </c>
      <c r="Y1171">
        <v>44.881999999999998</v>
      </c>
      <c r="Z1171">
        <v>0.19400000000000001</v>
      </c>
      <c r="AA1171">
        <v>0</v>
      </c>
      <c r="AB1171">
        <v>6.3E-2</v>
      </c>
      <c r="AC1171">
        <v>593.47699999999998</v>
      </c>
      <c r="AD1171">
        <v>0</v>
      </c>
      <c r="AE1171">
        <v>1.7000000000000001E-2</v>
      </c>
      <c r="AF1171">
        <v>0.01</v>
      </c>
      <c r="AG1171">
        <v>6.1769999999999996</v>
      </c>
      <c r="AH1171">
        <v>647.46900000000005</v>
      </c>
      <c r="AI1171" t="s">
        <v>26</v>
      </c>
      <c r="AJ1171">
        <v>336.666</v>
      </c>
      <c r="AK1171">
        <v>719.99800000000005</v>
      </c>
      <c r="AL1171">
        <v>90</v>
      </c>
      <c r="AM1171">
        <v>0</v>
      </c>
      <c r="AN1171">
        <v>20</v>
      </c>
      <c r="AO1171">
        <v>306.66699999999997</v>
      </c>
      <c r="AP1171">
        <v>0</v>
      </c>
      <c r="AQ1171">
        <v>10</v>
      </c>
      <c r="AR1171">
        <v>3.3330000000000002</v>
      </c>
      <c r="AS1171">
        <v>233.333</v>
      </c>
      <c r="AT1171">
        <v>1719.9970000000001</v>
      </c>
      <c r="AU1171" t="s">
        <v>34</v>
      </c>
    </row>
    <row r="1172" spans="1:47" x14ac:dyDescent="0.2">
      <c r="A1172">
        <v>1953</v>
      </c>
      <c r="B1172" t="s">
        <v>718</v>
      </c>
      <c r="C1172">
        <v>52</v>
      </c>
      <c r="D1172" t="s">
        <v>737</v>
      </c>
      <c r="G1172" t="str">
        <f t="shared" si="18"/>
        <v>AKMAP_J201152PB052</v>
      </c>
      <c r="H1172">
        <v>70.222999999999999</v>
      </c>
      <c r="I1172">
        <v>-162.58500000000001</v>
      </c>
      <c r="J1172" s="3">
        <v>20110913</v>
      </c>
      <c r="K1172">
        <v>2011</v>
      </c>
      <c r="L1172">
        <v>2.4519500000000001</v>
      </c>
      <c r="M1172">
        <v>1.47725</v>
      </c>
      <c r="N1172">
        <v>0.22040000000000001</v>
      </c>
      <c r="O1172">
        <v>0</v>
      </c>
      <c r="P1172">
        <v>3.5000000000000001E-3</v>
      </c>
      <c r="Q1172">
        <v>2.6233</v>
      </c>
      <c r="R1172">
        <v>0.57626999999999995</v>
      </c>
      <c r="S1172">
        <v>0.11726</v>
      </c>
      <c r="T1172">
        <v>2.7999999999999998E-4</v>
      </c>
      <c r="U1172">
        <v>3.9550000000000002E-2</v>
      </c>
      <c r="V1172">
        <v>7.50976</v>
      </c>
      <c r="W1172" t="s">
        <v>14</v>
      </c>
      <c r="X1172">
        <v>30.736000000000001</v>
      </c>
      <c r="Y1172">
        <v>54.87</v>
      </c>
      <c r="Z1172">
        <v>3.0049999999999999</v>
      </c>
      <c r="AA1172">
        <v>0</v>
      </c>
      <c r="AB1172">
        <v>0.25</v>
      </c>
      <c r="AC1172">
        <v>327.91300000000001</v>
      </c>
      <c r="AD1172">
        <v>9.4469999999999992</v>
      </c>
      <c r="AE1172">
        <v>8.3759999999999994</v>
      </c>
      <c r="AF1172">
        <v>3.0000000000000001E-3</v>
      </c>
      <c r="AG1172">
        <v>1.8839999999999999</v>
      </c>
      <c r="AH1172">
        <v>436.48399999999998</v>
      </c>
      <c r="AI1172" t="s">
        <v>26</v>
      </c>
      <c r="AJ1172">
        <v>343.334</v>
      </c>
      <c r="AK1172">
        <v>150</v>
      </c>
      <c r="AL1172">
        <v>1076.665</v>
      </c>
      <c r="AM1172">
        <v>0</v>
      </c>
      <c r="AN1172">
        <v>26.667000000000002</v>
      </c>
      <c r="AO1172">
        <v>70</v>
      </c>
      <c r="AP1172">
        <v>6.6669999999999998</v>
      </c>
      <c r="AQ1172">
        <v>76.667000000000002</v>
      </c>
      <c r="AR1172">
        <v>3.3330000000000002</v>
      </c>
      <c r="AS1172">
        <v>49.999000000000002</v>
      </c>
      <c r="AT1172">
        <v>1803.3320000000001</v>
      </c>
      <c r="AU1172" t="s">
        <v>35</v>
      </c>
    </row>
    <row r="1173" spans="1:47" x14ac:dyDescent="0.2">
      <c r="A1173">
        <v>1954</v>
      </c>
      <c r="B1173" t="s">
        <v>718</v>
      </c>
      <c r="C1173">
        <v>53</v>
      </c>
      <c r="D1173" t="s">
        <v>738</v>
      </c>
      <c r="G1173" t="str">
        <f t="shared" si="18"/>
        <v>AKMAP_J201153PB053</v>
      </c>
      <c r="H1173">
        <v>70.995000000000005</v>
      </c>
      <c r="I1173">
        <v>-158.75800000000001</v>
      </c>
      <c r="J1173" s="3">
        <v>20110907</v>
      </c>
      <c r="K1173">
        <v>2011</v>
      </c>
      <c r="L1173">
        <v>3.0720900000000002</v>
      </c>
      <c r="M1173">
        <v>5.4323899999999998</v>
      </c>
      <c r="N1173">
        <v>1.18459</v>
      </c>
      <c r="O1173">
        <v>0</v>
      </c>
      <c r="P1173">
        <v>4.2979999999999997E-2</v>
      </c>
      <c r="Q1173">
        <v>0</v>
      </c>
      <c r="R1173">
        <v>1.95279</v>
      </c>
      <c r="S1173">
        <v>0.34083999999999998</v>
      </c>
      <c r="T1173">
        <v>3.0699999999999998E-3</v>
      </c>
      <c r="U1173">
        <v>6.037E-2</v>
      </c>
      <c r="V1173">
        <v>12.089119999999999</v>
      </c>
      <c r="W1173" t="s">
        <v>10</v>
      </c>
      <c r="X1173">
        <v>56.637999999999998</v>
      </c>
      <c r="Y1173">
        <v>199.547</v>
      </c>
      <c r="Z1173">
        <v>15.616</v>
      </c>
      <c r="AA1173">
        <v>0</v>
      </c>
      <c r="AB1173">
        <v>3.07</v>
      </c>
      <c r="AC1173">
        <v>0</v>
      </c>
      <c r="AD1173">
        <v>32.012999999999998</v>
      </c>
      <c r="AE1173">
        <v>24.346</v>
      </c>
      <c r="AF1173">
        <v>3.3000000000000002E-2</v>
      </c>
      <c r="AG1173">
        <v>1.85</v>
      </c>
      <c r="AH1173">
        <v>333.113</v>
      </c>
      <c r="AI1173" t="s">
        <v>22</v>
      </c>
      <c r="AJ1173">
        <v>713.33500000000004</v>
      </c>
      <c r="AK1173">
        <v>1313.3320000000001</v>
      </c>
      <c r="AL1173">
        <v>1023.332</v>
      </c>
      <c r="AM1173">
        <v>0</v>
      </c>
      <c r="AN1173">
        <v>63.332999999999998</v>
      </c>
      <c r="AO1173">
        <v>0</v>
      </c>
      <c r="AP1173">
        <v>23.332999999999998</v>
      </c>
      <c r="AQ1173">
        <v>40</v>
      </c>
      <c r="AR1173">
        <v>10</v>
      </c>
      <c r="AS1173">
        <v>46.665999999999997</v>
      </c>
      <c r="AT1173">
        <v>3233.3310000000001</v>
      </c>
      <c r="AU1173" t="s">
        <v>34</v>
      </c>
    </row>
    <row r="1174" spans="1:47" x14ac:dyDescent="0.2">
      <c r="A1174">
        <v>1955</v>
      </c>
      <c r="B1174" t="s">
        <v>718</v>
      </c>
      <c r="C1174">
        <v>54</v>
      </c>
      <c r="D1174" t="s">
        <v>739</v>
      </c>
      <c r="G1174" t="str">
        <f t="shared" si="18"/>
        <v>AKMAP_J201154PB054</v>
      </c>
      <c r="H1174">
        <v>70.385000000000005</v>
      </c>
      <c r="I1174">
        <v>-162.64599999999999</v>
      </c>
      <c r="J1174" s="3">
        <v>20110913</v>
      </c>
      <c r="K1174">
        <v>2011</v>
      </c>
      <c r="L1174">
        <v>0.23845</v>
      </c>
      <c r="M1174">
        <v>0.27006000000000002</v>
      </c>
      <c r="N1174">
        <v>4.1910000000000003E-2</v>
      </c>
      <c r="O1174">
        <v>0</v>
      </c>
      <c r="P1174">
        <v>0</v>
      </c>
      <c r="Q1174">
        <v>3.3971</v>
      </c>
      <c r="R1174">
        <v>0</v>
      </c>
      <c r="S1174">
        <v>0.38800000000000001</v>
      </c>
      <c r="T1174">
        <v>9.3000000000000005E-4</v>
      </c>
      <c r="U1174">
        <v>8.5120000000000001E-2</v>
      </c>
      <c r="V1174">
        <v>4.42157</v>
      </c>
      <c r="W1174" t="s">
        <v>14</v>
      </c>
      <c r="X1174">
        <v>3.2639999999999998</v>
      </c>
      <c r="Y1174">
        <v>7.6459999999999999</v>
      </c>
      <c r="Z1174">
        <v>0.53600000000000003</v>
      </c>
      <c r="AA1174">
        <v>0</v>
      </c>
      <c r="AB1174">
        <v>0</v>
      </c>
      <c r="AC1174">
        <v>424.637</v>
      </c>
      <c r="AD1174">
        <v>0</v>
      </c>
      <c r="AE1174">
        <v>27.713999999999999</v>
      </c>
      <c r="AF1174">
        <v>0.01</v>
      </c>
      <c r="AG1174">
        <v>2.827</v>
      </c>
      <c r="AH1174">
        <v>466.63400000000001</v>
      </c>
      <c r="AI1174" t="s">
        <v>26</v>
      </c>
      <c r="AJ1174">
        <v>226.66499999999999</v>
      </c>
      <c r="AK1174">
        <v>216.66499999999999</v>
      </c>
      <c r="AL1174">
        <v>240</v>
      </c>
      <c r="AM1174">
        <v>0</v>
      </c>
      <c r="AN1174">
        <v>0</v>
      </c>
      <c r="AO1174">
        <v>170</v>
      </c>
      <c r="AP1174">
        <v>0</v>
      </c>
      <c r="AQ1174">
        <v>63.332999999999998</v>
      </c>
      <c r="AR1174">
        <v>3.3330000000000002</v>
      </c>
      <c r="AS1174">
        <v>966.66499999999996</v>
      </c>
      <c r="AT1174">
        <v>1886.6610000000001</v>
      </c>
      <c r="AU1174" t="s">
        <v>42</v>
      </c>
    </row>
    <row r="1175" spans="1:47" x14ac:dyDescent="0.2">
      <c r="A1175">
        <v>1956</v>
      </c>
      <c r="B1175" t="s">
        <v>718</v>
      </c>
      <c r="C1175">
        <v>55</v>
      </c>
      <c r="D1175" t="s">
        <v>740</v>
      </c>
      <c r="G1175" t="str">
        <f t="shared" si="18"/>
        <v>AKMAP_J201155PB055</v>
      </c>
      <c r="H1175">
        <v>70.671999999999997</v>
      </c>
      <c r="I1175">
        <v>-161.923</v>
      </c>
      <c r="J1175" s="3">
        <v>20110915</v>
      </c>
      <c r="K1175">
        <v>2011</v>
      </c>
      <c r="L1175">
        <v>1.0989199999999999</v>
      </c>
      <c r="M1175">
        <v>0.89187000000000005</v>
      </c>
      <c r="N1175">
        <v>1.6148100000000001</v>
      </c>
      <c r="O1175">
        <v>0.87453999999999998</v>
      </c>
      <c r="P1175">
        <v>4.8779999999999997E-2</v>
      </c>
      <c r="Q1175">
        <v>0</v>
      </c>
      <c r="R1175">
        <v>0.37106</v>
      </c>
      <c r="S1175">
        <v>0.70265999999999995</v>
      </c>
      <c r="T1175">
        <v>6.2309999999999997E-2</v>
      </c>
      <c r="U1175">
        <v>0.39047999999999999</v>
      </c>
      <c r="V1175">
        <v>6.0554300000000003</v>
      </c>
      <c r="W1175" t="s">
        <v>11</v>
      </c>
      <c r="X1175">
        <v>15.513999999999999</v>
      </c>
      <c r="Y1175">
        <v>22.463000000000001</v>
      </c>
      <c r="Z1175">
        <v>23.844000000000001</v>
      </c>
      <c r="AA1175">
        <v>19.434000000000001</v>
      </c>
      <c r="AB1175">
        <v>3.484</v>
      </c>
      <c r="AC1175">
        <v>0</v>
      </c>
      <c r="AD1175">
        <v>6.0830000000000002</v>
      </c>
      <c r="AE1175">
        <v>50.19</v>
      </c>
      <c r="AF1175">
        <v>0.67</v>
      </c>
      <c r="AG1175">
        <v>23.931999999999999</v>
      </c>
      <c r="AH1175">
        <v>165.614</v>
      </c>
      <c r="AI1175" t="s">
        <v>28</v>
      </c>
      <c r="AJ1175">
        <v>1386.67</v>
      </c>
      <c r="AK1175">
        <v>866.66600000000005</v>
      </c>
      <c r="AL1175">
        <v>4729.9989999999998</v>
      </c>
      <c r="AM1175">
        <v>76.667000000000002</v>
      </c>
      <c r="AN1175">
        <v>56.665999999999997</v>
      </c>
      <c r="AO1175">
        <v>0</v>
      </c>
      <c r="AP1175">
        <v>23.334</v>
      </c>
      <c r="AQ1175">
        <v>23.332999999999998</v>
      </c>
      <c r="AR1175">
        <v>76.667000000000002</v>
      </c>
      <c r="AS1175">
        <v>79.998999999999995</v>
      </c>
      <c r="AT1175">
        <v>7320.0010000000002</v>
      </c>
      <c r="AU1175" t="s">
        <v>35</v>
      </c>
    </row>
    <row r="1176" spans="1:47" x14ac:dyDescent="0.2">
      <c r="A1176">
        <v>1957</v>
      </c>
      <c r="B1176" t="s">
        <v>718</v>
      </c>
      <c r="C1176">
        <v>56</v>
      </c>
      <c r="D1176" t="s">
        <v>741</v>
      </c>
      <c r="G1176" t="str">
        <f t="shared" si="18"/>
        <v>AKMAP_J201156PB056</v>
      </c>
      <c r="H1176">
        <v>70.049000000000007</v>
      </c>
      <c r="I1176">
        <v>-163.02199999999999</v>
      </c>
      <c r="J1176" s="3">
        <v>20110912</v>
      </c>
      <c r="K1176">
        <v>2011</v>
      </c>
      <c r="L1176">
        <v>1.1043400000000001</v>
      </c>
      <c r="M1176">
        <v>0.34538999999999997</v>
      </c>
      <c r="N1176">
        <v>0.13611999999999999</v>
      </c>
      <c r="O1176">
        <v>0</v>
      </c>
      <c r="P1176">
        <v>7.4899999999999994E-2</v>
      </c>
      <c r="Q1176">
        <v>2.9349599999999998</v>
      </c>
      <c r="R1176">
        <v>0.42333999999999999</v>
      </c>
      <c r="S1176">
        <v>0.68278000000000005</v>
      </c>
      <c r="T1176">
        <v>3.1620000000000002E-2</v>
      </c>
      <c r="U1176">
        <v>0.16966999999999999</v>
      </c>
      <c r="V1176">
        <v>5.9031200000000004</v>
      </c>
      <c r="W1176" t="s">
        <v>14</v>
      </c>
      <c r="X1176">
        <v>14.853999999999999</v>
      </c>
      <c r="Y1176">
        <v>13.313000000000001</v>
      </c>
      <c r="Z1176">
        <v>1.6819999999999999</v>
      </c>
      <c r="AA1176">
        <v>0</v>
      </c>
      <c r="AB1176">
        <v>5.35</v>
      </c>
      <c r="AC1176">
        <v>366.87</v>
      </c>
      <c r="AD1176">
        <v>6.94</v>
      </c>
      <c r="AE1176">
        <v>48.77</v>
      </c>
      <c r="AF1176">
        <v>0.34</v>
      </c>
      <c r="AG1176">
        <v>5.9930000000000003</v>
      </c>
      <c r="AH1176">
        <v>464.11200000000002</v>
      </c>
      <c r="AI1176" t="s">
        <v>26</v>
      </c>
      <c r="AJ1176">
        <v>496.66699999999997</v>
      </c>
      <c r="AK1176">
        <v>279.99900000000002</v>
      </c>
      <c r="AL1176">
        <v>383.33199999999999</v>
      </c>
      <c r="AM1176">
        <v>0</v>
      </c>
      <c r="AN1176">
        <v>46.667000000000002</v>
      </c>
      <c r="AO1176">
        <v>656.66600000000005</v>
      </c>
      <c r="AP1176">
        <v>10</v>
      </c>
      <c r="AQ1176">
        <v>316.66699999999997</v>
      </c>
      <c r="AR1176">
        <v>6.6669999999999998</v>
      </c>
      <c r="AS1176">
        <v>73.331999999999994</v>
      </c>
      <c r="AT1176">
        <v>2269.9969999999998</v>
      </c>
      <c r="AU1176" t="s">
        <v>38</v>
      </c>
    </row>
    <row r="1177" spans="1:47" x14ac:dyDescent="0.2">
      <c r="A1177">
        <v>1958</v>
      </c>
      <c r="B1177" t="s">
        <v>718</v>
      </c>
      <c r="C1177">
        <v>57</v>
      </c>
      <c r="D1177" t="s">
        <v>742</v>
      </c>
      <c r="G1177" t="str">
        <f t="shared" si="18"/>
        <v>AKMAP_J201157PB057</v>
      </c>
      <c r="H1177">
        <v>70.885000000000005</v>
      </c>
      <c r="I1177">
        <v>-161.98699999999999</v>
      </c>
      <c r="J1177" s="3">
        <v>20110910</v>
      </c>
      <c r="K1177">
        <v>2011</v>
      </c>
      <c r="L1177">
        <v>5.4804199999999996</v>
      </c>
      <c r="M1177">
        <v>3.7844600000000002</v>
      </c>
      <c r="N1177">
        <v>0.69006999999999996</v>
      </c>
      <c r="O1177">
        <v>0.11822000000000001</v>
      </c>
      <c r="P1177">
        <v>5.296E-2</v>
      </c>
      <c r="Q1177">
        <v>0</v>
      </c>
      <c r="R1177">
        <v>3.0499999999999999E-2</v>
      </c>
      <c r="S1177">
        <v>2.4000000000000001E-4</v>
      </c>
      <c r="T1177">
        <v>1.702E-2</v>
      </c>
      <c r="U1177">
        <v>0.19549</v>
      </c>
      <c r="V1177">
        <v>10.36938</v>
      </c>
      <c r="W1177" t="s">
        <v>9</v>
      </c>
      <c r="X1177">
        <v>79.376000000000005</v>
      </c>
      <c r="Y1177">
        <v>231.447</v>
      </c>
      <c r="Z1177">
        <v>9.6539999999999999</v>
      </c>
      <c r="AA1177">
        <v>2.6269999999999998</v>
      </c>
      <c r="AB1177">
        <v>3.7829999999999999</v>
      </c>
      <c r="AC1177">
        <v>0</v>
      </c>
      <c r="AD1177">
        <v>0.5</v>
      </c>
      <c r="AE1177">
        <v>1.7000000000000001E-2</v>
      </c>
      <c r="AF1177">
        <v>0.183</v>
      </c>
      <c r="AG1177">
        <v>9.2520000000000007</v>
      </c>
      <c r="AH1177">
        <v>336.839</v>
      </c>
      <c r="AI1177" t="s">
        <v>22</v>
      </c>
      <c r="AJ1177">
        <v>1676.662</v>
      </c>
      <c r="AK1177">
        <v>1066.664</v>
      </c>
      <c r="AL1177">
        <v>2236.665</v>
      </c>
      <c r="AM1177">
        <v>186.667</v>
      </c>
      <c r="AN1177">
        <v>23.334</v>
      </c>
      <c r="AO1177">
        <v>0</v>
      </c>
      <c r="AP1177">
        <v>16.667000000000002</v>
      </c>
      <c r="AQ1177">
        <v>10</v>
      </c>
      <c r="AR1177">
        <v>40</v>
      </c>
      <c r="AS1177">
        <v>79.998999999999995</v>
      </c>
      <c r="AT1177">
        <v>5336.6580000000004</v>
      </c>
      <c r="AU1177" t="s">
        <v>35</v>
      </c>
    </row>
    <row r="1178" spans="1:47" x14ac:dyDescent="0.2">
      <c r="A1178">
        <v>1959</v>
      </c>
      <c r="B1178" t="s">
        <v>718</v>
      </c>
      <c r="C1178">
        <v>58</v>
      </c>
      <c r="D1178" t="s">
        <v>743</v>
      </c>
      <c r="G1178" t="str">
        <f t="shared" si="18"/>
        <v>AKMAP_J201158PB058</v>
      </c>
      <c r="H1178">
        <v>70.447000000000003</v>
      </c>
      <c r="I1178">
        <v>-161.72399999999999</v>
      </c>
      <c r="J1178" s="3">
        <v>20110911</v>
      </c>
      <c r="K1178">
        <v>2011</v>
      </c>
      <c r="L1178">
        <v>0.68579999999999997</v>
      </c>
      <c r="M1178">
        <v>0.68766000000000005</v>
      </c>
      <c r="N1178">
        <v>3.6490000000000002E-2</v>
      </c>
      <c r="O1178">
        <v>0</v>
      </c>
      <c r="P1178">
        <v>5.8399999999999997E-3</v>
      </c>
      <c r="Q1178">
        <v>6.83758</v>
      </c>
      <c r="R1178">
        <v>0</v>
      </c>
      <c r="S1178">
        <v>0.25419999999999998</v>
      </c>
      <c r="T1178">
        <v>1.8319999999999999E-2</v>
      </c>
      <c r="U1178">
        <v>9.8570000000000005E-2</v>
      </c>
      <c r="V1178">
        <v>8.6244599999999991</v>
      </c>
      <c r="W1178" t="s">
        <v>14</v>
      </c>
      <c r="X1178">
        <v>8.8680000000000003</v>
      </c>
      <c r="Y1178">
        <v>44.072000000000003</v>
      </c>
      <c r="Z1178">
        <v>0.49299999999999999</v>
      </c>
      <c r="AA1178">
        <v>0</v>
      </c>
      <c r="AB1178">
        <v>0.41699999999999998</v>
      </c>
      <c r="AC1178">
        <v>854.697</v>
      </c>
      <c r="AD1178">
        <v>0</v>
      </c>
      <c r="AE1178">
        <v>18.157</v>
      </c>
      <c r="AF1178">
        <v>0.19700000000000001</v>
      </c>
      <c r="AG1178">
        <v>4.4189999999999996</v>
      </c>
      <c r="AH1178">
        <v>931.32</v>
      </c>
      <c r="AI1178" t="s">
        <v>26</v>
      </c>
      <c r="AJ1178">
        <v>170</v>
      </c>
      <c r="AK1178">
        <v>153.33199999999999</v>
      </c>
      <c r="AL1178">
        <v>93.331999999999994</v>
      </c>
      <c r="AM1178">
        <v>0</v>
      </c>
      <c r="AN1178">
        <v>16.667000000000002</v>
      </c>
      <c r="AO1178">
        <v>96.667000000000002</v>
      </c>
      <c r="AP1178">
        <v>0</v>
      </c>
      <c r="AQ1178">
        <v>223.333</v>
      </c>
      <c r="AR1178">
        <v>16.667000000000002</v>
      </c>
      <c r="AS1178">
        <v>76.664000000000001</v>
      </c>
      <c r="AT1178">
        <v>846.66200000000003</v>
      </c>
      <c r="AU1178" t="s">
        <v>40</v>
      </c>
    </row>
    <row r="1179" spans="1:47" x14ac:dyDescent="0.2">
      <c r="A1179">
        <v>1960</v>
      </c>
      <c r="B1179" t="s">
        <v>718</v>
      </c>
      <c r="C1179">
        <v>60</v>
      </c>
      <c r="D1179" t="s">
        <v>744</v>
      </c>
      <c r="G1179" t="str">
        <f t="shared" si="18"/>
        <v>AKMAP_J201160PB060</v>
      </c>
      <c r="H1179">
        <v>70.480999999999995</v>
      </c>
      <c r="I1179">
        <v>-160.90799999999999</v>
      </c>
      <c r="J1179" s="3">
        <v>20110911</v>
      </c>
      <c r="K1179">
        <v>2011</v>
      </c>
      <c r="L1179">
        <v>2.2770899999999998</v>
      </c>
      <c r="M1179">
        <v>2.8271000000000002</v>
      </c>
      <c r="N1179">
        <v>3.20126</v>
      </c>
      <c r="O1179">
        <v>4.4999999999999999E-4</v>
      </c>
      <c r="P1179">
        <v>4.4799999999999996E-3</v>
      </c>
      <c r="Q1179">
        <v>0</v>
      </c>
      <c r="R1179">
        <v>0</v>
      </c>
      <c r="S1179">
        <v>8.4379999999999997E-2</v>
      </c>
      <c r="T1179">
        <v>8.3700000000000007E-3</v>
      </c>
      <c r="U1179">
        <v>1.6740000000000001E-2</v>
      </c>
      <c r="V1179">
        <v>8.4198699999999995</v>
      </c>
      <c r="W1179" t="s">
        <v>11</v>
      </c>
      <c r="X1179">
        <v>32.841000000000001</v>
      </c>
      <c r="Y1179">
        <v>104.557</v>
      </c>
      <c r="Z1179">
        <v>46.771000000000001</v>
      </c>
      <c r="AA1179">
        <v>0.01</v>
      </c>
      <c r="AB1179">
        <v>0.32</v>
      </c>
      <c r="AC1179">
        <v>0</v>
      </c>
      <c r="AD1179">
        <v>0</v>
      </c>
      <c r="AE1179">
        <v>6.0270000000000001</v>
      </c>
      <c r="AF1179">
        <v>0.09</v>
      </c>
      <c r="AG1179">
        <v>0.51900000000000002</v>
      </c>
      <c r="AH1179">
        <v>191.13499999999999</v>
      </c>
      <c r="AI1179" t="s">
        <v>22</v>
      </c>
      <c r="AJ1179">
        <v>2169.9989999999998</v>
      </c>
      <c r="AK1179">
        <v>543.33500000000004</v>
      </c>
      <c r="AL1179">
        <v>1053.3320000000001</v>
      </c>
      <c r="AM1179">
        <v>3.3330000000000002</v>
      </c>
      <c r="AN1179">
        <v>56.665999999999997</v>
      </c>
      <c r="AO1179">
        <v>0</v>
      </c>
      <c r="AP1179">
        <v>0</v>
      </c>
      <c r="AQ1179">
        <v>20</v>
      </c>
      <c r="AR1179">
        <v>40</v>
      </c>
      <c r="AS1179">
        <v>33.332000000000001</v>
      </c>
      <c r="AT1179">
        <v>3919.9969999999998</v>
      </c>
      <c r="AU1179" t="s">
        <v>33</v>
      </c>
    </row>
    <row r="1180" spans="1:47" x14ac:dyDescent="0.2">
      <c r="A1180">
        <v>1961</v>
      </c>
      <c r="B1180" t="s">
        <v>718</v>
      </c>
      <c r="C1180">
        <v>62</v>
      </c>
      <c r="D1180" t="s">
        <v>745</v>
      </c>
      <c r="G1180" t="str">
        <f t="shared" si="18"/>
        <v>AKMAP_J201162BC062</v>
      </c>
      <c r="H1180">
        <v>71.441999999999993</v>
      </c>
      <c r="I1180">
        <v>-158.22499999999999</v>
      </c>
      <c r="J1180" s="3">
        <v>20110916</v>
      </c>
      <c r="K1180">
        <v>2011</v>
      </c>
      <c r="L1180">
        <v>43.70843</v>
      </c>
      <c r="M1180">
        <v>1.11134</v>
      </c>
      <c r="N1180">
        <v>2.4967800000000002</v>
      </c>
      <c r="O1180">
        <v>4.8352500000000003</v>
      </c>
      <c r="P1180">
        <v>0.31697999999999998</v>
      </c>
      <c r="Q1180">
        <v>0</v>
      </c>
      <c r="R1180">
        <v>0.76573000000000002</v>
      </c>
      <c r="S1180">
        <v>4.8599999999999997E-3</v>
      </c>
      <c r="T1180">
        <v>0.11187999999999999</v>
      </c>
      <c r="U1180">
        <v>0.14923</v>
      </c>
      <c r="V1180">
        <v>53.500480000000003</v>
      </c>
      <c r="W1180" t="s">
        <v>9</v>
      </c>
      <c r="X1180">
        <v>627.86800000000005</v>
      </c>
      <c r="Y1180">
        <v>40.344999999999999</v>
      </c>
      <c r="Z1180">
        <v>30.718</v>
      </c>
      <c r="AA1180">
        <v>107.45</v>
      </c>
      <c r="AB1180">
        <v>22.640999999999998</v>
      </c>
      <c r="AC1180">
        <v>0</v>
      </c>
      <c r="AD1180">
        <v>12.553000000000001</v>
      </c>
      <c r="AE1180">
        <v>0.34699999999999998</v>
      </c>
      <c r="AF1180">
        <v>1.2030000000000001</v>
      </c>
      <c r="AG1180">
        <v>6.7329999999999997</v>
      </c>
      <c r="AH1180">
        <v>849.85799999999995</v>
      </c>
      <c r="AI1180" t="s">
        <v>21</v>
      </c>
      <c r="AJ1180">
        <v>11993.333000000001</v>
      </c>
      <c r="AK1180">
        <v>413.33199999999999</v>
      </c>
      <c r="AL1180">
        <v>3499.998</v>
      </c>
      <c r="AM1180">
        <v>20</v>
      </c>
      <c r="AN1180">
        <v>96.665999999999997</v>
      </c>
      <c r="AO1180">
        <v>0</v>
      </c>
      <c r="AP1180">
        <v>3.3330000000000002</v>
      </c>
      <c r="AQ1180">
        <v>10</v>
      </c>
      <c r="AR1180">
        <v>40</v>
      </c>
      <c r="AS1180">
        <v>139.999</v>
      </c>
      <c r="AT1180">
        <v>16216.661</v>
      </c>
      <c r="AU1180" t="s">
        <v>33</v>
      </c>
    </row>
    <row r="1181" spans="1:47" x14ac:dyDescent="0.2">
      <c r="A1181">
        <v>1962</v>
      </c>
      <c r="B1181" t="s">
        <v>718</v>
      </c>
      <c r="C1181">
        <v>64</v>
      </c>
      <c r="D1181" t="s">
        <v>746</v>
      </c>
      <c r="G1181" t="str">
        <f t="shared" si="18"/>
        <v>AKMAP_J201164BC064</v>
      </c>
      <c r="H1181">
        <v>71.238</v>
      </c>
      <c r="I1181">
        <v>-158.86000000000001</v>
      </c>
      <c r="J1181" s="3">
        <v>20110916</v>
      </c>
      <c r="K1181">
        <v>2011</v>
      </c>
      <c r="L1181">
        <v>3.2605900000000001</v>
      </c>
      <c r="M1181">
        <v>20.465299999999999</v>
      </c>
      <c r="N1181">
        <v>0.28066000000000002</v>
      </c>
      <c r="O1181">
        <v>23.412600000000001</v>
      </c>
      <c r="P1181">
        <v>0.46627999999999997</v>
      </c>
      <c r="Q1181">
        <v>0</v>
      </c>
      <c r="R1181">
        <v>0</v>
      </c>
      <c r="S1181">
        <v>4.0200000000000001E-3</v>
      </c>
      <c r="T1181">
        <v>0.56637000000000004</v>
      </c>
      <c r="U1181">
        <v>0.10699</v>
      </c>
      <c r="V1181">
        <v>48.562809999999999</v>
      </c>
      <c r="W1181" t="s">
        <v>12</v>
      </c>
      <c r="X1181">
        <v>46.124000000000002</v>
      </c>
      <c r="Y1181">
        <v>716.92600000000004</v>
      </c>
      <c r="Z1181">
        <v>3.722</v>
      </c>
      <c r="AA1181">
        <v>520.28</v>
      </c>
      <c r="AB1181">
        <v>33.305999999999997</v>
      </c>
      <c r="AC1181">
        <v>0</v>
      </c>
      <c r="AD1181">
        <v>0</v>
      </c>
      <c r="AE1181">
        <v>0.28699999999999998</v>
      </c>
      <c r="AF1181">
        <v>6.09</v>
      </c>
      <c r="AG1181">
        <v>4.2430000000000003</v>
      </c>
      <c r="AH1181">
        <v>1330.9780000000001</v>
      </c>
      <c r="AI1181" t="s">
        <v>22</v>
      </c>
      <c r="AJ1181">
        <v>2906.6680000000001</v>
      </c>
      <c r="AK1181">
        <v>3000.0010000000002</v>
      </c>
      <c r="AL1181">
        <v>1543.3340000000001</v>
      </c>
      <c r="AM1181">
        <v>746.66700000000003</v>
      </c>
      <c r="AN1181">
        <v>50.000999999999998</v>
      </c>
      <c r="AO1181">
        <v>0</v>
      </c>
      <c r="AP1181">
        <v>0</v>
      </c>
      <c r="AQ1181">
        <v>6.6669999999999998</v>
      </c>
      <c r="AR1181">
        <v>40</v>
      </c>
      <c r="AS1181">
        <v>96.665000000000006</v>
      </c>
      <c r="AT1181">
        <v>8390.0030000000006</v>
      </c>
      <c r="AU1181" t="s">
        <v>34</v>
      </c>
    </row>
    <row r="1182" spans="1:47" x14ac:dyDescent="0.2">
      <c r="A1182">
        <v>1963</v>
      </c>
      <c r="B1182" t="s">
        <v>718</v>
      </c>
      <c r="C1182">
        <v>69</v>
      </c>
      <c r="D1182" t="s">
        <v>747</v>
      </c>
      <c r="G1182" t="str">
        <f t="shared" si="18"/>
        <v>AKMAP_J201169BC069</v>
      </c>
      <c r="H1182">
        <v>71.367000000000004</v>
      </c>
      <c r="I1182">
        <v>-158.41800000000001</v>
      </c>
      <c r="J1182" s="3">
        <v>20110916</v>
      </c>
      <c r="K1182">
        <v>2011</v>
      </c>
      <c r="L1182">
        <v>9.09802</v>
      </c>
      <c r="M1182">
        <v>0.7913</v>
      </c>
      <c r="N1182">
        <v>0.14385999999999999</v>
      </c>
      <c r="O1182">
        <v>0</v>
      </c>
      <c r="P1182">
        <v>7.3459999999999998E-2</v>
      </c>
      <c r="Q1182">
        <v>0</v>
      </c>
      <c r="R1182">
        <v>0</v>
      </c>
      <c r="S1182">
        <v>0</v>
      </c>
      <c r="T1182">
        <v>0.92562999999999995</v>
      </c>
      <c r="U1182">
        <v>1.4670000000000001E-2</v>
      </c>
      <c r="V1182">
        <v>11.046939999999999</v>
      </c>
      <c r="W1182" t="s">
        <v>9</v>
      </c>
      <c r="X1182">
        <v>130.09800000000001</v>
      </c>
      <c r="Y1182">
        <v>21.87</v>
      </c>
      <c r="Z1182">
        <v>1.758</v>
      </c>
      <c r="AA1182">
        <v>0</v>
      </c>
      <c r="AB1182">
        <v>5.2469999999999999</v>
      </c>
      <c r="AC1182">
        <v>0</v>
      </c>
      <c r="AD1182">
        <v>0</v>
      </c>
      <c r="AE1182">
        <v>0</v>
      </c>
      <c r="AF1182">
        <v>9.9529999999999994</v>
      </c>
      <c r="AG1182">
        <v>0.26</v>
      </c>
      <c r="AH1182">
        <v>169.18600000000001</v>
      </c>
      <c r="AI1182" t="s">
        <v>21</v>
      </c>
      <c r="AJ1182">
        <v>2753.3330000000001</v>
      </c>
      <c r="AK1182">
        <v>56.667000000000002</v>
      </c>
      <c r="AL1182">
        <v>430</v>
      </c>
      <c r="AM1182">
        <v>0</v>
      </c>
      <c r="AN1182">
        <v>6.6669999999999998</v>
      </c>
      <c r="AO1182">
        <v>0</v>
      </c>
      <c r="AP1182">
        <v>0</v>
      </c>
      <c r="AQ1182">
        <v>0</v>
      </c>
      <c r="AR1182">
        <v>66.667000000000002</v>
      </c>
      <c r="AS1182">
        <v>93.334000000000003</v>
      </c>
      <c r="AT1182">
        <v>3406.6680000000001</v>
      </c>
      <c r="AU1182" t="s">
        <v>33</v>
      </c>
    </row>
    <row r="1183" spans="1:47" x14ac:dyDescent="0.2">
      <c r="A1183">
        <v>1964</v>
      </c>
      <c r="B1183" t="s">
        <v>718</v>
      </c>
      <c r="C1183" t="s">
        <v>748</v>
      </c>
      <c r="D1183" t="s">
        <v>749</v>
      </c>
      <c r="G1183" t="str">
        <f t="shared" si="18"/>
        <v>AKMAP_J201132D032DUP</v>
      </c>
      <c r="H1183">
        <v>70.67</v>
      </c>
      <c r="I1183">
        <v>-160.392</v>
      </c>
      <c r="J1183" s="3">
        <v>20110909</v>
      </c>
      <c r="K1183">
        <v>2011</v>
      </c>
      <c r="L1183">
        <v>0.13819000000000001</v>
      </c>
      <c r="M1183">
        <v>6.0000000000000001E-3</v>
      </c>
      <c r="N1183">
        <v>0.20788000000000001</v>
      </c>
      <c r="O1183">
        <v>0</v>
      </c>
      <c r="P1183">
        <v>7.8920000000000004E-2</v>
      </c>
      <c r="Q1183">
        <v>0.34416000000000002</v>
      </c>
      <c r="R1183">
        <v>0.59126999999999996</v>
      </c>
      <c r="S1183">
        <v>0</v>
      </c>
      <c r="T1183">
        <v>0</v>
      </c>
      <c r="U1183">
        <v>6.3000000000000003E-4</v>
      </c>
      <c r="V1183">
        <v>1.3670500000000001</v>
      </c>
      <c r="W1183" t="s">
        <v>15</v>
      </c>
      <c r="X1183">
        <v>2.06</v>
      </c>
      <c r="Y1183">
        <v>0.30199999999999999</v>
      </c>
      <c r="Z1183">
        <v>2.6619999999999999</v>
      </c>
      <c r="AA1183">
        <v>0</v>
      </c>
      <c r="AB1183">
        <v>5.6369999999999996</v>
      </c>
      <c r="AC1183">
        <v>43.02</v>
      </c>
      <c r="AD1183">
        <v>9.6929999999999996</v>
      </c>
      <c r="AE1183">
        <v>0</v>
      </c>
      <c r="AF1183">
        <v>0</v>
      </c>
      <c r="AG1183">
        <v>6.3E-2</v>
      </c>
      <c r="AH1183">
        <v>63.436999999999998</v>
      </c>
      <c r="AI1183" t="s">
        <v>26</v>
      </c>
      <c r="AJ1183">
        <v>9.9990000000000006</v>
      </c>
      <c r="AK1183">
        <v>43.332999999999998</v>
      </c>
      <c r="AL1183">
        <v>336.666</v>
      </c>
      <c r="AM1183">
        <v>0</v>
      </c>
      <c r="AN1183">
        <v>46.667000000000002</v>
      </c>
      <c r="AO1183">
        <v>6.6669999999999998</v>
      </c>
      <c r="AP1183">
        <v>3.3330000000000002</v>
      </c>
      <c r="AQ1183">
        <v>0</v>
      </c>
      <c r="AR1183">
        <v>0</v>
      </c>
      <c r="AS1183">
        <v>3.3330000000000002</v>
      </c>
      <c r="AT1183">
        <v>449.99799999999999</v>
      </c>
      <c r="AU1183" t="s">
        <v>35</v>
      </c>
    </row>
    <row r="1184" spans="1:47" x14ac:dyDescent="0.2">
      <c r="A1184">
        <v>1965</v>
      </c>
      <c r="B1184" t="s">
        <v>718</v>
      </c>
      <c r="C1184" t="s">
        <v>750</v>
      </c>
      <c r="D1184" t="s">
        <v>751</v>
      </c>
      <c r="G1184" t="str">
        <f t="shared" si="18"/>
        <v>AKMAP_J201136D036DUP</v>
      </c>
      <c r="H1184">
        <v>70.694999999999993</v>
      </c>
      <c r="I1184">
        <v>-161.98400000000001</v>
      </c>
      <c r="J1184" s="3">
        <v>20110915</v>
      </c>
      <c r="K1184">
        <v>2011</v>
      </c>
      <c r="L1184">
        <v>2.28423</v>
      </c>
      <c r="M1184">
        <v>1.21976</v>
      </c>
      <c r="N1184">
        <v>2.6379000000000001</v>
      </c>
      <c r="O1184">
        <v>1.949E-2</v>
      </c>
      <c r="P1184">
        <v>6.6600000000000001E-3</v>
      </c>
      <c r="Q1184">
        <v>0</v>
      </c>
      <c r="R1184">
        <v>8.8999999999999999E-3</v>
      </c>
      <c r="S1184">
        <v>3.9820000000000001E-2</v>
      </c>
      <c r="T1184">
        <v>9.9790000000000004E-2</v>
      </c>
      <c r="U1184">
        <v>0.41619</v>
      </c>
      <c r="V1184">
        <v>6.7327399999999997</v>
      </c>
      <c r="W1184" t="s">
        <v>11</v>
      </c>
      <c r="X1184">
        <v>33.877000000000002</v>
      </c>
      <c r="Y1184">
        <v>35.905000000000001</v>
      </c>
      <c r="Z1184">
        <v>38.607999999999997</v>
      </c>
      <c r="AA1184">
        <v>0.433</v>
      </c>
      <c r="AB1184">
        <v>0.47599999999999998</v>
      </c>
      <c r="AC1184">
        <v>0</v>
      </c>
      <c r="AD1184">
        <v>0.14599999999999999</v>
      </c>
      <c r="AE1184">
        <v>2.8439999999999999</v>
      </c>
      <c r="AF1184">
        <v>1.073</v>
      </c>
      <c r="AG1184">
        <v>7.5670000000000002</v>
      </c>
      <c r="AH1184">
        <v>120.929</v>
      </c>
      <c r="AI1184" t="s">
        <v>23</v>
      </c>
      <c r="AJ1184">
        <v>1096.664</v>
      </c>
      <c r="AK1184">
        <v>1006.6660000000001</v>
      </c>
      <c r="AL1184">
        <v>6869.9989999999998</v>
      </c>
      <c r="AM1184">
        <v>36.667000000000002</v>
      </c>
      <c r="AN1184">
        <v>43.334000000000003</v>
      </c>
      <c r="AO1184">
        <v>0</v>
      </c>
      <c r="AP1184">
        <v>23.332999999999998</v>
      </c>
      <c r="AQ1184">
        <v>23.332999999999998</v>
      </c>
      <c r="AR1184">
        <v>56.667000000000002</v>
      </c>
      <c r="AS1184">
        <v>33.332000000000001</v>
      </c>
      <c r="AT1184">
        <v>9189.9950000000008</v>
      </c>
      <c r="AU1184" t="s">
        <v>35</v>
      </c>
    </row>
    <row r="1185" spans="1:47" x14ac:dyDescent="0.2">
      <c r="A1185">
        <v>1966</v>
      </c>
      <c r="B1185" t="s">
        <v>718</v>
      </c>
      <c r="C1185" t="s">
        <v>752</v>
      </c>
      <c r="D1185" t="s">
        <v>753</v>
      </c>
      <c r="G1185" t="str">
        <f t="shared" si="18"/>
        <v>AKMAP_J201145D045DUP</v>
      </c>
      <c r="H1185">
        <v>70.102999999999994</v>
      </c>
      <c r="I1185">
        <v>-163.392</v>
      </c>
      <c r="J1185" s="3">
        <v>20110912</v>
      </c>
      <c r="K1185">
        <v>2011</v>
      </c>
      <c r="L1185">
        <v>0.39515</v>
      </c>
      <c r="M1185">
        <v>0.14829999999999999</v>
      </c>
      <c r="N1185">
        <v>5.4859999999999999E-2</v>
      </c>
      <c r="O1185">
        <v>0</v>
      </c>
      <c r="P1185">
        <v>6.6E-4</v>
      </c>
      <c r="Q1185">
        <v>6.7692399999999999</v>
      </c>
      <c r="R1185">
        <v>1.32E-3</v>
      </c>
      <c r="S1185">
        <v>0.88924999999999998</v>
      </c>
      <c r="T1185">
        <v>2.7999999999999998E-4</v>
      </c>
      <c r="U1185">
        <v>0.69069999999999998</v>
      </c>
      <c r="V1185">
        <v>8.9497599999999995</v>
      </c>
      <c r="W1185" t="s">
        <v>14</v>
      </c>
      <c r="X1185">
        <v>5.758</v>
      </c>
      <c r="Y1185">
        <v>4.82</v>
      </c>
      <c r="Z1185">
        <v>0.73699999999999999</v>
      </c>
      <c r="AA1185">
        <v>0</v>
      </c>
      <c r="AB1185">
        <v>4.7E-2</v>
      </c>
      <c r="AC1185">
        <v>846.15499999999997</v>
      </c>
      <c r="AD1185">
        <v>3.3000000000000002E-2</v>
      </c>
      <c r="AE1185">
        <v>63.338999999999999</v>
      </c>
      <c r="AF1185">
        <v>3.0000000000000001E-3</v>
      </c>
      <c r="AG1185">
        <v>32.911000000000001</v>
      </c>
      <c r="AH1185">
        <v>953.803</v>
      </c>
      <c r="AI1185" t="s">
        <v>26</v>
      </c>
      <c r="AJ1185">
        <v>770</v>
      </c>
      <c r="AK1185">
        <v>319.99900000000002</v>
      </c>
      <c r="AL1185">
        <v>296.66500000000002</v>
      </c>
      <c r="AM1185">
        <v>0</v>
      </c>
      <c r="AN1185">
        <v>20</v>
      </c>
      <c r="AO1185">
        <v>276.666</v>
      </c>
      <c r="AP1185">
        <v>3.3330000000000002</v>
      </c>
      <c r="AQ1185">
        <v>473.33300000000003</v>
      </c>
      <c r="AR1185">
        <v>3.3330000000000002</v>
      </c>
      <c r="AS1185">
        <v>213.33199999999999</v>
      </c>
      <c r="AT1185">
        <v>2376.6610000000001</v>
      </c>
      <c r="AU1185" t="s">
        <v>33</v>
      </c>
    </row>
    <row r="1186" spans="1:47" x14ac:dyDescent="0.2">
      <c r="A1186">
        <v>520</v>
      </c>
      <c r="B1186" t="s">
        <v>356</v>
      </c>
      <c r="C1186">
        <v>10</v>
      </c>
      <c r="D1186" t="s">
        <v>357</v>
      </c>
      <c r="G1186" t="str">
        <f t="shared" si="18"/>
        <v>HLY120110H10</v>
      </c>
      <c r="H1186">
        <v>72.298000000000002</v>
      </c>
      <c r="I1186">
        <v>-164.25299999999999</v>
      </c>
      <c r="J1186" s="3">
        <v>20120814</v>
      </c>
      <c r="K1186">
        <v>2012</v>
      </c>
      <c r="L1186">
        <v>2.8605100000000001</v>
      </c>
      <c r="M1186">
        <v>6.1418799999999996</v>
      </c>
      <c r="N1186">
        <v>0.43474000000000002</v>
      </c>
      <c r="O1186">
        <v>0.22181000000000001</v>
      </c>
      <c r="P1186">
        <v>8.0999999999999996E-4</v>
      </c>
      <c r="Q1186">
        <v>0</v>
      </c>
      <c r="R1186">
        <v>3.6999999999999999E-4</v>
      </c>
      <c r="S1186">
        <v>0</v>
      </c>
      <c r="T1186">
        <v>2.2509999999999999E-2</v>
      </c>
      <c r="U1186">
        <v>4.7499999999999999E-3</v>
      </c>
      <c r="V1186">
        <v>9.6873799999999992</v>
      </c>
      <c r="W1186" t="s">
        <v>10</v>
      </c>
      <c r="X1186">
        <v>41.378</v>
      </c>
      <c r="Y1186">
        <v>167.22</v>
      </c>
      <c r="Z1186">
        <v>6.19</v>
      </c>
      <c r="AA1186">
        <v>4.9290000000000003</v>
      </c>
      <c r="AB1186">
        <v>5.8000000000000003E-2</v>
      </c>
      <c r="AC1186">
        <v>0</v>
      </c>
      <c r="AD1186">
        <v>6.0000000000000001E-3</v>
      </c>
      <c r="AE1186">
        <v>0</v>
      </c>
      <c r="AF1186">
        <v>0.24199999999999999</v>
      </c>
      <c r="AG1186">
        <v>0.13600000000000001</v>
      </c>
      <c r="AH1186">
        <v>220.15899999999999</v>
      </c>
      <c r="AI1186" t="s">
        <v>22</v>
      </c>
      <c r="AJ1186">
        <v>280</v>
      </c>
      <c r="AK1186">
        <v>597.5</v>
      </c>
      <c r="AL1186">
        <v>265</v>
      </c>
      <c r="AM1186">
        <v>5</v>
      </c>
      <c r="AN1186">
        <v>0</v>
      </c>
      <c r="AO1186">
        <v>0</v>
      </c>
      <c r="AP1186">
        <v>0</v>
      </c>
      <c r="AQ1186">
        <v>0</v>
      </c>
      <c r="AR1186">
        <v>15</v>
      </c>
      <c r="AS1186">
        <v>30</v>
      </c>
      <c r="AT1186">
        <v>1192.5</v>
      </c>
      <c r="AU1186" t="s">
        <v>34</v>
      </c>
    </row>
    <row r="1187" spans="1:47" x14ac:dyDescent="0.2">
      <c r="A1187">
        <v>521</v>
      </c>
      <c r="B1187" t="s">
        <v>356</v>
      </c>
      <c r="C1187">
        <v>11</v>
      </c>
      <c r="D1187" t="s">
        <v>358</v>
      </c>
      <c r="G1187" t="str">
        <f t="shared" si="18"/>
        <v>HLY120111H30</v>
      </c>
      <c r="H1187">
        <v>72.741</v>
      </c>
      <c r="I1187">
        <v>-163.673</v>
      </c>
      <c r="J1187" s="3">
        <v>20120814</v>
      </c>
      <c r="K1187">
        <v>2012</v>
      </c>
      <c r="L1187">
        <v>2.6188500000000001</v>
      </c>
      <c r="M1187">
        <v>3.06297</v>
      </c>
      <c r="N1187">
        <v>8.77E-2</v>
      </c>
      <c r="O1187">
        <v>1.15141</v>
      </c>
      <c r="P1187">
        <v>0.28195999999999999</v>
      </c>
      <c r="Q1187">
        <v>0</v>
      </c>
      <c r="R1187">
        <v>4.6299999999999996E-3</v>
      </c>
      <c r="S1187">
        <v>4.267E-2</v>
      </c>
      <c r="T1187">
        <v>2.3060000000000001E-2</v>
      </c>
      <c r="U1187">
        <v>9.8220000000000002E-2</v>
      </c>
      <c r="V1187">
        <v>7.3714700000000004</v>
      </c>
      <c r="W1187" t="s">
        <v>10</v>
      </c>
      <c r="X1187">
        <v>36.472999999999999</v>
      </c>
      <c r="Y1187">
        <v>83.81</v>
      </c>
      <c r="Z1187">
        <v>1.1850000000000001</v>
      </c>
      <c r="AA1187">
        <v>25.587</v>
      </c>
      <c r="AB1187">
        <v>20.14</v>
      </c>
      <c r="AC1187">
        <v>0</v>
      </c>
      <c r="AD1187">
        <v>7.5999999999999998E-2</v>
      </c>
      <c r="AE1187">
        <v>3.048</v>
      </c>
      <c r="AF1187">
        <v>0.248</v>
      </c>
      <c r="AG1187">
        <v>4.798</v>
      </c>
      <c r="AH1187">
        <v>175.36500000000001</v>
      </c>
      <c r="AI1187" t="s">
        <v>22</v>
      </c>
      <c r="AJ1187">
        <v>267.5</v>
      </c>
      <c r="AK1187">
        <v>870</v>
      </c>
      <c r="AL1187">
        <v>690</v>
      </c>
      <c r="AM1187">
        <v>2.5</v>
      </c>
      <c r="AN1187">
        <v>72.5</v>
      </c>
      <c r="AO1187">
        <v>0</v>
      </c>
      <c r="AP1187">
        <v>2.5</v>
      </c>
      <c r="AQ1187">
        <v>2.5</v>
      </c>
      <c r="AR1187">
        <v>7.5</v>
      </c>
      <c r="AS1187">
        <v>80</v>
      </c>
      <c r="AT1187">
        <v>1995</v>
      </c>
      <c r="AU1187" t="s">
        <v>34</v>
      </c>
    </row>
    <row r="1188" spans="1:47" x14ac:dyDescent="0.2">
      <c r="A1188">
        <v>522</v>
      </c>
      <c r="B1188" t="s">
        <v>356</v>
      </c>
      <c r="C1188">
        <v>19</v>
      </c>
      <c r="D1188" t="s">
        <v>359</v>
      </c>
      <c r="G1188" t="str">
        <f t="shared" si="18"/>
        <v>HLY120119H6</v>
      </c>
      <c r="H1188">
        <v>72.164000000000001</v>
      </c>
      <c r="I1188">
        <v>-163.60300000000001</v>
      </c>
      <c r="J1188" s="3">
        <v>20120816</v>
      </c>
      <c r="K1188">
        <v>2012</v>
      </c>
      <c r="L1188">
        <v>2.33786</v>
      </c>
      <c r="M1188">
        <v>3.8950800000000001</v>
      </c>
      <c r="N1188">
        <v>0.30924000000000001</v>
      </c>
      <c r="O1188">
        <v>0</v>
      </c>
      <c r="P1188">
        <v>1.8939999999999999E-2</v>
      </c>
      <c r="Q1188">
        <v>0</v>
      </c>
      <c r="R1188">
        <v>8.3000000000000001E-3</v>
      </c>
      <c r="S1188">
        <v>0.18942999999999999</v>
      </c>
      <c r="T1188">
        <v>3.0779999999999998E-2</v>
      </c>
      <c r="U1188">
        <v>9.7199999999999995E-3</v>
      </c>
      <c r="V1188">
        <v>6.7993499999999996</v>
      </c>
      <c r="W1188" t="s">
        <v>10</v>
      </c>
      <c r="X1188">
        <v>34.338999999999999</v>
      </c>
      <c r="Y1188">
        <v>109.94</v>
      </c>
      <c r="Z1188">
        <v>4.3680000000000003</v>
      </c>
      <c r="AA1188">
        <v>0</v>
      </c>
      <c r="AB1188">
        <v>1.353</v>
      </c>
      <c r="AC1188">
        <v>0</v>
      </c>
      <c r="AD1188">
        <v>0.13600000000000001</v>
      </c>
      <c r="AE1188">
        <v>13.531000000000001</v>
      </c>
      <c r="AF1188">
        <v>0.33100000000000002</v>
      </c>
      <c r="AG1188">
        <v>0.22700000000000001</v>
      </c>
      <c r="AH1188">
        <v>164.22499999999999</v>
      </c>
      <c r="AI1188" t="s">
        <v>22</v>
      </c>
      <c r="AJ1188">
        <v>355</v>
      </c>
      <c r="AK1188">
        <v>1312.5</v>
      </c>
      <c r="AL1188">
        <v>180</v>
      </c>
      <c r="AM1188">
        <v>0</v>
      </c>
      <c r="AN1188">
        <v>7.5</v>
      </c>
      <c r="AO1188">
        <v>0</v>
      </c>
      <c r="AP1188">
        <v>0</v>
      </c>
      <c r="AQ1188">
        <v>5</v>
      </c>
      <c r="AR1188">
        <v>10</v>
      </c>
      <c r="AS1188">
        <v>17.5</v>
      </c>
      <c r="AT1188">
        <v>1887.5</v>
      </c>
      <c r="AU1188" t="s">
        <v>34</v>
      </c>
    </row>
    <row r="1189" spans="1:47" x14ac:dyDescent="0.2">
      <c r="A1189">
        <v>523</v>
      </c>
      <c r="B1189" t="s">
        <v>356</v>
      </c>
      <c r="C1189">
        <v>20</v>
      </c>
      <c r="D1189" t="s">
        <v>360</v>
      </c>
      <c r="G1189" t="str">
        <f t="shared" si="18"/>
        <v>HLY120120H8</v>
      </c>
      <c r="H1189">
        <v>72.373000000000005</v>
      </c>
      <c r="I1189">
        <v>-163.06700000000001</v>
      </c>
      <c r="J1189" s="3">
        <v>20120816</v>
      </c>
      <c r="K1189">
        <v>2012</v>
      </c>
      <c r="L1189">
        <v>1.1082099999999999</v>
      </c>
      <c r="M1189">
        <v>1.9915700000000001</v>
      </c>
      <c r="N1189">
        <v>0.19394</v>
      </c>
      <c r="O1189">
        <v>2.8230300000000002</v>
      </c>
      <c r="P1189">
        <v>2.1000000000000001E-4</v>
      </c>
      <c r="Q1189">
        <v>0</v>
      </c>
      <c r="R1189">
        <v>2.4000000000000001E-4</v>
      </c>
      <c r="S1189">
        <v>3.0550000000000001E-2</v>
      </c>
      <c r="T1189">
        <v>3.6999999999999999E-4</v>
      </c>
      <c r="U1189">
        <v>1.4080000000000001E-2</v>
      </c>
      <c r="V1189">
        <v>6.1622000000000003</v>
      </c>
      <c r="W1189" t="s">
        <v>12</v>
      </c>
      <c r="X1189">
        <v>15.837</v>
      </c>
      <c r="Y1189">
        <v>54.404000000000003</v>
      </c>
      <c r="Z1189">
        <v>2.7370000000000001</v>
      </c>
      <c r="AA1189">
        <v>62.734000000000002</v>
      </c>
      <c r="AB1189">
        <v>1.4999999999999999E-2</v>
      </c>
      <c r="AC1189">
        <v>0</v>
      </c>
      <c r="AD1189">
        <v>4.0000000000000001E-3</v>
      </c>
      <c r="AE1189">
        <v>2.1819999999999999</v>
      </c>
      <c r="AF1189">
        <v>4.0000000000000001E-3</v>
      </c>
      <c r="AG1189">
        <v>0.33300000000000002</v>
      </c>
      <c r="AH1189">
        <v>138.25</v>
      </c>
      <c r="AI1189" t="s">
        <v>24</v>
      </c>
      <c r="AJ1189">
        <v>257.5</v>
      </c>
      <c r="AK1189">
        <v>547.5</v>
      </c>
      <c r="AL1189">
        <v>50</v>
      </c>
      <c r="AM1189">
        <v>5</v>
      </c>
      <c r="AN1189">
        <v>5</v>
      </c>
      <c r="AO1189">
        <v>0</v>
      </c>
      <c r="AP1189">
        <v>0</v>
      </c>
      <c r="AQ1189">
        <v>2.5</v>
      </c>
      <c r="AR1189">
        <v>2.5</v>
      </c>
      <c r="AS1189">
        <v>7.5</v>
      </c>
      <c r="AT1189">
        <v>877.5</v>
      </c>
      <c r="AU1189" t="s">
        <v>34</v>
      </c>
    </row>
    <row r="1190" spans="1:47" x14ac:dyDescent="0.2">
      <c r="A1190">
        <v>524</v>
      </c>
      <c r="B1190" t="s">
        <v>356</v>
      </c>
      <c r="C1190">
        <v>25</v>
      </c>
      <c r="D1190" t="s">
        <v>361</v>
      </c>
      <c r="G1190" t="str">
        <f t="shared" si="18"/>
        <v>HLY120125H4</v>
      </c>
      <c r="H1190">
        <v>72.537000000000006</v>
      </c>
      <c r="I1190">
        <v>-162.24799999999999</v>
      </c>
      <c r="J1190" s="3">
        <v>20120817</v>
      </c>
      <c r="K1190">
        <v>2012</v>
      </c>
      <c r="L1190">
        <v>3.1239699999999999</v>
      </c>
      <c r="M1190">
        <v>8.0121500000000001</v>
      </c>
      <c r="N1190">
        <v>1.7749999999999998E-2</v>
      </c>
      <c r="O1190">
        <v>0.11309</v>
      </c>
      <c r="P1190">
        <v>0.12926000000000001</v>
      </c>
      <c r="Q1190">
        <v>0</v>
      </c>
      <c r="R1190">
        <v>2.5440000000000001E-2</v>
      </c>
      <c r="S1190">
        <v>4.512E-2</v>
      </c>
      <c r="T1190">
        <v>4.9300000000000004E-3</v>
      </c>
      <c r="U1190">
        <v>1.461E-2</v>
      </c>
      <c r="V1190">
        <v>11.486319999999999</v>
      </c>
      <c r="W1190" t="s">
        <v>10</v>
      </c>
      <c r="X1190">
        <v>40.563000000000002</v>
      </c>
      <c r="Y1190">
        <v>215.62899999999999</v>
      </c>
      <c r="Z1190">
        <v>0.254</v>
      </c>
      <c r="AA1190">
        <v>2.5129999999999999</v>
      </c>
      <c r="AB1190">
        <v>9.2330000000000005</v>
      </c>
      <c r="AC1190">
        <v>0</v>
      </c>
      <c r="AD1190">
        <v>0.41699999999999998</v>
      </c>
      <c r="AE1190">
        <v>3.2229999999999999</v>
      </c>
      <c r="AF1190">
        <v>5.2999999999999999E-2</v>
      </c>
      <c r="AG1190">
        <v>0.49099999999999999</v>
      </c>
      <c r="AH1190">
        <v>272.37599999999998</v>
      </c>
      <c r="AI1190" t="s">
        <v>22</v>
      </c>
      <c r="AJ1190">
        <v>450</v>
      </c>
      <c r="AK1190">
        <v>1367.5</v>
      </c>
      <c r="AL1190">
        <v>40</v>
      </c>
      <c r="AM1190">
        <v>12.5</v>
      </c>
      <c r="AN1190">
        <v>7.5</v>
      </c>
      <c r="AO1190">
        <v>0</v>
      </c>
      <c r="AP1190">
        <v>0</v>
      </c>
      <c r="AQ1190">
        <v>2.5</v>
      </c>
      <c r="AR1190">
        <v>15</v>
      </c>
      <c r="AS1190">
        <v>50</v>
      </c>
      <c r="AT1190">
        <v>1945</v>
      </c>
      <c r="AU1190" t="s">
        <v>34</v>
      </c>
    </row>
    <row r="1191" spans="1:47" x14ac:dyDescent="0.2">
      <c r="A1191">
        <v>525</v>
      </c>
      <c r="B1191" t="s">
        <v>356</v>
      </c>
      <c r="C1191">
        <v>26</v>
      </c>
      <c r="D1191" t="s">
        <v>362</v>
      </c>
      <c r="G1191" t="str">
        <f t="shared" si="18"/>
        <v>HLY120126H14</v>
      </c>
      <c r="H1191">
        <v>72.409000000000006</v>
      </c>
      <c r="I1191">
        <v>-161.25200000000001</v>
      </c>
      <c r="J1191" s="3">
        <v>20120817</v>
      </c>
      <c r="K1191">
        <v>2012</v>
      </c>
      <c r="L1191">
        <v>0.81984000000000001</v>
      </c>
      <c r="M1191">
        <v>10.97156</v>
      </c>
      <c r="N1191">
        <v>7.109E-2</v>
      </c>
      <c r="O1191">
        <v>0</v>
      </c>
      <c r="P1191">
        <v>1.5599999999999999E-2</v>
      </c>
      <c r="Q1191">
        <v>0</v>
      </c>
      <c r="R1191">
        <v>2.4399999999999999E-3</v>
      </c>
      <c r="S1191">
        <v>0</v>
      </c>
      <c r="T1191">
        <v>5.2170000000000001E-2</v>
      </c>
      <c r="U1191">
        <v>4.233E-2</v>
      </c>
      <c r="V1191">
        <v>11.97503</v>
      </c>
      <c r="W1191" t="s">
        <v>10</v>
      </c>
      <c r="X1191">
        <v>11.237</v>
      </c>
      <c r="Y1191">
        <v>313.50700000000001</v>
      </c>
      <c r="Z1191">
        <v>0.97</v>
      </c>
      <c r="AA1191">
        <v>0</v>
      </c>
      <c r="AB1191">
        <v>1.1140000000000001</v>
      </c>
      <c r="AC1191">
        <v>0</v>
      </c>
      <c r="AD1191">
        <v>0.04</v>
      </c>
      <c r="AE1191">
        <v>0</v>
      </c>
      <c r="AF1191">
        <v>0.56100000000000005</v>
      </c>
      <c r="AG1191">
        <v>1.373</v>
      </c>
      <c r="AH1191">
        <v>328.80200000000002</v>
      </c>
      <c r="AI1191" t="s">
        <v>22</v>
      </c>
      <c r="AJ1191">
        <v>675</v>
      </c>
      <c r="AK1191">
        <v>960</v>
      </c>
      <c r="AL1191">
        <v>32.5</v>
      </c>
      <c r="AM1191">
        <v>0</v>
      </c>
      <c r="AN1191">
        <v>15</v>
      </c>
      <c r="AO1191">
        <v>0</v>
      </c>
      <c r="AP1191">
        <v>0</v>
      </c>
      <c r="AQ1191">
        <v>0</v>
      </c>
      <c r="AR1191">
        <v>17.5</v>
      </c>
      <c r="AS1191">
        <v>40</v>
      </c>
      <c r="AT1191">
        <v>1740</v>
      </c>
      <c r="AU1191" t="s">
        <v>34</v>
      </c>
    </row>
    <row r="1192" spans="1:47" x14ac:dyDescent="0.2">
      <c r="A1192">
        <v>526</v>
      </c>
      <c r="B1192" t="s">
        <v>356</v>
      </c>
      <c r="C1192">
        <v>30</v>
      </c>
      <c r="D1192" t="s">
        <v>363</v>
      </c>
      <c r="G1192" t="str">
        <f t="shared" si="18"/>
        <v>HLY120130H2</v>
      </c>
      <c r="H1192">
        <v>72.225999999999999</v>
      </c>
      <c r="I1192">
        <v>-162.11500000000001</v>
      </c>
      <c r="J1192" s="3">
        <v>20120818</v>
      </c>
      <c r="K1192">
        <v>2012</v>
      </c>
      <c r="L1192">
        <v>1.67479</v>
      </c>
      <c r="M1192">
        <v>4.4300699999999997</v>
      </c>
      <c r="N1192">
        <v>0.47427000000000002</v>
      </c>
      <c r="O1192">
        <v>4.4999999999999999E-4</v>
      </c>
      <c r="P1192">
        <v>8.0099999999999998E-3</v>
      </c>
      <c r="Q1192">
        <v>0</v>
      </c>
      <c r="R1192">
        <v>0.41394999999999998</v>
      </c>
      <c r="S1192">
        <v>0.13689000000000001</v>
      </c>
      <c r="T1192">
        <v>5.0959999999999998E-2</v>
      </c>
      <c r="U1192">
        <v>5.926E-2</v>
      </c>
      <c r="V1192">
        <v>7.2486499999999996</v>
      </c>
      <c r="W1192" t="s">
        <v>10</v>
      </c>
      <c r="X1192">
        <v>22.968</v>
      </c>
      <c r="Y1192">
        <v>145.14099999999999</v>
      </c>
      <c r="Z1192">
        <v>6.8460000000000001</v>
      </c>
      <c r="AA1192">
        <v>0.01</v>
      </c>
      <c r="AB1192">
        <v>0.57199999999999995</v>
      </c>
      <c r="AC1192">
        <v>0</v>
      </c>
      <c r="AD1192">
        <v>6.7859999999999996</v>
      </c>
      <c r="AE1192">
        <v>5.3460000000000001</v>
      </c>
      <c r="AF1192">
        <v>0.54800000000000004</v>
      </c>
      <c r="AG1192">
        <v>1.7</v>
      </c>
      <c r="AH1192">
        <v>189.917</v>
      </c>
      <c r="AI1192" t="s">
        <v>22</v>
      </c>
      <c r="AJ1192">
        <v>2420</v>
      </c>
      <c r="AK1192">
        <v>1165</v>
      </c>
      <c r="AL1192">
        <v>842.5</v>
      </c>
      <c r="AM1192">
        <v>7.5</v>
      </c>
      <c r="AN1192">
        <v>7.5</v>
      </c>
      <c r="AO1192">
        <v>0</v>
      </c>
      <c r="AP1192">
        <v>27.5</v>
      </c>
      <c r="AQ1192">
        <v>87.5</v>
      </c>
      <c r="AR1192">
        <v>27.5</v>
      </c>
      <c r="AS1192">
        <v>40</v>
      </c>
      <c r="AT1192">
        <v>4625</v>
      </c>
      <c r="AU1192" t="s">
        <v>33</v>
      </c>
    </row>
    <row r="1193" spans="1:47" x14ac:dyDescent="0.2">
      <c r="A1193">
        <v>527</v>
      </c>
      <c r="B1193" t="s">
        <v>356</v>
      </c>
      <c r="C1193">
        <v>31</v>
      </c>
      <c r="D1193" t="s">
        <v>364</v>
      </c>
      <c r="G1193" t="str">
        <f t="shared" si="18"/>
        <v>HLY120131H5</v>
      </c>
      <c r="H1193">
        <v>72.090999999999994</v>
      </c>
      <c r="I1193">
        <v>-161.74199999999999</v>
      </c>
      <c r="J1193" s="3">
        <v>20120818</v>
      </c>
      <c r="K1193">
        <v>2012</v>
      </c>
      <c r="L1193">
        <v>1.5624</v>
      </c>
      <c r="M1193">
        <v>2.23251</v>
      </c>
      <c r="N1193">
        <v>0.23763999999999999</v>
      </c>
      <c r="O1193">
        <v>0</v>
      </c>
      <c r="P1193">
        <v>6.9999999999999994E-5</v>
      </c>
      <c r="Q1193">
        <v>2.4000000000000001E-4</v>
      </c>
      <c r="R1193">
        <v>8.4200000000000004E-3</v>
      </c>
      <c r="S1193">
        <v>0.28442000000000001</v>
      </c>
      <c r="T1193">
        <v>0.15633</v>
      </c>
      <c r="U1193">
        <v>3.0169999999999999E-2</v>
      </c>
      <c r="V1193">
        <v>4.5122</v>
      </c>
      <c r="W1193" t="s">
        <v>10</v>
      </c>
      <c r="X1193">
        <v>21.823</v>
      </c>
      <c r="Y1193">
        <v>85.971000000000004</v>
      </c>
      <c r="Z1193">
        <v>2.9849999999999999</v>
      </c>
      <c r="AA1193">
        <v>0</v>
      </c>
      <c r="AB1193">
        <v>5.0000000000000001E-3</v>
      </c>
      <c r="AC1193">
        <v>2.1999999999999999E-2</v>
      </c>
      <c r="AD1193">
        <v>0.13800000000000001</v>
      </c>
      <c r="AE1193">
        <v>6.9370000000000003</v>
      </c>
      <c r="AF1193">
        <v>1.681</v>
      </c>
      <c r="AG1193">
        <v>2.2869999999999999</v>
      </c>
      <c r="AH1193">
        <v>121.849</v>
      </c>
      <c r="AI1193" t="s">
        <v>22</v>
      </c>
      <c r="AJ1193">
        <v>292.5</v>
      </c>
      <c r="AK1193">
        <v>147.5</v>
      </c>
      <c r="AL1193">
        <v>242.5</v>
      </c>
      <c r="AM1193">
        <v>0</v>
      </c>
      <c r="AN1193">
        <v>12.5</v>
      </c>
      <c r="AO1193">
        <v>5</v>
      </c>
      <c r="AP1193">
        <v>5</v>
      </c>
      <c r="AQ1193">
        <v>152.5</v>
      </c>
      <c r="AR1193">
        <v>0</v>
      </c>
      <c r="AS1193">
        <v>10</v>
      </c>
      <c r="AT1193">
        <v>867.5</v>
      </c>
      <c r="AU1193" t="s">
        <v>33</v>
      </c>
    </row>
    <row r="1194" spans="1:47" x14ac:dyDescent="0.2">
      <c r="A1194">
        <v>528</v>
      </c>
      <c r="B1194" t="s">
        <v>356</v>
      </c>
      <c r="C1194">
        <v>32</v>
      </c>
      <c r="D1194" t="s">
        <v>365</v>
      </c>
      <c r="G1194" t="str">
        <f t="shared" si="18"/>
        <v>HLY120132H3</v>
      </c>
      <c r="H1194">
        <v>71.873000000000005</v>
      </c>
      <c r="I1194">
        <v>-162.02799999999999</v>
      </c>
      <c r="J1194" s="3">
        <v>20120818</v>
      </c>
      <c r="K1194">
        <v>2012</v>
      </c>
      <c r="L1194">
        <v>2.6825800000000002</v>
      </c>
      <c r="M1194">
        <v>25.633179999999999</v>
      </c>
      <c r="N1194">
        <v>0.25746000000000002</v>
      </c>
      <c r="O1194">
        <v>0.78110999999999997</v>
      </c>
      <c r="P1194">
        <v>0.14610000000000001</v>
      </c>
      <c r="Q1194">
        <v>0</v>
      </c>
      <c r="R1194">
        <v>2.3429999999999999E-2</v>
      </c>
      <c r="S1194">
        <v>7.1059999999999998E-2</v>
      </c>
      <c r="T1194">
        <v>4.0829999999999998E-2</v>
      </c>
      <c r="U1194">
        <v>5.0070000000000003E-2</v>
      </c>
      <c r="V1194">
        <v>29.68582</v>
      </c>
      <c r="W1194" t="s">
        <v>10</v>
      </c>
      <c r="X1194">
        <v>39.478000000000002</v>
      </c>
      <c r="Y1194">
        <v>739.27499999999998</v>
      </c>
      <c r="Z1194">
        <v>3.7010000000000001</v>
      </c>
      <c r="AA1194">
        <v>17.358000000000001</v>
      </c>
      <c r="AB1194">
        <v>10.436</v>
      </c>
      <c r="AC1194">
        <v>0</v>
      </c>
      <c r="AD1194">
        <v>0.38400000000000001</v>
      </c>
      <c r="AE1194">
        <v>4.1539999999999999</v>
      </c>
      <c r="AF1194">
        <v>0.439</v>
      </c>
      <c r="AG1194">
        <v>1.4370000000000001</v>
      </c>
      <c r="AH1194">
        <v>816.66200000000003</v>
      </c>
      <c r="AI1194" t="s">
        <v>22</v>
      </c>
      <c r="AJ1194">
        <v>2145</v>
      </c>
      <c r="AK1194">
        <v>2525</v>
      </c>
      <c r="AL1194">
        <v>340</v>
      </c>
      <c r="AM1194">
        <v>17.5</v>
      </c>
      <c r="AN1194">
        <v>5</v>
      </c>
      <c r="AO1194">
        <v>0</v>
      </c>
      <c r="AP1194">
        <v>5</v>
      </c>
      <c r="AQ1194">
        <v>7.5</v>
      </c>
      <c r="AR1194">
        <v>25</v>
      </c>
      <c r="AS1194">
        <v>97.5</v>
      </c>
      <c r="AT1194">
        <v>5167.5</v>
      </c>
      <c r="AU1194" t="s">
        <v>34</v>
      </c>
    </row>
    <row r="1195" spans="1:47" x14ac:dyDescent="0.2">
      <c r="A1195">
        <v>529</v>
      </c>
      <c r="B1195" t="s">
        <v>356</v>
      </c>
      <c r="C1195">
        <v>37</v>
      </c>
      <c r="D1195" t="s">
        <v>366</v>
      </c>
      <c r="G1195" t="str">
        <f t="shared" si="18"/>
        <v>HLY120137H1</v>
      </c>
      <c r="H1195">
        <v>71.652000000000001</v>
      </c>
      <c r="I1195">
        <v>-162.63300000000001</v>
      </c>
      <c r="J1195" s="3">
        <v>20120819</v>
      </c>
      <c r="K1195">
        <v>2012</v>
      </c>
      <c r="L1195">
        <v>3.2016499999999999</v>
      </c>
      <c r="M1195">
        <v>18.357089999999999</v>
      </c>
      <c r="N1195">
        <v>0.27156999999999998</v>
      </c>
      <c r="O1195">
        <v>2.09768</v>
      </c>
      <c r="P1195">
        <v>0.2064</v>
      </c>
      <c r="Q1195">
        <v>0</v>
      </c>
      <c r="R1195">
        <v>1.0370000000000001E-2</v>
      </c>
      <c r="S1195">
        <v>9.6369999999999997E-2</v>
      </c>
      <c r="T1195">
        <v>0.55344000000000004</v>
      </c>
      <c r="U1195">
        <v>7.9850000000000004E-2</v>
      </c>
      <c r="V1195">
        <v>24.874420000000001</v>
      </c>
      <c r="W1195" t="s">
        <v>10</v>
      </c>
      <c r="X1195">
        <v>44.935000000000002</v>
      </c>
      <c r="Y1195">
        <v>579.05399999999997</v>
      </c>
      <c r="Z1195">
        <v>3.915</v>
      </c>
      <c r="AA1195">
        <v>46.615000000000002</v>
      </c>
      <c r="AB1195">
        <v>14.743</v>
      </c>
      <c r="AC1195">
        <v>0</v>
      </c>
      <c r="AD1195">
        <v>0.17</v>
      </c>
      <c r="AE1195">
        <v>5.0419999999999998</v>
      </c>
      <c r="AF1195">
        <v>5.9509999999999996</v>
      </c>
      <c r="AG1195">
        <v>2.2519999999999998</v>
      </c>
      <c r="AH1195">
        <v>702.67700000000002</v>
      </c>
      <c r="AI1195" t="s">
        <v>22</v>
      </c>
      <c r="AJ1195">
        <v>3140</v>
      </c>
      <c r="AK1195">
        <v>1937.5</v>
      </c>
      <c r="AL1195">
        <v>220</v>
      </c>
      <c r="AM1195">
        <v>5</v>
      </c>
      <c r="AN1195">
        <v>20</v>
      </c>
      <c r="AO1195">
        <v>0</v>
      </c>
      <c r="AP1195">
        <v>0</v>
      </c>
      <c r="AQ1195">
        <v>7.5</v>
      </c>
      <c r="AR1195">
        <v>42.5</v>
      </c>
      <c r="AS1195">
        <v>105</v>
      </c>
      <c r="AT1195">
        <v>5477.5</v>
      </c>
      <c r="AU1195" t="s">
        <v>33</v>
      </c>
    </row>
    <row r="1196" spans="1:47" x14ac:dyDescent="0.2">
      <c r="A1196">
        <v>530</v>
      </c>
      <c r="B1196" t="s">
        <v>356</v>
      </c>
      <c r="C1196">
        <v>38</v>
      </c>
      <c r="D1196" t="s">
        <v>367</v>
      </c>
      <c r="G1196" t="str">
        <f t="shared" si="18"/>
        <v>HLY120138H19</v>
      </c>
      <c r="H1196">
        <v>71.712999999999994</v>
      </c>
      <c r="I1196">
        <v>-161.55199999999999</v>
      </c>
      <c r="J1196" s="3">
        <v>20120819</v>
      </c>
      <c r="K1196">
        <v>2012</v>
      </c>
      <c r="L1196">
        <v>2.20966</v>
      </c>
      <c r="M1196">
        <v>25.376550000000002</v>
      </c>
      <c r="N1196">
        <v>0.13083</v>
      </c>
      <c r="O1196">
        <v>0.16658999999999999</v>
      </c>
      <c r="P1196">
        <v>7.7299999999999999E-3</v>
      </c>
      <c r="Q1196">
        <v>0</v>
      </c>
      <c r="R1196">
        <v>4.15E-3</v>
      </c>
      <c r="S1196">
        <v>0.13621</v>
      </c>
      <c r="T1196">
        <v>0.19177</v>
      </c>
      <c r="U1196">
        <v>0.16853000000000001</v>
      </c>
      <c r="V1196">
        <v>28.392019999999999</v>
      </c>
      <c r="W1196" t="s">
        <v>10</v>
      </c>
      <c r="X1196">
        <v>32.911999999999999</v>
      </c>
      <c r="Y1196">
        <v>746.55399999999997</v>
      </c>
      <c r="Z1196">
        <v>1.827</v>
      </c>
      <c r="AA1196">
        <v>3.702</v>
      </c>
      <c r="AB1196">
        <v>0.55200000000000005</v>
      </c>
      <c r="AC1196">
        <v>0</v>
      </c>
      <c r="AD1196">
        <v>6.8000000000000005E-2</v>
      </c>
      <c r="AE1196">
        <v>9.7289999999999992</v>
      </c>
      <c r="AF1196">
        <v>2.0619999999999998</v>
      </c>
      <c r="AG1196">
        <v>4.3330000000000002</v>
      </c>
      <c r="AH1196">
        <v>801.73900000000003</v>
      </c>
      <c r="AI1196" t="s">
        <v>22</v>
      </c>
      <c r="AJ1196">
        <v>1372.5</v>
      </c>
      <c r="AK1196">
        <v>1377.5</v>
      </c>
      <c r="AL1196">
        <v>95</v>
      </c>
      <c r="AM1196">
        <v>7.5</v>
      </c>
      <c r="AN1196">
        <v>5</v>
      </c>
      <c r="AO1196">
        <v>0</v>
      </c>
      <c r="AP1196">
        <v>0</v>
      </c>
      <c r="AQ1196">
        <v>2.5</v>
      </c>
      <c r="AR1196">
        <v>20</v>
      </c>
      <c r="AS1196">
        <v>117.5</v>
      </c>
      <c r="AT1196">
        <v>2997.5</v>
      </c>
      <c r="AU1196" t="s">
        <v>34</v>
      </c>
    </row>
    <row r="1197" spans="1:47" x14ac:dyDescent="0.2">
      <c r="A1197">
        <v>531</v>
      </c>
      <c r="B1197" t="s">
        <v>356</v>
      </c>
      <c r="C1197">
        <v>45</v>
      </c>
      <c r="D1197" t="s">
        <v>368</v>
      </c>
      <c r="G1197" t="str">
        <f t="shared" si="18"/>
        <v>HLY120145H16</v>
      </c>
      <c r="H1197">
        <v>71.909000000000006</v>
      </c>
      <c r="I1197">
        <v>-160.92599999999999</v>
      </c>
      <c r="J1197" s="3">
        <v>20120820</v>
      </c>
      <c r="K1197">
        <v>2012</v>
      </c>
      <c r="L1197">
        <v>3.4499399999999998</v>
      </c>
      <c r="M1197">
        <v>14.436629999999999</v>
      </c>
      <c r="N1197">
        <v>0.62185999999999997</v>
      </c>
      <c r="O1197">
        <v>4.428E-2</v>
      </c>
      <c r="P1197">
        <v>6.8999999999999997E-4</v>
      </c>
      <c r="Q1197">
        <v>0</v>
      </c>
      <c r="R1197">
        <v>2.903E-2</v>
      </c>
      <c r="S1197">
        <v>0.11891</v>
      </c>
      <c r="T1197">
        <v>0.4491</v>
      </c>
      <c r="U1197">
        <v>6.0330000000000002E-2</v>
      </c>
      <c r="V1197">
        <v>19.21077</v>
      </c>
      <c r="W1197" t="s">
        <v>10</v>
      </c>
      <c r="X1197">
        <v>48.805</v>
      </c>
      <c r="Y1197">
        <v>524.81600000000003</v>
      </c>
      <c r="Z1197">
        <v>9.0399999999999991</v>
      </c>
      <c r="AA1197">
        <v>0.98399999999999999</v>
      </c>
      <c r="AB1197">
        <v>4.9000000000000002E-2</v>
      </c>
      <c r="AC1197">
        <v>0</v>
      </c>
      <c r="AD1197">
        <v>0.47599999999999998</v>
      </c>
      <c r="AE1197">
        <v>8.26</v>
      </c>
      <c r="AF1197">
        <v>4.8289999999999997</v>
      </c>
      <c r="AG1197">
        <v>2.1190000000000002</v>
      </c>
      <c r="AH1197">
        <v>599.37800000000004</v>
      </c>
      <c r="AI1197" t="s">
        <v>22</v>
      </c>
      <c r="AJ1197">
        <v>2887.5</v>
      </c>
      <c r="AK1197">
        <v>1170</v>
      </c>
      <c r="AL1197">
        <v>420</v>
      </c>
      <c r="AM1197">
        <v>45</v>
      </c>
      <c r="AN1197">
        <v>2.5</v>
      </c>
      <c r="AO1197">
        <v>0</v>
      </c>
      <c r="AP1197">
        <v>5</v>
      </c>
      <c r="AQ1197">
        <v>15</v>
      </c>
      <c r="AR1197">
        <v>47.5</v>
      </c>
      <c r="AS1197">
        <v>72.5</v>
      </c>
      <c r="AT1197">
        <v>4665</v>
      </c>
      <c r="AU1197" t="s">
        <v>33</v>
      </c>
    </row>
    <row r="1198" spans="1:47" x14ac:dyDescent="0.2">
      <c r="A1198">
        <v>532</v>
      </c>
      <c r="B1198" t="s">
        <v>356</v>
      </c>
      <c r="C1198">
        <v>46</v>
      </c>
      <c r="D1198" t="s">
        <v>369</v>
      </c>
      <c r="G1198" t="str">
        <f t="shared" si="18"/>
        <v>HLY120146H20</v>
      </c>
      <c r="H1198">
        <v>72.152000000000001</v>
      </c>
      <c r="I1198">
        <v>-159.94900000000001</v>
      </c>
      <c r="J1198" s="3">
        <v>20120820</v>
      </c>
      <c r="K1198">
        <v>2012</v>
      </c>
      <c r="L1198">
        <v>3.1468699999999998</v>
      </c>
      <c r="M1198">
        <v>0.35293000000000002</v>
      </c>
      <c r="N1198">
        <v>0.24245</v>
      </c>
      <c r="O1198">
        <v>0.24912000000000001</v>
      </c>
      <c r="P1198">
        <v>0.14085</v>
      </c>
      <c r="Q1198">
        <v>0</v>
      </c>
      <c r="R1198">
        <v>0.37491000000000002</v>
      </c>
      <c r="S1198">
        <v>1.77E-2</v>
      </c>
      <c r="T1198">
        <v>0.99817</v>
      </c>
      <c r="U1198">
        <v>4.7280000000000003E-2</v>
      </c>
      <c r="V1198">
        <v>5.5702800000000003</v>
      </c>
      <c r="W1198" t="s">
        <v>9</v>
      </c>
      <c r="X1198">
        <v>45.887</v>
      </c>
      <c r="Y1198">
        <v>11.222</v>
      </c>
      <c r="Z1198">
        <v>3.51</v>
      </c>
      <c r="AA1198">
        <v>5.5359999999999996</v>
      </c>
      <c r="AB1198">
        <v>10.061</v>
      </c>
      <c r="AC1198">
        <v>0</v>
      </c>
      <c r="AD1198">
        <v>6.1459999999999999</v>
      </c>
      <c r="AE1198">
        <v>0.47699999999999998</v>
      </c>
      <c r="AF1198">
        <v>10.733000000000001</v>
      </c>
      <c r="AG1198">
        <v>1.837</v>
      </c>
      <c r="AH1198">
        <v>95.409000000000006</v>
      </c>
      <c r="AI1198" t="s">
        <v>21</v>
      </c>
      <c r="AJ1198">
        <v>1502.5</v>
      </c>
      <c r="AK1198">
        <v>2085</v>
      </c>
      <c r="AL1198">
        <v>295</v>
      </c>
      <c r="AM1198">
        <v>17.5</v>
      </c>
      <c r="AN1198">
        <v>7.5</v>
      </c>
      <c r="AO1198">
        <v>0</v>
      </c>
      <c r="AP1198">
        <v>10</v>
      </c>
      <c r="AQ1198">
        <v>5</v>
      </c>
      <c r="AR1198">
        <v>22.5</v>
      </c>
      <c r="AS1198">
        <v>37.5</v>
      </c>
      <c r="AT1198">
        <v>3982.5</v>
      </c>
      <c r="AU1198" t="s">
        <v>34</v>
      </c>
    </row>
    <row r="1199" spans="1:47" x14ac:dyDescent="0.2">
      <c r="A1199">
        <v>533</v>
      </c>
      <c r="B1199" t="s">
        <v>356</v>
      </c>
      <c r="C1199">
        <v>52</v>
      </c>
      <c r="D1199" t="s">
        <v>370</v>
      </c>
      <c r="G1199" t="str">
        <f t="shared" si="18"/>
        <v>HLY120152H32</v>
      </c>
      <c r="H1199">
        <v>71.781999999999996</v>
      </c>
      <c r="I1199">
        <v>-158.98699999999999</v>
      </c>
      <c r="J1199" s="3">
        <v>20120821</v>
      </c>
      <c r="K1199">
        <v>2012</v>
      </c>
      <c r="L1199">
        <v>0.97211000000000003</v>
      </c>
      <c r="M1199">
        <v>10.67107</v>
      </c>
      <c r="N1199">
        <v>0.19031000000000001</v>
      </c>
      <c r="O1199">
        <v>2.4299999999999999E-3</v>
      </c>
      <c r="P1199">
        <v>0</v>
      </c>
      <c r="Q1199">
        <v>0</v>
      </c>
      <c r="R1199">
        <v>1.10703</v>
      </c>
      <c r="S1199">
        <v>0.62536000000000003</v>
      </c>
      <c r="T1199">
        <v>1.042E-2</v>
      </c>
      <c r="U1199">
        <v>6.5799999999999999E-3</v>
      </c>
      <c r="V1199">
        <v>13.58531</v>
      </c>
      <c r="W1199" t="s">
        <v>10</v>
      </c>
      <c r="X1199">
        <v>13.381</v>
      </c>
      <c r="Y1199">
        <v>355.15600000000001</v>
      </c>
      <c r="Z1199">
        <v>2.786</v>
      </c>
      <c r="AA1199">
        <v>5.3999999999999999E-2</v>
      </c>
      <c r="AB1199">
        <v>0</v>
      </c>
      <c r="AC1199">
        <v>0</v>
      </c>
      <c r="AD1199">
        <v>18.148</v>
      </c>
      <c r="AE1199">
        <v>22.42</v>
      </c>
      <c r="AF1199">
        <v>0.112</v>
      </c>
      <c r="AG1199">
        <v>0.182</v>
      </c>
      <c r="AH1199">
        <v>412.23899999999998</v>
      </c>
      <c r="AI1199" t="s">
        <v>22</v>
      </c>
      <c r="AJ1199">
        <v>657.5</v>
      </c>
      <c r="AK1199">
        <v>745</v>
      </c>
      <c r="AL1199">
        <v>70</v>
      </c>
      <c r="AM1199">
        <v>5</v>
      </c>
      <c r="AN1199">
        <v>0</v>
      </c>
      <c r="AO1199">
        <v>0</v>
      </c>
      <c r="AP1199">
        <v>0</v>
      </c>
      <c r="AQ1199">
        <v>10</v>
      </c>
      <c r="AR1199">
        <v>5</v>
      </c>
      <c r="AS1199">
        <v>10</v>
      </c>
      <c r="AT1199">
        <v>1502.5</v>
      </c>
      <c r="AU1199" t="s">
        <v>34</v>
      </c>
    </row>
    <row r="1200" spans="1:47" x14ac:dyDescent="0.2">
      <c r="A1200">
        <v>534</v>
      </c>
      <c r="B1200" t="s">
        <v>356</v>
      </c>
      <c r="C1200">
        <v>53</v>
      </c>
      <c r="D1200" t="s">
        <v>371</v>
      </c>
      <c r="G1200" t="str">
        <f t="shared" si="18"/>
        <v>HLY120153BarC1</v>
      </c>
      <c r="H1200">
        <v>71.245000000000005</v>
      </c>
      <c r="I1200">
        <v>-157.19</v>
      </c>
      <c r="J1200" s="3">
        <v>20120822</v>
      </c>
      <c r="K1200">
        <v>2012</v>
      </c>
      <c r="L1200">
        <v>2.2134100000000001</v>
      </c>
      <c r="M1200">
        <v>0.36037999999999998</v>
      </c>
      <c r="N1200">
        <v>8.7842800000000008</v>
      </c>
      <c r="O1200">
        <v>2.0660000000000001E-2</v>
      </c>
      <c r="P1200">
        <v>0</v>
      </c>
      <c r="Q1200">
        <v>0</v>
      </c>
      <c r="R1200">
        <v>3.7269999999999998E-2</v>
      </c>
      <c r="S1200">
        <v>0</v>
      </c>
      <c r="T1200">
        <v>4.9200000000000001E-2</v>
      </c>
      <c r="U1200">
        <v>0.72738000000000003</v>
      </c>
      <c r="V1200">
        <v>12.19258</v>
      </c>
      <c r="W1200" t="s">
        <v>11</v>
      </c>
      <c r="X1200">
        <v>31.884</v>
      </c>
      <c r="Y1200">
        <v>12.801</v>
      </c>
      <c r="Z1200">
        <v>126.82599999999999</v>
      </c>
      <c r="AA1200">
        <v>0.45900000000000002</v>
      </c>
      <c r="AB1200">
        <v>0</v>
      </c>
      <c r="AC1200">
        <v>0</v>
      </c>
      <c r="AD1200">
        <v>0.61099999999999999</v>
      </c>
      <c r="AE1200">
        <v>0</v>
      </c>
      <c r="AF1200">
        <v>0.52900000000000003</v>
      </c>
      <c r="AG1200">
        <v>35.588000000000001</v>
      </c>
      <c r="AH1200">
        <v>208.69800000000001</v>
      </c>
      <c r="AI1200" t="s">
        <v>23</v>
      </c>
      <c r="AJ1200">
        <v>1880</v>
      </c>
      <c r="AK1200">
        <v>910</v>
      </c>
      <c r="AL1200">
        <v>6920</v>
      </c>
      <c r="AM1200">
        <v>130</v>
      </c>
      <c r="AN1200">
        <v>0</v>
      </c>
      <c r="AO1200">
        <v>0</v>
      </c>
      <c r="AP1200">
        <v>10</v>
      </c>
      <c r="AQ1200">
        <v>0</v>
      </c>
      <c r="AR1200">
        <v>60</v>
      </c>
      <c r="AS1200">
        <v>10</v>
      </c>
      <c r="AT1200">
        <v>9920</v>
      </c>
      <c r="AU1200" t="s">
        <v>35</v>
      </c>
    </row>
    <row r="1201" spans="1:47" x14ac:dyDescent="0.2">
      <c r="A1201">
        <v>535</v>
      </c>
      <c r="B1201" t="s">
        <v>356</v>
      </c>
      <c r="C1201">
        <v>54</v>
      </c>
      <c r="D1201" t="s">
        <v>372</v>
      </c>
      <c r="G1201" t="str">
        <f t="shared" si="18"/>
        <v>HLY120154BarC2</v>
      </c>
      <c r="H1201">
        <v>71.281999999999996</v>
      </c>
      <c r="I1201">
        <v>-157.256</v>
      </c>
      <c r="J1201" s="3">
        <v>20120822</v>
      </c>
      <c r="K1201">
        <v>2012</v>
      </c>
      <c r="L1201">
        <v>14.80559</v>
      </c>
      <c r="M1201">
        <v>6.3119999999999996E-2</v>
      </c>
      <c r="N1201">
        <v>1.7465999999999999</v>
      </c>
      <c r="O1201">
        <v>0.15089</v>
      </c>
      <c r="P1201">
        <v>2.3800000000000002E-3</v>
      </c>
      <c r="Q1201">
        <v>0</v>
      </c>
      <c r="R1201">
        <v>3.2390000000000002E-2</v>
      </c>
      <c r="S1201">
        <v>0.78966999999999998</v>
      </c>
      <c r="T1201">
        <v>0.15708</v>
      </c>
      <c r="U1201">
        <v>1.8919999999999999E-2</v>
      </c>
      <c r="V1201">
        <v>17.766639999999999</v>
      </c>
      <c r="W1201" t="s">
        <v>9</v>
      </c>
      <c r="X1201">
        <v>208.83099999999999</v>
      </c>
      <c r="Y1201">
        <v>2.4359999999999999</v>
      </c>
      <c r="Z1201">
        <v>24.992000000000001</v>
      </c>
      <c r="AA1201">
        <v>3.3530000000000002</v>
      </c>
      <c r="AB1201">
        <v>0.17</v>
      </c>
      <c r="AC1201">
        <v>0</v>
      </c>
      <c r="AD1201">
        <v>0.53100000000000003</v>
      </c>
      <c r="AE1201">
        <v>35.517000000000003</v>
      </c>
      <c r="AF1201">
        <v>1.6890000000000001</v>
      </c>
      <c r="AG1201">
        <v>0.52</v>
      </c>
      <c r="AH1201">
        <v>278.03899999999999</v>
      </c>
      <c r="AI1201" t="s">
        <v>21</v>
      </c>
      <c r="AJ1201">
        <v>3020</v>
      </c>
      <c r="AK1201">
        <v>790</v>
      </c>
      <c r="AL1201">
        <v>4130</v>
      </c>
      <c r="AM1201">
        <v>80</v>
      </c>
      <c r="AN1201">
        <v>30</v>
      </c>
      <c r="AO1201">
        <v>0</v>
      </c>
      <c r="AP1201">
        <v>20</v>
      </c>
      <c r="AQ1201">
        <v>40</v>
      </c>
      <c r="AR1201">
        <v>100</v>
      </c>
      <c r="AS1201">
        <v>130</v>
      </c>
      <c r="AT1201">
        <v>8340</v>
      </c>
      <c r="AU1201" t="s">
        <v>35</v>
      </c>
    </row>
    <row r="1202" spans="1:47" x14ac:dyDescent="0.2">
      <c r="A1202">
        <v>536</v>
      </c>
      <c r="B1202" t="s">
        <v>356</v>
      </c>
      <c r="C1202">
        <v>55</v>
      </c>
      <c r="D1202" t="s">
        <v>373</v>
      </c>
      <c r="G1202" t="str">
        <f t="shared" si="18"/>
        <v>HLY120155BarC3</v>
      </c>
      <c r="H1202">
        <v>71.305000000000007</v>
      </c>
      <c r="I1202">
        <v>-157.37799999999999</v>
      </c>
      <c r="J1202" s="3">
        <v>20120822</v>
      </c>
      <c r="K1202">
        <v>2012</v>
      </c>
      <c r="L1202">
        <v>4.7916699999999999</v>
      </c>
      <c r="M1202">
        <v>0.18137</v>
      </c>
      <c r="N1202">
        <v>1.41103</v>
      </c>
      <c r="O1202">
        <v>0</v>
      </c>
      <c r="P1202">
        <v>9.3100000000000006E-3</v>
      </c>
      <c r="Q1202">
        <v>0</v>
      </c>
      <c r="R1202">
        <v>3.4284500000000002</v>
      </c>
      <c r="S1202">
        <v>0.17449999999999999</v>
      </c>
      <c r="T1202">
        <v>1.5440000000000001E-2</v>
      </c>
      <c r="U1202">
        <v>0.23629</v>
      </c>
      <c r="V1202">
        <v>10.248060000000001</v>
      </c>
      <c r="W1202" t="s">
        <v>9</v>
      </c>
      <c r="X1202">
        <v>68.567999999999998</v>
      </c>
      <c r="Y1202">
        <v>6.5750000000000002</v>
      </c>
      <c r="Z1202">
        <v>18.524999999999999</v>
      </c>
      <c r="AA1202">
        <v>0</v>
      </c>
      <c r="AB1202">
        <v>0.66500000000000004</v>
      </c>
      <c r="AC1202">
        <v>0</v>
      </c>
      <c r="AD1202">
        <v>56.204000000000001</v>
      </c>
      <c r="AE1202">
        <v>4.2560000000000002</v>
      </c>
      <c r="AF1202">
        <v>0.16600000000000001</v>
      </c>
      <c r="AG1202">
        <v>10.153</v>
      </c>
      <c r="AH1202">
        <v>165.11199999999999</v>
      </c>
      <c r="AI1202" t="s">
        <v>21</v>
      </c>
      <c r="AJ1202">
        <v>1680</v>
      </c>
      <c r="AK1202">
        <v>790</v>
      </c>
      <c r="AL1202">
        <v>2820</v>
      </c>
      <c r="AM1202">
        <v>0</v>
      </c>
      <c r="AN1202">
        <v>60</v>
      </c>
      <c r="AO1202">
        <v>0</v>
      </c>
      <c r="AP1202">
        <v>20</v>
      </c>
      <c r="AQ1202">
        <v>10</v>
      </c>
      <c r="AR1202">
        <v>10</v>
      </c>
      <c r="AS1202">
        <v>50</v>
      </c>
      <c r="AT1202">
        <v>5440</v>
      </c>
      <c r="AU1202" t="s">
        <v>35</v>
      </c>
    </row>
    <row r="1203" spans="1:47" x14ac:dyDescent="0.2">
      <c r="A1203">
        <v>537</v>
      </c>
      <c r="B1203" t="s">
        <v>356</v>
      </c>
      <c r="C1203">
        <v>56</v>
      </c>
      <c r="D1203" t="s">
        <v>374</v>
      </c>
      <c r="G1203" t="str">
        <f t="shared" si="18"/>
        <v>HLY120156BarC4</v>
      </c>
      <c r="H1203">
        <v>71.366</v>
      </c>
      <c r="I1203">
        <v>-157.42099999999999</v>
      </c>
      <c r="J1203" s="3">
        <v>20120822</v>
      </c>
      <c r="K1203">
        <v>2012</v>
      </c>
      <c r="L1203">
        <v>1.11757</v>
      </c>
      <c r="M1203">
        <v>0.40651999999999999</v>
      </c>
      <c r="N1203">
        <v>7.2700000000000001E-2</v>
      </c>
      <c r="O1203">
        <v>0</v>
      </c>
      <c r="P1203">
        <v>0</v>
      </c>
      <c r="Q1203">
        <v>0</v>
      </c>
      <c r="R1203">
        <v>1.0919999999999999E-2</v>
      </c>
      <c r="S1203">
        <v>0.39011000000000001</v>
      </c>
      <c r="T1203">
        <v>0</v>
      </c>
      <c r="U1203">
        <v>1.306E-2</v>
      </c>
      <c r="V1203">
        <v>2.0108799999999998</v>
      </c>
      <c r="W1203" t="s">
        <v>9</v>
      </c>
      <c r="X1203">
        <v>15.081</v>
      </c>
      <c r="Y1203">
        <v>15.002000000000001</v>
      </c>
      <c r="Z1203">
        <v>1.0349999999999999</v>
      </c>
      <c r="AA1203">
        <v>0</v>
      </c>
      <c r="AB1203">
        <v>0</v>
      </c>
      <c r="AC1203">
        <v>0</v>
      </c>
      <c r="AD1203">
        <v>0.17899999999999999</v>
      </c>
      <c r="AE1203">
        <v>10.55</v>
      </c>
      <c r="AF1203">
        <v>0</v>
      </c>
      <c r="AG1203">
        <v>0.622</v>
      </c>
      <c r="AH1203">
        <v>42.469000000000001</v>
      </c>
      <c r="AI1203" t="s">
        <v>21</v>
      </c>
      <c r="AJ1203">
        <v>650</v>
      </c>
      <c r="AK1203">
        <v>100</v>
      </c>
      <c r="AL1203">
        <v>130</v>
      </c>
      <c r="AM1203">
        <v>0</v>
      </c>
      <c r="AN1203">
        <v>0</v>
      </c>
      <c r="AO1203">
        <v>0</v>
      </c>
      <c r="AP1203">
        <v>20</v>
      </c>
      <c r="AQ1203">
        <v>20</v>
      </c>
      <c r="AR1203">
        <v>0</v>
      </c>
      <c r="AS1203">
        <v>20</v>
      </c>
      <c r="AT1203">
        <v>940</v>
      </c>
      <c r="AU1203" t="s">
        <v>33</v>
      </c>
    </row>
    <row r="1204" spans="1:47" x14ac:dyDescent="0.2">
      <c r="A1204">
        <v>538</v>
      </c>
      <c r="B1204" t="s">
        <v>356</v>
      </c>
      <c r="C1204">
        <v>57</v>
      </c>
      <c r="D1204" t="s">
        <v>375</v>
      </c>
      <c r="G1204" t="str">
        <f t="shared" si="18"/>
        <v>HLY120157BarC5</v>
      </c>
      <c r="H1204">
        <v>71.400999999999996</v>
      </c>
      <c r="I1204">
        <v>-157.536</v>
      </c>
      <c r="J1204" s="3">
        <v>20120822</v>
      </c>
      <c r="K1204">
        <v>2012</v>
      </c>
      <c r="L1204">
        <v>10.16151</v>
      </c>
      <c r="M1204">
        <v>99.091179999999994</v>
      </c>
      <c r="N1204">
        <v>1.4223699999999999</v>
      </c>
      <c r="O1204">
        <v>25.850480000000001</v>
      </c>
      <c r="P1204">
        <v>2.30531</v>
      </c>
      <c r="Q1204">
        <v>0</v>
      </c>
      <c r="R1204">
        <v>0.95574999999999999</v>
      </c>
      <c r="S1204">
        <v>2.7951999999999999</v>
      </c>
      <c r="T1204">
        <v>0.21576000000000001</v>
      </c>
      <c r="U1204">
        <v>0.28977000000000003</v>
      </c>
      <c r="V1204">
        <v>143.08733000000001</v>
      </c>
      <c r="W1204" t="s">
        <v>10</v>
      </c>
      <c r="X1204">
        <v>154.125</v>
      </c>
      <c r="Y1204">
        <v>3519.12</v>
      </c>
      <c r="Z1204">
        <v>18.469000000000001</v>
      </c>
      <c r="AA1204">
        <v>574.45500000000004</v>
      </c>
      <c r="AB1204">
        <v>164.66499999999999</v>
      </c>
      <c r="AC1204">
        <v>0</v>
      </c>
      <c r="AD1204">
        <v>15.667999999999999</v>
      </c>
      <c r="AE1204">
        <v>68.364000000000004</v>
      </c>
      <c r="AF1204">
        <v>2.3199999999999998</v>
      </c>
      <c r="AG1204">
        <v>15.725</v>
      </c>
      <c r="AH1204">
        <v>4532.9110000000001</v>
      </c>
      <c r="AI1204" t="s">
        <v>22</v>
      </c>
      <c r="AJ1204">
        <v>6647.5</v>
      </c>
      <c r="AK1204">
        <v>7102.5</v>
      </c>
      <c r="AL1204">
        <v>5705</v>
      </c>
      <c r="AM1204">
        <v>1032.5</v>
      </c>
      <c r="AN1204">
        <v>205</v>
      </c>
      <c r="AO1204">
        <v>0</v>
      </c>
      <c r="AP1204">
        <v>5</v>
      </c>
      <c r="AQ1204">
        <v>15</v>
      </c>
      <c r="AR1204">
        <v>65</v>
      </c>
      <c r="AS1204">
        <v>120</v>
      </c>
      <c r="AT1204">
        <v>20897.5</v>
      </c>
      <c r="AU1204" t="s">
        <v>34</v>
      </c>
    </row>
    <row r="1205" spans="1:47" x14ac:dyDescent="0.2">
      <c r="A1205">
        <v>539</v>
      </c>
      <c r="B1205" t="s">
        <v>356</v>
      </c>
      <c r="C1205">
        <v>58</v>
      </c>
      <c r="D1205" t="s">
        <v>376</v>
      </c>
      <c r="G1205" t="str">
        <f t="shared" si="18"/>
        <v>HLY120158BarC6</v>
      </c>
      <c r="H1205">
        <v>71.45</v>
      </c>
      <c r="I1205">
        <v>-157.60900000000001</v>
      </c>
      <c r="J1205" s="3">
        <v>20120822</v>
      </c>
      <c r="K1205">
        <v>2012</v>
      </c>
      <c r="L1205">
        <v>22.115279999999998</v>
      </c>
      <c r="M1205">
        <v>2.91378</v>
      </c>
      <c r="N1205">
        <v>7.4770500000000002</v>
      </c>
      <c r="O1205">
        <v>40.663310000000003</v>
      </c>
      <c r="P1205">
        <v>1.24133</v>
      </c>
      <c r="Q1205">
        <v>0</v>
      </c>
      <c r="R1205">
        <v>8.4629999999999997E-2</v>
      </c>
      <c r="S1205">
        <v>0</v>
      </c>
      <c r="T1205">
        <v>1.8667</v>
      </c>
      <c r="U1205">
        <v>2.375E-2</v>
      </c>
      <c r="V1205">
        <v>76.385829999999999</v>
      </c>
      <c r="W1205" t="s">
        <v>12</v>
      </c>
      <c r="X1205">
        <v>316.25799999999998</v>
      </c>
      <c r="Y1205">
        <v>103.96</v>
      </c>
      <c r="Z1205">
        <v>106.952</v>
      </c>
      <c r="AA1205">
        <v>903.62900000000002</v>
      </c>
      <c r="AB1205">
        <v>88.667000000000002</v>
      </c>
      <c r="AC1205">
        <v>0</v>
      </c>
      <c r="AD1205">
        <v>1.583</v>
      </c>
      <c r="AE1205">
        <v>0</v>
      </c>
      <c r="AF1205">
        <v>20.071999999999999</v>
      </c>
      <c r="AG1205">
        <v>0.38300000000000001</v>
      </c>
      <c r="AH1205">
        <v>1541.5039999999999</v>
      </c>
      <c r="AI1205" t="s">
        <v>24</v>
      </c>
      <c r="AJ1205">
        <v>18050</v>
      </c>
      <c r="AK1205">
        <v>350</v>
      </c>
      <c r="AL1205">
        <v>27520</v>
      </c>
      <c r="AM1205">
        <v>1420</v>
      </c>
      <c r="AN1205">
        <v>120</v>
      </c>
      <c r="AO1205">
        <v>0</v>
      </c>
      <c r="AP1205">
        <v>0</v>
      </c>
      <c r="AQ1205">
        <v>0</v>
      </c>
      <c r="AR1205">
        <v>60</v>
      </c>
      <c r="AS1205">
        <v>30</v>
      </c>
      <c r="AT1205">
        <v>47550</v>
      </c>
      <c r="AU1205" t="s">
        <v>35</v>
      </c>
    </row>
    <row r="1206" spans="1:47" x14ac:dyDescent="0.2">
      <c r="A1206">
        <v>540</v>
      </c>
      <c r="B1206" t="s">
        <v>356</v>
      </c>
      <c r="C1206">
        <v>59</v>
      </c>
      <c r="D1206" t="s">
        <v>377</v>
      </c>
      <c r="G1206" t="str">
        <f t="shared" si="18"/>
        <v>HLY120159BarC7</v>
      </c>
      <c r="H1206">
        <v>71.492999999999995</v>
      </c>
      <c r="I1206">
        <v>-157.67500000000001</v>
      </c>
      <c r="J1206" s="3">
        <v>20120822</v>
      </c>
      <c r="K1206">
        <v>2012</v>
      </c>
      <c r="L1206">
        <v>25.15269</v>
      </c>
      <c r="M1206">
        <v>1.88215</v>
      </c>
      <c r="N1206">
        <v>1.57521</v>
      </c>
      <c r="O1206">
        <v>10.728719999999999</v>
      </c>
      <c r="P1206">
        <v>0.55615000000000003</v>
      </c>
      <c r="Q1206">
        <v>0</v>
      </c>
      <c r="R1206">
        <v>1.0919999999999999E-2</v>
      </c>
      <c r="S1206">
        <v>0</v>
      </c>
      <c r="T1206">
        <v>5.4900000000000001E-3</v>
      </c>
      <c r="U1206">
        <v>1.485E-2</v>
      </c>
      <c r="V1206">
        <v>39.926180000000002</v>
      </c>
      <c r="W1206" t="s">
        <v>9</v>
      </c>
      <c r="X1206">
        <v>356.20400000000001</v>
      </c>
      <c r="Y1206">
        <v>70.231999999999999</v>
      </c>
      <c r="Z1206">
        <v>21.096</v>
      </c>
      <c r="AA1206">
        <v>238.416</v>
      </c>
      <c r="AB1206">
        <v>39.725000000000001</v>
      </c>
      <c r="AC1206">
        <v>0</v>
      </c>
      <c r="AD1206">
        <v>0.27300000000000002</v>
      </c>
      <c r="AE1206">
        <v>0</v>
      </c>
      <c r="AF1206">
        <v>5.8999999999999997E-2</v>
      </c>
      <c r="AG1206">
        <v>0.35899999999999999</v>
      </c>
      <c r="AH1206">
        <v>726.36400000000003</v>
      </c>
      <c r="AI1206" t="s">
        <v>21</v>
      </c>
      <c r="AJ1206">
        <v>10780</v>
      </c>
      <c r="AK1206">
        <v>410</v>
      </c>
      <c r="AL1206">
        <v>1870</v>
      </c>
      <c r="AM1206">
        <v>60</v>
      </c>
      <c r="AN1206">
        <v>70</v>
      </c>
      <c r="AO1206">
        <v>0</v>
      </c>
      <c r="AP1206">
        <v>10</v>
      </c>
      <c r="AQ1206">
        <v>0</v>
      </c>
      <c r="AR1206">
        <v>20</v>
      </c>
      <c r="AS1206">
        <v>40</v>
      </c>
      <c r="AT1206">
        <v>13260</v>
      </c>
      <c r="AU1206" t="s">
        <v>33</v>
      </c>
    </row>
    <row r="1207" spans="1:47" x14ac:dyDescent="0.2">
      <c r="A1207">
        <v>541</v>
      </c>
      <c r="B1207" t="s">
        <v>356</v>
      </c>
      <c r="C1207">
        <v>6</v>
      </c>
      <c r="D1207" t="s">
        <v>378</v>
      </c>
      <c r="G1207" t="str">
        <f t="shared" si="18"/>
        <v>HLY12016H24</v>
      </c>
      <c r="H1207">
        <v>71.625</v>
      </c>
      <c r="I1207">
        <v>-164.79</v>
      </c>
      <c r="J1207" s="3">
        <v>20120813</v>
      </c>
      <c r="K1207">
        <v>2012</v>
      </c>
      <c r="L1207">
        <v>6.9101400000000002</v>
      </c>
      <c r="M1207">
        <v>3.5548299999999999</v>
      </c>
      <c r="N1207">
        <v>0.12289</v>
      </c>
      <c r="O1207">
        <v>3.1288499999999999</v>
      </c>
      <c r="P1207">
        <v>0.16891999999999999</v>
      </c>
      <c r="Q1207">
        <v>0</v>
      </c>
      <c r="R1207">
        <v>2.0619999999999999E-2</v>
      </c>
      <c r="S1207">
        <v>0</v>
      </c>
      <c r="T1207">
        <v>0.89326000000000005</v>
      </c>
      <c r="U1207">
        <v>2.1180000000000001E-2</v>
      </c>
      <c r="V1207">
        <v>14.820690000000001</v>
      </c>
      <c r="W1207" t="s">
        <v>9</v>
      </c>
      <c r="X1207">
        <v>97.44</v>
      </c>
      <c r="Y1207">
        <v>188.46199999999999</v>
      </c>
      <c r="Z1207">
        <v>1.72</v>
      </c>
      <c r="AA1207">
        <v>69.53</v>
      </c>
      <c r="AB1207">
        <v>12.066000000000001</v>
      </c>
      <c r="AC1207">
        <v>0</v>
      </c>
      <c r="AD1207">
        <v>0.33800000000000002</v>
      </c>
      <c r="AE1207">
        <v>0</v>
      </c>
      <c r="AF1207">
        <v>9.6050000000000004</v>
      </c>
      <c r="AG1207">
        <v>0.46800000000000003</v>
      </c>
      <c r="AH1207">
        <v>379.62900000000002</v>
      </c>
      <c r="AI1207" t="s">
        <v>22</v>
      </c>
      <c r="AJ1207">
        <v>1367.5</v>
      </c>
      <c r="AK1207">
        <v>1285</v>
      </c>
      <c r="AL1207">
        <v>565</v>
      </c>
      <c r="AM1207">
        <v>37.5</v>
      </c>
      <c r="AN1207">
        <v>47.5</v>
      </c>
      <c r="AO1207">
        <v>0</v>
      </c>
      <c r="AP1207">
        <v>0</v>
      </c>
      <c r="AQ1207">
        <v>0</v>
      </c>
      <c r="AR1207">
        <v>20</v>
      </c>
      <c r="AS1207">
        <v>105</v>
      </c>
      <c r="AT1207">
        <v>3427.5</v>
      </c>
      <c r="AU1207" t="s">
        <v>33</v>
      </c>
    </row>
    <row r="1208" spans="1:47" x14ac:dyDescent="0.2">
      <c r="A1208">
        <v>542</v>
      </c>
      <c r="B1208" t="s">
        <v>356</v>
      </c>
      <c r="C1208">
        <v>60</v>
      </c>
      <c r="D1208" t="s">
        <v>379</v>
      </c>
      <c r="G1208" t="str">
        <f t="shared" si="18"/>
        <v>HLY120160BarC8</v>
      </c>
      <c r="H1208">
        <v>71.534000000000006</v>
      </c>
      <c r="I1208">
        <v>-157.76</v>
      </c>
      <c r="J1208" s="3">
        <v>20120823</v>
      </c>
      <c r="K1208">
        <v>2012</v>
      </c>
      <c r="L1208">
        <v>4.1443300000000001</v>
      </c>
      <c r="M1208">
        <v>1.4200900000000001</v>
      </c>
      <c r="N1208">
        <v>0.19949</v>
      </c>
      <c r="O1208">
        <v>7.5965400000000001</v>
      </c>
      <c r="P1208">
        <v>0.40986</v>
      </c>
      <c r="Q1208">
        <v>0</v>
      </c>
      <c r="R1208">
        <v>0</v>
      </c>
      <c r="S1208">
        <v>0.33018999999999998</v>
      </c>
      <c r="T1208">
        <v>1.507E-2</v>
      </c>
      <c r="U1208">
        <v>9.0910000000000005E-2</v>
      </c>
      <c r="V1208">
        <v>14.206480000000001</v>
      </c>
      <c r="W1208" t="s">
        <v>12</v>
      </c>
      <c r="X1208">
        <v>58.945999999999998</v>
      </c>
      <c r="Y1208">
        <v>49.316000000000003</v>
      </c>
      <c r="Z1208">
        <v>2.6419999999999999</v>
      </c>
      <c r="AA1208">
        <v>168.81200000000001</v>
      </c>
      <c r="AB1208">
        <v>29.276</v>
      </c>
      <c r="AC1208">
        <v>0</v>
      </c>
      <c r="AD1208">
        <v>0</v>
      </c>
      <c r="AE1208">
        <v>23.585000000000001</v>
      </c>
      <c r="AF1208">
        <v>0.16200000000000001</v>
      </c>
      <c r="AG1208">
        <v>2.4950000000000001</v>
      </c>
      <c r="AH1208">
        <v>335.23399999999998</v>
      </c>
      <c r="AI1208" t="s">
        <v>24</v>
      </c>
      <c r="AJ1208">
        <v>1700</v>
      </c>
      <c r="AK1208">
        <v>670</v>
      </c>
      <c r="AL1208">
        <v>440</v>
      </c>
      <c r="AM1208">
        <v>30</v>
      </c>
      <c r="AN1208">
        <v>60</v>
      </c>
      <c r="AO1208">
        <v>0</v>
      </c>
      <c r="AP1208">
        <v>0</v>
      </c>
      <c r="AQ1208">
        <v>10</v>
      </c>
      <c r="AR1208">
        <v>10</v>
      </c>
      <c r="AS1208">
        <v>350</v>
      </c>
      <c r="AT1208">
        <v>3270</v>
      </c>
      <c r="AU1208" t="s">
        <v>33</v>
      </c>
    </row>
    <row r="1209" spans="1:47" x14ac:dyDescent="0.2">
      <c r="A1209">
        <v>543</v>
      </c>
      <c r="B1209" t="s">
        <v>356</v>
      </c>
      <c r="C1209">
        <v>61</v>
      </c>
      <c r="D1209" t="s">
        <v>380</v>
      </c>
      <c r="G1209" t="str">
        <f t="shared" si="18"/>
        <v>HLY120161BarC9</v>
      </c>
      <c r="H1209">
        <v>71.575000000000003</v>
      </c>
      <c r="I1209">
        <v>-157.839</v>
      </c>
      <c r="J1209" s="3">
        <v>20120823</v>
      </c>
      <c r="K1209">
        <v>2012</v>
      </c>
      <c r="L1209">
        <v>2.4280300000000001</v>
      </c>
      <c r="M1209">
        <v>3.0455999999999999</v>
      </c>
      <c r="N1209">
        <v>0.45149</v>
      </c>
      <c r="O1209">
        <v>1.1299999999999999E-3</v>
      </c>
      <c r="P1209">
        <v>1.8000000000000001E-4</v>
      </c>
      <c r="Q1209">
        <v>0</v>
      </c>
      <c r="R1209">
        <v>3.6999999999999999E-4</v>
      </c>
      <c r="S1209">
        <v>0</v>
      </c>
      <c r="T1209">
        <v>6.8169999999999994E-2</v>
      </c>
      <c r="U1209">
        <v>3.7600000000000001E-2</v>
      </c>
      <c r="V1209">
        <v>6.0325699999999998</v>
      </c>
      <c r="W1209" t="s">
        <v>10</v>
      </c>
      <c r="X1209">
        <v>34.173999999999999</v>
      </c>
      <c r="Y1209">
        <v>86.619</v>
      </c>
      <c r="Z1209">
        <v>6.3819999999999997</v>
      </c>
      <c r="AA1209">
        <v>2.5000000000000001E-2</v>
      </c>
      <c r="AB1209">
        <v>1.2999999999999999E-2</v>
      </c>
      <c r="AC1209">
        <v>0</v>
      </c>
      <c r="AD1209">
        <v>6.0000000000000001E-3</v>
      </c>
      <c r="AE1209">
        <v>0</v>
      </c>
      <c r="AF1209">
        <v>0.73299999999999998</v>
      </c>
      <c r="AG1209">
        <v>0.8</v>
      </c>
      <c r="AH1209">
        <v>128.75200000000001</v>
      </c>
      <c r="AI1209" t="s">
        <v>22</v>
      </c>
      <c r="AJ1209">
        <v>560</v>
      </c>
      <c r="AK1209">
        <v>750</v>
      </c>
      <c r="AL1209">
        <v>400</v>
      </c>
      <c r="AM1209">
        <v>10</v>
      </c>
      <c r="AN1209">
        <v>10</v>
      </c>
      <c r="AO1209">
        <v>0</v>
      </c>
      <c r="AP1209">
        <v>10</v>
      </c>
      <c r="AQ1209">
        <v>0</v>
      </c>
      <c r="AR1209">
        <v>20</v>
      </c>
      <c r="AS1209">
        <v>50</v>
      </c>
      <c r="AT1209">
        <v>1810</v>
      </c>
      <c r="AU1209" t="s">
        <v>34</v>
      </c>
    </row>
    <row r="1210" spans="1:47" x14ac:dyDescent="0.2">
      <c r="A1210">
        <v>544</v>
      </c>
      <c r="B1210" t="s">
        <v>356</v>
      </c>
      <c r="C1210">
        <v>62</v>
      </c>
      <c r="D1210" t="s">
        <v>381</v>
      </c>
      <c r="G1210" t="str">
        <f t="shared" si="18"/>
        <v>HLY120162BarC10</v>
      </c>
      <c r="H1210">
        <v>71.613</v>
      </c>
      <c r="I1210">
        <v>-157.916</v>
      </c>
      <c r="J1210" s="3">
        <v>20120823</v>
      </c>
      <c r="K1210">
        <v>2012</v>
      </c>
      <c r="L1210">
        <v>0.93139000000000005</v>
      </c>
      <c r="M1210">
        <v>2.2422800000000001</v>
      </c>
      <c r="N1210">
        <v>7.4329999999999993E-2</v>
      </c>
      <c r="O1210">
        <v>0</v>
      </c>
      <c r="P1210">
        <v>6.9999999999999994E-5</v>
      </c>
      <c r="Q1210">
        <v>0</v>
      </c>
      <c r="R1210">
        <v>3.5400000000000002E-3</v>
      </c>
      <c r="S1210">
        <v>0</v>
      </c>
      <c r="T1210">
        <v>0</v>
      </c>
      <c r="U1210">
        <v>0.63339000000000001</v>
      </c>
      <c r="V1210">
        <v>3.8849999999999998</v>
      </c>
      <c r="W1210" t="s">
        <v>10</v>
      </c>
      <c r="X1210">
        <v>13.414</v>
      </c>
      <c r="Y1210">
        <v>57.868000000000002</v>
      </c>
      <c r="Z1210">
        <v>0.96599999999999997</v>
      </c>
      <c r="AA1210">
        <v>0</v>
      </c>
      <c r="AB1210">
        <v>5.0000000000000001E-3</v>
      </c>
      <c r="AC1210">
        <v>0</v>
      </c>
      <c r="AD1210">
        <v>5.8000000000000003E-2</v>
      </c>
      <c r="AE1210">
        <v>0</v>
      </c>
      <c r="AF1210">
        <v>0</v>
      </c>
      <c r="AG1210">
        <v>61.255000000000003</v>
      </c>
      <c r="AH1210">
        <v>133.566</v>
      </c>
      <c r="AI1210" t="s">
        <v>30</v>
      </c>
      <c r="AJ1210">
        <v>290</v>
      </c>
      <c r="AK1210">
        <v>1020</v>
      </c>
      <c r="AL1210">
        <v>140</v>
      </c>
      <c r="AM1210">
        <v>0</v>
      </c>
      <c r="AN1210">
        <v>10</v>
      </c>
      <c r="AO1210">
        <v>0</v>
      </c>
      <c r="AP1210">
        <v>0</v>
      </c>
      <c r="AQ1210">
        <v>0</v>
      </c>
      <c r="AR1210">
        <v>0</v>
      </c>
      <c r="AS1210">
        <v>50</v>
      </c>
      <c r="AT1210">
        <v>1510</v>
      </c>
      <c r="AU1210" t="s">
        <v>34</v>
      </c>
    </row>
    <row r="1211" spans="1:47" x14ac:dyDescent="0.2">
      <c r="A1211">
        <v>545</v>
      </c>
      <c r="B1211" t="s">
        <v>356</v>
      </c>
      <c r="C1211">
        <v>66</v>
      </c>
      <c r="D1211" t="s">
        <v>382</v>
      </c>
      <c r="G1211" t="str">
        <f t="shared" si="18"/>
        <v>HLY120166H38</v>
      </c>
      <c r="H1211">
        <v>71.611000000000004</v>
      </c>
      <c r="I1211">
        <v>-159.36000000000001</v>
      </c>
      <c r="J1211" s="3">
        <v>20120823</v>
      </c>
      <c r="K1211">
        <v>2012</v>
      </c>
      <c r="L1211">
        <v>1.24699</v>
      </c>
      <c r="M1211">
        <v>12.25625</v>
      </c>
      <c r="N1211">
        <v>7.1819999999999995E-2</v>
      </c>
      <c r="O1211">
        <v>1.08E-3</v>
      </c>
      <c r="P1211">
        <v>9.7049999999999997E-2</v>
      </c>
      <c r="Q1211">
        <v>0</v>
      </c>
      <c r="R1211">
        <v>4.8999999999999998E-4</v>
      </c>
      <c r="S1211">
        <v>0</v>
      </c>
      <c r="T1211">
        <v>0.14777999999999999</v>
      </c>
      <c r="U1211">
        <v>0.27907999999999999</v>
      </c>
      <c r="V1211">
        <v>14.100540000000001</v>
      </c>
      <c r="W1211" t="s">
        <v>10</v>
      </c>
      <c r="X1211">
        <v>18.795000000000002</v>
      </c>
      <c r="Y1211">
        <v>379.73099999999999</v>
      </c>
      <c r="Z1211">
        <v>1.036</v>
      </c>
      <c r="AA1211">
        <v>2.4E-2</v>
      </c>
      <c r="AB1211">
        <v>6.9320000000000004</v>
      </c>
      <c r="AC1211">
        <v>0</v>
      </c>
      <c r="AD1211">
        <v>8.0000000000000002E-3</v>
      </c>
      <c r="AE1211">
        <v>0</v>
      </c>
      <c r="AF1211">
        <v>1.589</v>
      </c>
      <c r="AG1211">
        <v>6.0810000000000004</v>
      </c>
      <c r="AH1211">
        <v>414.19600000000003</v>
      </c>
      <c r="AI1211" t="s">
        <v>22</v>
      </c>
      <c r="AJ1211">
        <v>652.5</v>
      </c>
      <c r="AK1211">
        <v>1150</v>
      </c>
      <c r="AL1211">
        <v>50</v>
      </c>
      <c r="AM1211">
        <v>5</v>
      </c>
      <c r="AN1211">
        <v>2.5</v>
      </c>
      <c r="AO1211">
        <v>0</v>
      </c>
      <c r="AP1211">
        <v>0</v>
      </c>
      <c r="AQ1211">
        <v>0</v>
      </c>
      <c r="AR1211">
        <v>22.5</v>
      </c>
      <c r="AS1211">
        <v>60</v>
      </c>
      <c r="AT1211">
        <v>1942.5</v>
      </c>
      <c r="AU1211" t="s">
        <v>34</v>
      </c>
    </row>
    <row r="1212" spans="1:47" x14ac:dyDescent="0.2">
      <c r="A1212">
        <v>546</v>
      </c>
      <c r="B1212" t="s">
        <v>356</v>
      </c>
      <c r="C1212">
        <v>67</v>
      </c>
      <c r="D1212" t="s">
        <v>383</v>
      </c>
      <c r="G1212" t="str">
        <f t="shared" si="18"/>
        <v>HLY120167CBL14/H26</v>
      </c>
      <c r="H1212">
        <v>71.373000000000005</v>
      </c>
      <c r="I1212">
        <v>-159.41399999999999</v>
      </c>
      <c r="J1212" s="3">
        <v>20120823</v>
      </c>
      <c r="K1212">
        <v>2012</v>
      </c>
      <c r="L1212">
        <v>7.0284000000000004</v>
      </c>
      <c r="M1212">
        <v>5.0968600000000004</v>
      </c>
      <c r="N1212">
        <v>1.1384000000000001</v>
      </c>
      <c r="O1212">
        <v>2.6457299999999999</v>
      </c>
      <c r="P1212">
        <v>0.35239999999999999</v>
      </c>
      <c r="Q1212">
        <v>0</v>
      </c>
      <c r="R1212">
        <v>0.11214</v>
      </c>
      <c r="S1212">
        <v>0</v>
      </c>
      <c r="T1212">
        <v>0.20469000000000001</v>
      </c>
      <c r="U1212">
        <v>0.59355999999999998</v>
      </c>
      <c r="V1212">
        <v>17.172180000000001</v>
      </c>
      <c r="W1212" t="s">
        <v>9</v>
      </c>
      <c r="X1212">
        <v>99.123000000000005</v>
      </c>
      <c r="Y1212">
        <v>260.14499999999998</v>
      </c>
      <c r="Z1212">
        <v>16.408000000000001</v>
      </c>
      <c r="AA1212">
        <v>58.793999999999997</v>
      </c>
      <c r="AB1212">
        <v>25.172000000000001</v>
      </c>
      <c r="AC1212">
        <v>0</v>
      </c>
      <c r="AD1212">
        <v>1.841</v>
      </c>
      <c r="AE1212">
        <v>0</v>
      </c>
      <c r="AF1212">
        <v>2.2010000000000001</v>
      </c>
      <c r="AG1212">
        <v>22.821000000000002</v>
      </c>
      <c r="AH1212">
        <v>486.505</v>
      </c>
      <c r="AI1212" t="s">
        <v>22</v>
      </c>
      <c r="AJ1212">
        <v>2005</v>
      </c>
      <c r="AK1212">
        <v>635</v>
      </c>
      <c r="AL1212">
        <v>795</v>
      </c>
      <c r="AM1212">
        <v>82.5</v>
      </c>
      <c r="AN1212">
        <v>37.5</v>
      </c>
      <c r="AO1212">
        <v>0</v>
      </c>
      <c r="AP1212">
        <v>7.5</v>
      </c>
      <c r="AQ1212">
        <v>0</v>
      </c>
      <c r="AR1212">
        <v>30</v>
      </c>
      <c r="AS1212">
        <v>127.5</v>
      </c>
      <c r="AT1212">
        <v>3720</v>
      </c>
      <c r="AU1212" t="s">
        <v>33</v>
      </c>
    </row>
    <row r="1213" spans="1:47" x14ac:dyDescent="0.2">
      <c r="A1213">
        <v>547</v>
      </c>
      <c r="B1213" t="s">
        <v>356</v>
      </c>
      <c r="C1213">
        <v>7</v>
      </c>
      <c r="D1213" t="s">
        <v>384</v>
      </c>
      <c r="G1213" t="str">
        <f t="shared" si="18"/>
        <v>HLY12017CBL11=H23</v>
      </c>
      <c r="H1213">
        <v>72.105000000000004</v>
      </c>
      <c r="I1213">
        <v>-165.434</v>
      </c>
      <c r="J1213" s="3">
        <v>20120813</v>
      </c>
      <c r="K1213">
        <v>2012</v>
      </c>
      <c r="L1213">
        <v>1.0519000000000001</v>
      </c>
      <c r="M1213">
        <v>3.5993400000000002</v>
      </c>
      <c r="N1213">
        <v>0.30210999999999999</v>
      </c>
      <c r="O1213">
        <v>3.37968</v>
      </c>
      <c r="P1213">
        <v>6.9999999999999994E-5</v>
      </c>
      <c r="Q1213">
        <v>0</v>
      </c>
      <c r="R1213">
        <v>2.4000000000000001E-4</v>
      </c>
      <c r="S1213">
        <v>0</v>
      </c>
      <c r="T1213">
        <v>9.0000000000000006E-5</v>
      </c>
      <c r="U1213">
        <v>3.5150000000000001E-2</v>
      </c>
      <c r="V1213">
        <v>8.3685799999999997</v>
      </c>
      <c r="W1213" t="s">
        <v>10</v>
      </c>
      <c r="X1213">
        <v>17.951000000000001</v>
      </c>
      <c r="Y1213">
        <v>88.123000000000005</v>
      </c>
      <c r="Z1213">
        <v>4.1150000000000002</v>
      </c>
      <c r="AA1213">
        <v>75.103999999999999</v>
      </c>
      <c r="AB1213">
        <v>5.0000000000000001E-3</v>
      </c>
      <c r="AC1213">
        <v>0</v>
      </c>
      <c r="AD1213">
        <v>4.0000000000000001E-3</v>
      </c>
      <c r="AE1213">
        <v>0</v>
      </c>
      <c r="AF1213">
        <v>1E-3</v>
      </c>
      <c r="AG1213">
        <v>0.67600000000000005</v>
      </c>
      <c r="AH1213">
        <v>185.97900000000001</v>
      </c>
      <c r="AI1213" t="s">
        <v>22</v>
      </c>
      <c r="AJ1213">
        <v>285</v>
      </c>
      <c r="AK1213">
        <v>830</v>
      </c>
      <c r="AL1213">
        <v>75</v>
      </c>
      <c r="AM1213">
        <v>7.5</v>
      </c>
      <c r="AN1213">
        <v>5</v>
      </c>
      <c r="AO1213">
        <v>0</v>
      </c>
      <c r="AP1213">
        <v>0</v>
      </c>
      <c r="AQ1213">
        <v>0</v>
      </c>
      <c r="AR1213">
        <v>0</v>
      </c>
      <c r="AS1213">
        <v>47.5</v>
      </c>
      <c r="AT1213">
        <v>1250</v>
      </c>
      <c r="AU1213" t="s">
        <v>34</v>
      </c>
    </row>
    <row r="1214" spans="1:47" x14ac:dyDescent="0.2">
      <c r="A1214">
        <v>548</v>
      </c>
      <c r="B1214" t="s">
        <v>356</v>
      </c>
      <c r="C1214">
        <v>70</v>
      </c>
      <c r="D1214" t="s">
        <v>385</v>
      </c>
      <c r="G1214" t="str">
        <f t="shared" si="18"/>
        <v>HLY120170H37</v>
      </c>
      <c r="H1214">
        <v>71.546999999999997</v>
      </c>
      <c r="I1214">
        <v>-160.67099999999999</v>
      </c>
      <c r="J1214" s="3">
        <v>20120824</v>
      </c>
      <c r="K1214">
        <v>2012</v>
      </c>
      <c r="L1214">
        <v>2.1780200000000001</v>
      </c>
      <c r="M1214">
        <v>14.363799999999999</v>
      </c>
      <c r="N1214">
        <v>0.11330999999999999</v>
      </c>
      <c r="O1214">
        <v>3.24288</v>
      </c>
      <c r="P1214">
        <v>0</v>
      </c>
      <c r="Q1214">
        <v>0</v>
      </c>
      <c r="R1214">
        <v>0.44864999999999999</v>
      </c>
      <c r="S1214">
        <v>4.62E-3</v>
      </c>
      <c r="T1214">
        <v>0.41032000000000002</v>
      </c>
      <c r="U1214">
        <v>0.19719999999999999</v>
      </c>
      <c r="V1214">
        <v>20.9588</v>
      </c>
      <c r="W1214" t="s">
        <v>10</v>
      </c>
      <c r="X1214">
        <v>33.578000000000003</v>
      </c>
      <c r="Y1214">
        <v>388.721</v>
      </c>
      <c r="Z1214">
        <v>1.6</v>
      </c>
      <c r="AA1214">
        <v>72.063999999999993</v>
      </c>
      <c r="AB1214">
        <v>0</v>
      </c>
      <c r="AC1214">
        <v>0</v>
      </c>
      <c r="AD1214">
        <v>7.3550000000000004</v>
      </c>
      <c r="AE1214">
        <v>0.33</v>
      </c>
      <c r="AF1214">
        <v>4.4119999999999999</v>
      </c>
      <c r="AG1214">
        <v>3.6179999999999999</v>
      </c>
      <c r="AH1214">
        <v>511.678</v>
      </c>
      <c r="AI1214" t="s">
        <v>22</v>
      </c>
      <c r="AJ1214">
        <v>2015</v>
      </c>
      <c r="AK1214">
        <v>1457.5</v>
      </c>
      <c r="AL1214">
        <v>20</v>
      </c>
      <c r="AM1214">
        <v>7.5</v>
      </c>
      <c r="AN1214">
        <v>0</v>
      </c>
      <c r="AO1214">
        <v>0</v>
      </c>
      <c r="AP1214">
        <v>10</v>
      </c>
      <c r="AQ1214">
        <v>5</v>
      </c>
      <c r="AR1214">
        <v>32.5</v>
      </c>
      <c r="AS1214">
        <v>87.5</v>
      </c>
      <c r="AT1214">
        <v>3635</v>
      </c>
      <c r="AU1214" t="s">
        <v>33</v>
      </c>
    </row>
    <row r="1215" spans="1:47" x14ac:dyDescent="0.2">
      <c r="A1215">
        <v>549</v>
      </c>
      <c r="B1215" t="s">
        <v>356</v>
      </c>
      <c r="C1215">
        <v>72</v>
      </c>
      <c r="D1215" t="s">
        <v>148</v>
      </c>
      <c r="G1215" t="str">
        <f t="shared" si="18"/>
        <v>HLY120172CBL15</v>
      </c>
      <c r="H1215">
        <v>71.721999999999994</v>
      </c>
      <c r="I1215">
        <v>-160.70099999999999</v>
      </c>
      <c r="J1215" s="3">
        <v>20120824</v>
      </c>
      <c r="K1215">
        <v>2012</v>
      </c>
      <c r="L1215">
        <v>1.88872</v>
      </c>
      <c r="M1215">
        <v>14.715719999999999</v>
      </c>
      <c r="N1215">
        <v>0.12878000000000001</v>
      </c>
      <c r="O1215">
        <v>0</v>
      </c>
      <c r="P1215">
        <v>6.0000000000000002E-5</v>
      </c>
      <c r="Q1215">
        <v>0</v>
      </c>
      <c r="R1215">
        <v>2.81E-3</v>
      </c>
      <c r="S1215">
        <v>0</v>
      </c>
      <c r="T1215">
        <v>0.19789999999999999</v>
      </c>
      <c r="U1215">
        <v>2.385E-2</v>
      </c>
      <c r="V1215">
        <v>16.957840000000001</v>
      </c>
      <c r="W1215" t="s">
        <v>10</v>
      </c>
      <c r="X1215">
        <v>28.056000000000001</v>
      </c>
      <c r="Y1215">
        <v>435.66899999999998</v>
      </c>
      <c r="Z1215">
        <v>1.81</v>
      </c>
      <c r="AA1215">
        <v>0</v>
      </c>
      <c r="AB1215">
        <v>4.0000000000000001E-3</v>
      </c>
      <c r="AC1215">
        <v>0</v>
      </c>
      <c r="AD1215">
        <v>4.5999999999999999E-2</v>
      </c>
      <c r="AE1215">
        <v>0</v>
      </c>
      <c r="AF1215">
        <v>2.1280000000000001</v>
      </c>
      <c r="AG1215">
        <v>0.72799999999999998</v>
      </c>
      <c r="AH1215">
        <v>468.44099999999997</v>
      </c>
      <c r="AI1215" t="s">
        <v>22</v>
      </c>
      <c r="AJ1215">
        <v>785</v>
      </c>
      <c r="AK1215">
        <v>2000</v>
      </c>
      <c r="AL1215">
        <v>55</v>
      </c>
      <c r="AM1215">
        <v>0</v>
      </c>
      <c r="AN1215">
        <v>2.5</v>
      </c>
      <c r="AO1215">
        <v>0</v>
      </c>
      <c r="AP1215">
        <v>0</v>
      </c>
      <c r="AQ1215">
        <v>0</v>
      </c>
      <c r="AR1215">
        <v>15</v>
      </c>
      <c r="AS1215">
        <v>60</v>
      </c>
      <c r="AT1215">
        <v>2917.5</v>
      </c>
      <c r="AU1215" t="s">
        <v>34</v>
      </c>
    </row>
    <row r="1216" spans="1:47" x14ac:dyDescent="0.2">
      <c r="A1216">
        <v>550</v>
      </c>
      <c r="B1216" t="s">
        <v>356</v>
      </c>
      <c r="C1216">
        <v>9</v>
      </c>
      <c r="D1216" t="s">
        <v>386</v>
      </c>
      <c r="G1216" t="str">
        <f t="shared" si="18"/>
        <v>HLY12019H21</v>
      </c>
      <c r="H1216">
        <v>72.52</v>
      </c>
      <c r="I1216">
        <v>-164.727</v>
      </c>
      <c r="J1216" s="3">
        <v>20120814</v>
      </c>
      <c r="K1216">
        <v>2012</v>
      </c>
      <c r="L1216">
        <v>3.4316</v>
      </c>
      <c r="M1216">
        <v>10.353579999999999</v>
      </c>
      <c r="N1216">
        <v>1.0109999999999999E-2</v>
      </c>
      <c r="O1216">
        <v>0</v>
      </c>
      <c r="P1216">
        <v>9.9949999999999997E-2</v>
      </c>
      <c r="Q1216">
        <v>0</v>
      </c>
      <c r="R1216">
        <v>2.8000000000000001E-2</v>
      </c>
      <c r="S1216">
        <v>0</v>
      </c>
      <c r="T1216">
        <v>1.2999999999999999E-3</v>
      </c>
      <c r="U1216">
        <v>1.302E-2</v>
      </c>
      <c r="V1216">
        <v>13.93756</v>
      </c>
      <c r="W1216" t="s">
        <v>10</v>
      </c>
      <c r="X1216">
        <v>47.847000000000001</v>
      </c>
      <c r="Y1216">
        <v>267.82100000000003</v>
      </c>
      <c r="Z1216">
        <v>0.129</v>
      </c>
      <c r="AA1216">
        <v>0</v>
      </c>
      <c r="AB1216">
        <v>7.1390000000000002</v>
      </c>
      <c r="AC1216">
        <v>0</v>
      </c>
      <c r="AD1216">
        <v>0.45900000000000002</v>
      </c>
      <c r="AE1216">
        <v>0</v>
      </c>
      <c r="AF1216">
        <v>1.4E-2</v>
      </c>
      <c r="AG1216">
        <v>0.629</v>
      </c>
      <c r="AH1216">
        <v>324.03800000000001</v>
      </c>
      <c r="AI1216" t="s">
        <v>22</v>
      </c>
      <c r="AJ1216">
        <v>162.5</v>
      </c>
      <c r="AK1216">
        <v>1232.5</v>
      </c>
      <c r="AL1216">
        <v>10</v>
      </c>
      <c r="AM1216">
        <v>0</v>
      </c>
      <c r="AN1216">
        <v>15</v>
      </c>
      <c r="AO1216">
        <v>0</v>
      </c>
      <c r="AP1216">
        <v>0</v>
      </c>
      <c r="AQ1216">
        <v>0</v>
      </c>
      <c r="AR1216">
        <v>0</v>
      </c>
      <c r="AS1216">
        <v>22.5</v>
      </c>
      <c r="AT1216">
        <v>1442.5</v>
      </c>
      <c r="AU1216" t="s">
        <v>34</v>
      </c>
    </row>
    <row r="1217" spans="1:47" x14ac:dyDescent="0.2">
      <c r="A1217">
        <v>1568</v>
      </c>
      <c r="B1217" t="s">
        <v>575</v>
      </c>
      <c r="C1217">
        <v>1</v>
      </c>
      <c r="D1217" t="s">
        <v>551</v>
      </c>
      <c r="G1217" t="str">
        <f t="shared" si="18"/>
        <v>SWL20121SLIP1</v>
      </c>
      <c r="H1217">
        <v>62.012</v>
      </c>
      <c r="I1217">
        <v>-175.066</v>
      </c>
      <c r="J1217" s="3">
        <v>20120714</v>
      </c>
      <c r="K1217">
        <v>2012</v>
      </c>
      <c r="L1217">
        <v>3.4869699999999999</v>
      </c>
      <c r="M1217">
        <v>2.1712699999999998</v>
      </c>
      <c r="N1217">
        <v>0.11047</v>
      </c>
      <c r="O1217">
        <v>5.0000000000000002E-5</v>
      </c>
      <c r="P1217">
        <v>0.14276</v>
      </c>
      <c r="Q1217">
        <v>0</v>
      </c>
      <c r="R1217">
        <v>0</v>
      </c>
      <c r="S1217">
        <v>0</v>
      </c>
      <c r="T1217">
        <v>0.25714999999999999</v>
      </c>
      <c r="U1217">
        <v>1.358E-2</v>
      </c>
      <c r="V1217">
        <v>6.1822499999999998</v>
      </c>
      <c r="W1217" t="s">
        <v>9</v>
      </c>
      <c r="X1217">
        <v>54.051000000000002</v>
      </c>
      <c r="Y1217">
        <v>63.207999999999998</v>
      </c>
      <c r="Z1217">
        <v>1.458</v>
      </c>
      <c r="AA1217">
        <v>1E-3</v>
      </c>
      <c r="AB1217">
        <v>10.196999999999999</v>
      </c>
      <c r="AC1217">
        <v>0</v>
      </c>
      <c r="AD1217">
        <v>0</v>
      </c>
      <c r="AE1217">
        <v>0</v>
      </c>
      <c r="AF1217">
        <v>2.7650000000000001</v>
      </c>
      <c r="AG1217">
        <v>0.34399999999999997</v>
      </c>
      <c r="AH1217">
        <v>132.024</v>
      </c>
      <c r="AI1217" t="s">
        <v>22</v>
      </c>
      <c r="AJ1217">
        <v>717.5</v>
      </c>
      <c r="AK1217">
        <v>445</v>
      </c>
      <c r="AL1217">
        <v>115</v>
      </c>
      <c r="AM1217">
        <v>2.5</v>
      </c>
      <c r="AN1217">
        <v>10</v>
      </c>
      <c r="AO1217">
        <v>0</v>
      </c>
      <c r="AP1217">
        <v>0</v>
      </c>
      <c r="AQ1217">
        <v>0</v>
      </c>
      <c r="AR1217">
        <v>12.5</v>
      </c>
      <c r="AS1217">
        <v>110</v>
      </c>
      <c r="AT1217">
        <v>1412.5</v>
      </c>
      <c r="AU1217" t="s">
        <v>33</v>
      </c>
    </row>
    <row r="1218" spans="1:47" x14ac:dyDescent="0.2">
      <c r="A1218">
        <v>1569</v>
      </c>
      <c r="B1218" t="s">
        <v>575</v>
      </c>
      <c r="C1218">
        <v>2</v>
      </c>
      <c r="D1218" t="s">
        <v>552</v>
      </c>
      <c r="G1218" t="str">
        <f t="shared" si="18"/>
        <v>SWL20122SLIP2</v>
      </c>
      <c r="H1218">
        <v>62.05</v>
      </c>
      <c r="I1218">
        <v>-175.21199999999999</v>
      </c>
      <c r="J1218" s="3">
        <v>20120714</v>
      </c>
      <c r="K1218">
        <v>2012</v>
      </c>
      <c r="L1218">
        <v>6.9776699999999998</v>
      </c>
      <c r="M1218">
        <v>4.0340499999999997</v>
      </c>
      <c r="N1218">
        <v>4.7789999999999999E-2</v>
      </c>
      <c r="O1218">
        <v>3.091E-2</v>
      </c>
      <c r="P1218">
        <v>0.21858</v>
      </c>
      <c r="Q1218">
        <v>0</v>
      </c>
      <c r="R1218">
        <v>0</v>
      </c>
      <c r="S1218">
        <v>0</v>
      </c>
      <c r="T1218">
        <v>0.91288999999999998</v>
      </c>
      <c r="U1218">
        <v>3.73E-2</v>
      </c>
      <c r="V1218">
        <v>12.25919</v>
      </c>
      <c r="W1218" t="s">
        <v>9</v>
      </c>
      <c r="X1218">
        <v>102.19799999999999</v>
      </c>
      <c r="Y1218">
        <v>120.128</v>
      </c>
      <c r="Z1218">
        <v>0.60799999999999998</v>
      </c>
      <c r="AA1218">
        <v>0.68700000000000006</v>
      </c>
      <c r="AB1218">
        <v>15.613</v>
      </c>
      <c r="AC1218">
        <v>0</v>
      </c>
      <c r="AD1218">
        <v>0</v>
      </c>
      <c r="AE1218">
        <v>0</v>
      </c>
      <c r="AF1218">
        <v>9.8160000000000007</v>
      </c>
      <c r="AG1218">
        <v>0.85799999999999998</v>
      </c>
      <c r="AH1218">
        <v>249.90799999999999</v>
      </c>
      <c r="AI1218" t="s">
        <v>22</v>
      </c>
      <c r="AJ1218">
        <v>1110</v>
      </c>
      <c r="AK1218">
        <v>767.5</v>
      </c>
      <c r="AL1218">
        <v>87.5</v>
      </c>
      <c r="AM1218">
        <v>15</v>
      </c>
      <c r="AN1218">
        <v>7.5</v>
      </c>
      <c r="AO1218">
        <v>0</v>
      </c>
      <c r="AP1218">
        <v>0</v>
      </c>
      <c r="AQ1218">
        <v>0</v>
      </c>
      <c r="AR1218">
        <v>20</v>
      </c>
      <c r="AS1218">
        <v>132.5</v>
      </c>
      <c r="AT1218">
        <v>2140</v>
      </c>
      <c r="AU1218" t="s">
        <v>33</v>
      </c>
    </row>
    <row r="1219" spans="1:47" x14ac:dyDescent="0.2">
      <c r="A1219">
        <v>1570</v>
      </c>
      <c r="B1219" t="s">
        <v>575</v>
      </c>
      <c r="C1219">
        <v>3</v>
      </c>
      <c r="D1219" t="s">
        <v>553</v>
      </c>
      <c r="G1219" t="str">
        <f t="shared" ref="G1219:G1282" si="19">CONCATENATE(B1219,C1219,D1219)</f>
        <v>SWL20123SLIP3</v>
      </c>
      <c r="H1219">
        <v>62.39</v>
      </c>
      <c r="I1219">
        <v>-174.571</v>
      </c>
      <c r="J1219" s="3">
        <v>20120714</v>
      </c>
      <c r="K1219">
        <v>2012</v>
      </c>
      <c r="L1219">
        <v>3.9308100000000001</v>
      </c>
      <c r="M1219">
        <v>0.94916999999999996</v>
      </c>
      <c r="N1219">
        <v>0.45802999999999999</v>
      </c>
      <c r="O1219">
        <v>5.4000000000000001E-4</v>
      </c>
      <c r="P1219">
        <v>0.39179999999999998</v>
      </c>
      <c r="Q1219">
        <v>0</v>
      </c>
      <c r="R1219">
        <v>0</v>
      </c>
      <c r="S1219">
        <v>0</v>
      </c>
      <c r="T1219">
        <v>4.5109999999999997E-2</v>
      </c>
      <c r="U1219">
        <v>0.16693</v>
      </c>
      <c r="V1219">
        <v>5.9423899999999996</v>
      </c>
      <c r="W1219" t="s">
        <v>9</v>
      </c>
      <c r="X1219">
        <v>56.354999999999997</v>
      </c>
      <c r="Y1219">
        <v>27.097000000000001</v>
      </c>
      <c r="Z1219">
        <v>5.5970000000000004</v>
      </c>
      <c r="AA1219">
        <v>1.2E-2</v>
      </c>
      <c r="AB1219">
        <v>27.986000000000001</v>
      </c>
      <c r="AC1219">
        <v>0</v>
      </c>
      <c r="AD1219">
        <v>0</v>
      </c>
      <c r="AE1219">
        <v>0</v>
      </c>
      <c r="AF1219">
        <v>0.48499999999999999</v>
      </c>
      <c r="AG1219">
        <v>3.7010000000000001</v>
      </c>
      <c r="AH1219">
        <v>121.233</v>
      </c>
      <c r="AI1219" t="s">
        <v>21</v>
      </c>
      <c r="AJ1219">
        <v>1382.5</v>
      </c>
      <c r="AK1219">
        <v>320</v>
      </c>
      <c r="AL1219">
        <v>380</v>
      </c>
      <c r="AM1219">
        <v>2.5</v>
      </c>
      <c r="AN1219">
        <v>42.5</v>
      </c>
      <c r="AO1219">
        <v>0</v>
      </c>
      <c r="AP1219">
        <v>0</v>
      </c>
      <c r="AQ1219">
        <v>0</v>
      </c>
      <c r="AR1219">
        <v>45</v>
      </c>
      <c r="AS1219">
        <v>97.5</v>
      </c>
      <c r="AT1219">
        <v>2270</v>
      </c>
      <c r="AU1219" t="s">
        <v>33</v>
      </c>
    </row>
    <row r="1220" spans="1:47" x14ac:dyDescent="0.2">
      <c r="A1220">
        <v>1571</v>
      </c>
      <c r="B1220" t="s">
        <v>575</v>
      </c>
      <c r="C1220">
        <v>4</v>
      </c>
      <c r="D1220" t="s">
        <v>554</v>
      </c>
      <c r="G1220" t="str">
        <f t="shared" si="19"/>
        <v>SWL20124SLIP5</v>
      </c>
      <c r="H1220">
        <v>62.561</v>
      </c>
      <c r="I1220">
        <v>-173.55099999999999</v>
      </c>
      <c r="J1220" s="3">
        <v>20120714</v>
      </c>
      <c r="K1220">
        <v>2012</v>
      </c>
      <c r="L1220">
        <v>2.6280700000000001</v>
      </c>
      <c r="M1220">
        <v>9.7336399999999994</v>
      </c>
      <c r="N1220">
        <v>0.68206</v>
      </c>
      <c r="O1220">
        <v>1.49E-3</v>
      </c>
      <c r="P1220">
        <v>0.29492000000000002</v>
      </c>
      <c r="Q1220">
        <v>0</v>
      </c>
      <c r="R1220">
        <v>0</v>
      </c>
      <c r="S1220">
        <v>0</v>
      </c>
      <c r="T1220">
        <v>0.19445999999999999</v>
      </c>
      <c r="U1220">
        <v>2.571E-2</v>
      </c>
      <c r="V1220">
        <v>13.56035</v>
      </c>
      <c r="W1220" t="s">
        <v>10</v>
      </c>
      <c r="X1220">
        <v>38.936999999999998</v>
      </c>
      <c r="Y1220">
        <v>281.92500000000001</v>
      </c>
      <c r="Z1220">
        <v>8.76</v>
      </c>
      <c r="AA1220">
        <v>3.3000000000000002E-2</v>
      </c>
      <c r="AB1220">
        <v>21.065999999999999</v>
      </c>
      <c r="AC1220">
        <v>0</v>
      </c>
      <c r="AD1220">
        <v>0</v>
      </c>
      <c r="AE1220">
        <v>0</v>
      </c>
      <c r="AF1220">
        <v>2.0910000000000002</v>
      </c>
      <c r="AG1220">
        <v>0.56599999999999995</v>
      </c>
      <c r="AH1220">
        <v>353.37799999999999</v>
      </c>
      <c r="AI1220" t="s">
        <v>22</v>
      </c>
      <c r="AJ1220">
        <v>710</v>
      </c>
      <c r="AK1220">
        <v>450</v>
      </c>
      <c r="AL1220">
        <v>305</v>
      </c>
      <c r="AM1220">
        <v>7.5</v>
      </c>
      <c r="AN1220">
        <v>7.5</v>
      </c>
      <c r="AO1220">
        <v>0</v>
      </c>
      <c r="AP1220">
        <v>0</v>
      </c>
      <c r="AQ1220">
        <v>0</v>
      </c>
      <c r="AR1220">
        <v>7.5</v>
      </c>
      <c r="AS1220">
        <v>72.5</v>
      </c>
      <c r="AT1220">
        <v>1560</v>
      </c>
      <c r="AU1220" t="s">
        <v>33</v>
      </c>
    </row>
    <row r="1221" spans="1:47" x14ac:dyDescent="0.2">
      <c r="A1221">
        <v>1572</v>
      </c>
      <c r="B1221" t="s">
        <v>575</v>
      </c>
      <c r="C1221">
        <v>5</v>
      </c>
      <c r="D1221" t="s">
        <v>555</v>
      </c>
      <c r="G1221" t="str">
        <f t="shared" si="19"/>
        <v>SWL20125SLIP4</v>
      </c>
      <c r="H1221">
        <v>63.03</v>
      </c>
      <c r="I1221">
        <v>-173.46</v>
      </c>
      <c r="J1221" s="3">
        <v>20120714</v>
      </c>
      <c r="K1221">
        <v>2012</v>
      </c>
      <c r="L1221">
        <v>1.3588899999999999</v>
      </c>
      <c r="M1221">
        <v>22.084630000000001</v>
      </c>
      <c r="N1221">
        <v>0.10736999999999999</v>
      </c>
      <c r="O1221">
        <v>2.0588899999999999</v>
      </c>
      <c r="P1221">
        <v>0.25480000000000003</v>
      </c>
      <c r="Q1221">
        <v>0</v>
      </c>
      <c r="R1221">
        <v>4.8999999999999998E-4</v>
      </c>
      <c r="S1221">
        <v>0</v>
      </c>
      <c r="T1221">
        <v>0.47793000000000002</v>
      </c>
      <c r="U1221">
        <v>0.18995000000000001</v>
      </c>
      <c r="V1221">
        <v>26.53295</v>
      </c>
      <c r="W1221" t="s">
        <v>10</v>
      </c>
      <c r="X1221">
        <v>20.315000000000001</v>
      </c>
      <c r="Y1221">
        <v>744.82299999999998</v>
      </c>
      <c r="Z1221">
        <v>1.2749999999999999</v>
      </c>
      <c r="AA1221">
        <v>45.753</v>
      </c>
      <c r="AB1221">
        <v>18.2</v>
      </c>
      <c r="AC1221">
        <v>0</v>
      </c>
      <c r="AD1221">
        <v>8.0000000000000002E-3</v>
      </c>
      <c r="AE1221">
        <v>0</v>
      </c>
      <c r="AF1221">
        <v>5.1390000000000002</v>
      </c>
      <c r="AG1221">
        <v>4.2830000000000004</v>
      </c>
      <c r="AH1221">
        <v>839.79600000000005</v>
      </c>
      <c r="AI1221" t="s">
        <v>22</v>
      </c>
      <c r="AJ1221">
        <v>722.5</v>
      </c>
      <c r="AK1221">
        <v>1365</v>
      </c>
      <c r="AL1221">
        <v>107.5</v>
      </c>
      <c r="AM1221">
        <v>2.5</v>
      </c>
      <c r="AN1221">
        <v>12.5</v>
      </c>
      <c r="AO1221">
        <v>0</v>
      </c>
      <c r="AP1221">
        <v>2.5</v>
      </c>
      <c r="AQ1221">
        <v>0</v>
      </c>
      <c r="AR1221">
        <v>12.5</v>
      </c>
      <c r="AS1221">
        <v>250</v>
      </c>
      <c r="AT1221">
        <v>2475</v>
      </c>
      <c r="AU1221" t="s">
        <v>34</v>
      </c>
    </row>
    <row r="1222" spans="1:47" x14ac:dyDescent="0.2">
      <c r="A1222">
        <v>1573</v>
      </c>
      <c r="B1222" t="s">
        <v>575</v>
      </c>
      <c r="C1222">
        <v>7</v>
      </c>
      <c r="D1222" t="s">
        <v>556</v>
      </c>
      <c r="G1222" t="str">
        <f t="shared" si="19"/>
        <v>SWL20127UTBS5</v>
      </c>
      <c r="H1222">
        <v>64.668999999999997</v>
      </c>
      <c r="I1222">
        <v>-169.91900000000001</v>
      </c>
      <c r="J1222" s="3">
        <v>20120715</v>
      </c>
      <c r="K1222">
        <v>2012</v>
      </c>
      <c r="L1222">
        <v>25.167850000000001</v>
      </c>
      <c r="M1222">
        <v>14.68666</v>
      </c>
      <c r="N1222">
        <v>0.19342999999999999</v>
      </c>
      <c r="O1222">
        <v>0.62626000000000004</v>
      </c>
      <c r="P1222">
        <v>0</v>
      </c>
      <c r="Q1222">
        <v>0</v>
      </c>
      <c r="R1222">
        <v>0</v>
      </c>
      <c r="S1222">
        <v>0.14091999999999999</v>
      </c>
      <c r="T1222">
        <v>7.3999999999999999E-4</v>
      </c>
      <c r="U1222">
        <v>0.18113000000000001</v>
      </c>
      <c r="V1222">
        <v>40.996989999999997</v>
      </c>
      <c r="W1222" t="s">
        <v>9</v>
      </c>
      <c r="X1222">
        <v>364.82900000000001</v>
      </c>
      <c r="Y1222">
        <v>415.94499999999999</v>
      </c>
      <c r="Z1222">
        <v>2.75</v>
      </c>
      <c r="AA1222">
        <v>13.917</v>
      </c>
      <c r="AB1222">
        <v>0</v>
      </c>
      <c r="AC1222">
        <v>0</v>
      </c>
      <c r="AD1222">
        <v>0</v>
      </c>
      <c r="AE1222">
        <v>10.066000000000001</v>
      </c>
      <c r="AF1222">
        <v>8.0000000000000002E-3</v>
      </c>
      <c r="AG1222">
        <v>8.6980000000000004</v>
      </c>
      <c r="AH1222">
        <v>816.21299999999997</v>
      </c>
      <c r="AI1222" t="s">
        <v>22</v>
      </c>
      <c r="AJ1222">
        <v>1570</v>
      </c>
      <c r="AK1222">
        <v>902.5</v>
      </c>
      <c r="AL1222">
        <v>1240</v>
      </c>
      <c r="AM1222">
        <v>120</v>
      </c>
      <c r="AN1222">
        <v>0</v>
      </c>
      <c r="AO1222">
        <v>0</v>
      </c>
      <c r="AP1222">
        <v>0</v>
      </c>
      <c r="AQ1222">
        <v>5</v>
      </c>
      <c r="AR1222">
        <v>7.5</v>
      </c>
      <c r="AS1222">
        <v>5</v>
      </c>
      <c r="AT1222">
        <v>3850</v>
      </c>
      <c r="AU1222" t="s">
        <v>33</v>
      </c>
    </row>
    <row r="1223" spans="1:47" x14ac:dyDescent="0.2">
      <c r="A1223">
        <v>1574</v>
      </c>
      <c r="B1223" t="s">
        <v>575</v>
      </c>
      <c r="C1223">
        <v>8</v>
      </c>
      <c r="D1223" t="s">
        <v>557</v>
      </c>
      <c r="G1223" t="str">
        <f t="shared" si="19"/>
        <v>SWL20128UTBS2</v>
      </c>
      <c r="H1223">
        <v>64.680000000000007</v>
      </c>
      <c r="I1223">
        <v>-169.101</v>
      </c>
      <c r="J1223" s="3">
        <v>20120715</v>
      </c>
      <c r="K1223">
        <v>2012</v>
      </c>
      <c r="L1223">
        <v>1.20695</v>
      </c>
      <c r="M1223">
        <v>7.4572799999999999</v>
      </c>
      <c r="N1223">
        <v>12.197889999999999</v>
      </c>
      <c r="O1223">
        <v>0.44059999999999999</v>
      </c>
      <c r="P1223">
        <v>0</v>
      </c>
      <c r="Q1223">
        <v>8.0000000000000007E-5</v>
      </c>
      <c r="R1223">
        <v>0</v>
      </c>
      <c r="S1223">
        <v>0</v>
      </c>
      <c r="T1223">
        <v>0.25369999999999998</v>
      </c>
      <c r="U1223">
        <v>4.2300000000000003E-3</v>
      </c>
      <c r="V1223">
        <v>21.56073</v>
      </c>
      <c r="W1223" t="s">
        <v>11</v>
      </c>
      <c r="X1223">
        <v>19.062000000000001</v>
      </c>
      <c r="Y1223">
        <v>381.60500000000002</v>
      </c>
      <c r="Z1223">
        <v>177.084</v>
      </c>
      <c r="AA1223">
        <v>9.7910000000000004</v>
      </c>
      <c r="AB1223">
        <v>0</v>
      </c>
      <c r="AC1223">
        <v>7.0000000000000001E-3</v>
      </c>
      <c r="AD1223">
        <v>0</v>
      </c>
      <c r="AE1223">
        <v>0</v>
      </c>
      <c r="AF1223">
        <v>2.7280000000000002</v>
      </c>
      <c r="AG1223">
        <v>0.13400000000000001</v>
      </c>
      <c r="AH1223">
        <v>590.41099999999994</v>
      </c>
      <c r="AI1223" t="s">
        <v>22</v>
      </c>
      <c r="AJ1223">
        <v>1337.5</v>
      </c>
      <c r="AK1223">
        <v>1435</v>
      </c>
      <c r="AL1223">
        <v>15552.5</v>
      </c>
      <c r="AM1223">
        <v>7.5</v>
      </c>
      <c r="AN1223">
        <v>0</v>
      </c>
      <c r="AO1223">
        <v>10</v>
      </c>
      <c r="AP1223">
        <v>0</v>
      </c>
      <c r="AQ1223">
        <v>0</v>
      </c>
      <c r="AR1223">
        <v>955</v>
      </c>
      <c r="AS1223">
        <v>27.5</v>
      </c>
      <c r="AT1223">
        <v>19325</v>
      </c>
      <c r="AU1223" t="s">
        <v>35</v>
      </c>
    </row>
    <row r="1224" spans="1:47" x14ac:dyDescent="0.2">
      <c r="A1224">
        <v>1575</v>
      </c>
      <c r="B1224" t="s">
        <v>575</v>
      </c>
      <c r="C1224">
        <v>9</v>
      </c>
      <c r="D1224" t="s">
        <v>179</v>
      </c>
      <c r="G1224" t="str">
        <f t="shared" si="19"/>
        <v>SWL20129UTBS1</v>
      </c>
      <c r="H1224">
        <v>64.991</v>
      </c>
      <c r="I1224">
        <v>-169.13800000000001</v>
      </c>
      <c r="J1224" s="3">
        <v>20120715</v>
      </c>
      <c r="K1224">
        <v>2012</v>
      </c>
      <c r="L1224">
        <v>1.7938099999999999</v>
      </c>
      <c r="M1224">
        <v>5.8553600000000001</v>
      </c>
      <c r="N1224">
        <v>16.548100000000002</v>
      </c>
      <c r="O1224">
        <v>0</v>
      </c>
      <c r="P1224">
        <v>8.0000000000000007E-5</v>
      </c>
      <c r="Q1224">
        <v>0</v>
      </c>
      <c r="R1224">
        <v>1.2E-4</v>
      </c>
      <c r="S1224">
        <v>0.31664999999999999</v>
      </c>
      <c r="T1224">
        <v>8.584E-2</v>
      </c>
      <c r="U1224">
        <v>9.0000000000000006E-5</v>
      </c>
      <c r="V1224">
        <v>24.60005</v>
      </c>
      <c r="W1224" t="s">
        <v>11</v>
      </c>
      <c r="X1224">
        <v>26.013000000000002</v>
      </c>
      <c r="Y1224">
        <v>238.93299999999999</v>
      </c>
      <c r="Z1224">
        <v>240.88800000000001</v>
      </c>
      <c r="AA1224">
        <v>0</v>
      </c>
      <c r="AB1224">
        <v>6.0000000000000001E-3</v>
      </c>
      <c r="AC1224">
        <v>0</v>
      </c>
      <c r="AD1224">
        <v>2E-3</v>
      </c>
      <c r="AE1224">
        <v>22.617999999999999</v>
      </c>
      <c r="AF1224">
        <v>0.92300000000000004</v>
      </c>
      <c r="AG1224">
        <v>8.9999999999999993E-3</v>
      </c>
      <c r="AH1224">
        <v>529.39200000000005</v>
      </c>
      <c r="AI1224" t="s">
        <v>23</v>
      </c>
      <c r="AJ1224">
        <v>527.5</v>
      </c>
      <c r="AK1224">
        <v>752.5</v>
      </c>
      <c r="AL1224">
        <v>25280</v>
      </c>
      <c r="AM1224">
        <v>0</v>
      </c>
      <c r="AN1224">
        <v>0</v>
      </c>
      <c r="AO1224">
        <v>0</v>
      </c>
      <c r="AP1224">
        <v>2.5</v>
      </c>
      <c r="AQ1224">
        <v>5</v>
      </c>
      <c r="AR1224">
        <v>45</v>
      </c>
      <c r="AS1224">
        <v>0</v>
      </c>
      <c r="AT1224">
        <v>26612.5</v>
      </c>
      <c r="AU1224" t="s">
        <v>35</v>
      </c>
    </row>
    <row r="1225" spans="1:47" x14ac:dyDescent="0.2">
      <c r="A1225">
        <v>1576</v>
      </c>
      <c r="B1225" t="s">
        <v>575</v>
      </c>
      <c r="C1225">
        <v>10</v>
      </c>
      <c r="D1225" t="s">
        <v>558</v>
      </c>
      <c r="G1225" t="str">
        <f t="shared" si="19"/>
        <v>SWL201210UTBS4</v>
      </c>
      <c r="H1225">
        <v>64.960999999999999</v>
      </c>
      <c r="I1225">
        <v>-169.88499999999999</v>
      </c>
      <c r="J1225" s="3">
        <v>20120715</v>
      </c>
      <c r="K1225">
        <v>2012</v>
      </c>
      <c r="L1225">
        <v>2.1740300000000001</v>
      </c>
      <c r="M1225">
        <v>6.6164100000000001</v>
      </c>
      <c r="N1225">
        <v>2.2484500000000001</v>
      </c>
      <c r="O1225">
        <v>9.0000000000000006E-5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3.0000000000000001E-5</v>
      </c>
      <c r="V1225">
        <v>11.039009999999999</v>
      </c>
      <c r="W1225" t="s">
        <v>10</v>
      </c>
      <c r="X1225">
        <v>31.096</v>
      </c>
      <c r="Y1225">
        <v>183.29400000000001</v>
      </c>
      <c r="Z1225">
        <v>33.023000000000003</v>
      </c>
      <c r="AA1225">
        <v>2E-3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3.0000000000000001E-3</v>
      </c>
      <c r="AH1225">
        <v>247.41800000000001</v>
      </c>
      <c r="AI1225" t="s">
        <v>22</v>
      </c>
      <c r="AJ1225">
        <v>392.5</v>
      </c>
      <c r="AK1225">
        <v>445</v>
      </c>
      <c r="AL1225">
        <v>700</v>
      </c>
      <c r="AM1225">
        <v>2.5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12.5</v>
      </c>
      <c r="AT1225">
        <v>1552.5</v>
      </c>
      <c r="AU1225" t="s">
        <v>35</v>
      </c>
    </row>
    <row r="1226" spans="1:47" x14ac:dyDescent="0.2">
      <c r="A1226">
        <v>1577</v>
      </c>
      <c r="B1226" t="s">
        <v>575</v>
      </c>
      <c r="C1226">
        <v>12</v>
      </c>
      <c r="D1226" t="s">
        <v>559</v>
      </c>
      <c r="G1226" t="str">
        <f t="shared" si="19"/>
        <v>SWL201212UTN1</v>
      </c>
      <c r="H1226">
        <v>66.712000000000003</v>
      </c>
      <c r="I1226">
        <v>-168.398</v>
      </c>
      <c r="J1226" s="3">
        <v>20120716</v>
      </c>
      <c r="K1226">
        <v>2012</v>
      </c>
      <c r="L1226">
        <v>4.2540300000000002</v>
      </c>
      <c r="M1226">
        <v>1.5446500000000001</v>
      </c>
      <c r="N1226">
        <v>2.9690000000000001E-2</v>
      </c>
      <c r="O1226">
        <v>0</v>
      </c>
      <c r="P1226">
        <v>6.9999999999999994E-5</v>
      </c>
      <c r="Q1226">
        <v>16.2822</v>
      </c>
      <c r="R1226">
        <v>0</v>
      </c>
      <c r="S1226">
        <v>0</v>
      </c>
      <c r="T1226">
        <v>0.16638</v>
      </c>
      <c r="U1226">
        <v>3.1230000000000001E-2</v>
      </c>
      <c r="V1226">
        <v>22.308250000000001</v>
      </c>
      <c r="W1226" t="s">
        <v>14</v>
      </c>
      <c r="X1226">
        <v>64.805000000000007</v>
      </c>
      <c r="Y1226">
        <v>43.497</v>
      </c>
      <c r="Z1226">
        <v>0.42099999999999999</v>
      </c>
      <c r="AA1226">
        <v>0</v>
      </c>
      <c r="AB1226">
        <v>5.0000000000000001E-3</v>
      </c>
      <c r="AC1226">
        <v>2035.2750000000001</v>
      </c>
      <c r="AD1226">
        <v>0</v>
      </c>
      <c r="AE1226">
        <v>0</v>
      </c>
      <c r="AF1226">
        <v>1.7889999999999999</v>
      </c>
      <c r="AG1226">
        <v>1.3009999999999999</v>
      </c>
      <c r="AH1226">
        <v>2147.0929999999998</v>
      </c>
      <c r="AI1226" t="s">
        <v>26</v>
      </c>
      <c r="AJ1226">
        <v>1407.5</v>
      </c>
      <c r="AK1226">
        <v>1055</v>
      </c>
      <c r="AL1226">
        <v>222.5</v>
      </c>
      <c r="AM1226">
        <v>0</v>
      </c>
      <c r="AN1226">
        <v>7.5</v>
      </c>
      <c r="AO1226">
        <v>240</v>
      </c>
      <c r="AP1226">
        <v>0</v>
      </c>
      <c r="AQ1226">
        <v>0</v>
      </c>
      <c r="AR1226">
        <v>7.5</v>
      </c>
      <c r="AS1226">
        <v>2.5</v>
      </c>
      <c r="AT1226">
        <v>2942.5</v>
      </c>
      <c r="AU1226" t="s">
        <v>33</v>
      </c>
    </row>
    <row r="1227" spans="1:47" x14ac:dyDescent="0.2">
      <c r="A1227">
        <v>1578</v>
      </c>
      <c r="B1227" t="s">
        <v>575</v>
      </c>
      <c r="C1227">
        <v>13</v>
      </c>
      <c r="D1227" t="s">
        <v>560</v>
      </c>
      <c r="G1227" t="str">
        <f t="shared" si="19"/>
        <v>SWL201213UTN2</v>
      </c>
      <c r="H1227">
        <v>67.05</v>
      </c>
      <c r="I1227">
        <v>-168.72800000000001</v>
      </c>
      <c r="J1227" s="3">
        <v>20120716</v>
      </c>
      <c r="K1227">
        <v>2012</v>
      </c>
      <c r="L1227">
        <v>8.7972999999999999</v>
      </c>
      <c r="M1227">
        <v>26.962389999999999</v>
      </c>
      <c r="N1227">
        <v>0.23205999999999999</v>
      </c>
      <c r="O1227">
        <v>0</v>
      </c>
      <c r="P1227">
        <v>9.8250000000000004E-2</v>
      </c>
      <c r="Q1227">
        <v>0</v>
      </c>
      <c r="R1227">
        <v>1.90771</v>
      </c>
      <c r="S1227">
        <v>0.39084999999999998</v>
      </c>
      <c r="T1227">
        <v>0.17177000000000001</v>
      </c>
      <c r="U1227">
        <v>1.025E-2</v>
      </c>
      <c r="V1227">
        <v>38.57058</v>
      </c>
      <c r="W1227" t="s">
        <v>10</v>
      </c>
      <c r="X1227">
        <v>138.76599999999999</v>
      </c>
      <c r="Y1227">
        <v>898.78399999999999</v>
      </c>
      <c r="Z1227">
        <v>3.1019999999999999</v>
      </c>
      <c r="AA1227">
        <v>0</v>
      </c>
      <c r="AB1227">
        <v>7.0179999999999998</v>
      </c>
      <c r="AC1227">
        <v>0</v>
      </c>
      <c r="AD1227">
        <v>31.274000000000001</v>
      </c>
      <c r="AE1227">
        <v>27.917999999999999</v>
      </c>
      <c r="AF1227">
        <v>1.847</v>
      </c>
      <c r="AG1227">
        <v>0.48799999999999999</v>
      </c>
      <c r="AH1227">
        <v>1109.1969999999999</v>
      </c>
      <c r="AI1227" t="s">
        <v>22</v>
      </c>
      <c r="AJ1227">
        <v>1987.5</v>
      </c>
      <c r="AK1227">
        <v>10825</v>
      </c>
      <c r="AL1227">
        <v>610</v>
      </c>
      <c r="AM1227">
        <v>0</v>
      </c>
      <c r="AN1227">
        <v>25</v>
      </c>
      <c r="AO1227">
        <v>0</v>
      </c>
      <c r="AP1227">
        <v>52.5</v>
      </c>
      <c r="AQ1227">
        <v>85</v>
      </c>
      <c r="AR1227">
        <v>10</v>
      </c>
      <c r="AS1227">
        <v>32.5</v>
      </c>
      <c r="AT1227">
        <v>13627.5</v>
      </c>
      <c r="AU1227" t="s">
        <v>34</v>
      </c>
    </row>
    <row r="1228" spans="1:47" x14ac:dyDescent="0.2">
      <c r="A1228">
        <v>1579</v>
      </c>
      <c r="B1228" t="s">
        <v>575</v>
      </c>
      <c r="C1228">
        <v>14</v>
      </c>
      <c r="D1228" t="s">
        <v>561</v>
      </c>
      <c r="G1228" t="str">
        <f t="shared" si="19"/>
        <v>SWL201214UTN3</v>
      </c>
      <c r="H1228">
        <v>67.328999999999994</v>
      </c>
      <c r="I1228">
        <v>-168.90799999999999</v>
      </c>
      <c r="J1228" s="3">
        <v>20120716</v>
      </c>
      <c r="K1228">
        <v>2012</v>
      </c>
      <c r="L1228">
        <v>5.3618199999999998</v>
      </c>
      <c r="M1228">
        <v>30.127929999999999</v>
      </c>
      <c r="N1228">
        <v>2.8410099999999998</v>
      </c>
      <c r="O1228">
        <v>0</v>
      </c>
      <c r="P1228">
        <v>6.3000000000000003E-4</v>
      </c>
      <c r="Q1228">
        <v>0</v>
      </c>
      <c r="R1228">
        <v>1.61046</v>
      </c>
      <c r="S1228">
        <v>0</v>
      </c>
      <c r="T1228">
        <v>5.5999999999999995E-4</v>
      </c>
      <c r="U1228">
        <v>2.2000000000000001E-4</v>
      </c>
      <c r="V1228">
        <v>39.942630000000001</v>
      </c>
      <c r="W1228" t="s">
        <v>10</v>
      </c>
      <c r="X1228">
        <v>81.262</v>
      </c>
      <c r="Y1228">
        <v>869.64599999999996</v>
      </c>
      <c r="Z1228">
        <v>37.884</v>
      </c>
      <c r="AA1228">
        <v>0</v>
      </c>
      <c r="AB1228">
        <v>4.4999999999999998E-2</v>
      </c>
      <c r="AC1228">
        <v>0</v>
      </c>
      <c r="AD1228">
        <v>26.401</v>
      </c>
      <c r="AE1228">
        <v>0</v>
      </c>
      <c r="AF1228">
        <v>6.0000000000000001E-3</v>
      </c>
      <c r="AG1228">
        <v>3.0000000000000001E-3</v>
      </c>
      <c r="AH1228">
        <v>1015.247</v>
      </c>
      <c r="AI1228" t="s">
        <v>22</v>
      </c>
      <c r="AJ1228">
        <v>1125</v>
      </c>
      <c r="AK1228">
        <v>2752.5</v>
      </c>
      <c r="AL1228">
        <v>3670</v>
      </c>
      <c r="AM1228">
        <v>0</v>
      </c>
      <c r="AN1228">
        <v>7.5</v>
      </c>
      <c r="AO1228">
        <v>0</v>
      </c>
      <c r="AP1228">
        <v>60</v>
      </c>
      <c r="AQ1228">
        <v>0</v>
      </c>
      <c r="AR1228">
        <v>2.5</v>
      </c>
      <c r="AS1228">
        <v>12.5</v>
      </c>
      <c r="AT1228">
        <v>7630</v>
      </c>
      <c r="AU1228" t="s">
        <v>35</v>
      </c>
    </row>
    <row r="1229" spans="1:47" x14ac:dyDescent="0.2">
      <c r="A1229">
        <v>1580</v>
      </c>
      <c r="B1229" t="s">
        <v>575</v>
      </c>
      <c r="C1229">
        <v>15</v>
      </c>
      <c r="D1229" t="s">
        <v>562</v>
      </c>
      <c r="G1229" t="str">
        <f t="shared" si="19"/>
        <v>SWL201215UTN4</v>
      </c>
      <c r="H1229">
        <v>67.5</v>
      </c>
      <c r="I1229">
        <v>-168.904</v>
      </c>
      <c r="J1229" s="3">
        <v>20120716</v>
      </c>
      <c r="K1229">
        <v>2012</v>
      </c>
      <c r="L1229">
        <v>3.7245699999999999</v>
      </c>
      <c r="M1229">
        <v>35.501370000000001</v>
      </c>
      <c r="N1229">
        <v>1.5109399999999999</v>
      </c>
      <c r="O1229">
        <v>0</v>
      </c>
      <c r="P1229">
        <v>2.2499999999999998E-3</v>
      </c>
      <c r="Q1229">
        <v>0</v>
      </c>
      <c r="R1229">
        <v>1.4593</v>
      </c>
      <c r="S1229">
        <v>0</v>
      </c>
      <c r="T1229">
        <v>2.9020000000000001E-2</v>
      </c>
      <c r="U1229">
        <v>1.82436</v>
      </c>
      <c r="V1229">
        <v>44.051810000000003</v>
      </c>
      <c r="W1229" t="s">
        <v>10</v>
      </c>
      <c r="X1229">
        <v>58.332000000000001</v>
      </c>
      <c r="Y1229">
        <v>1024.7639999999999</v>
      </c>
      <c r="Z1229">
        <v>18.814</v>
      </c>
      <c r="AA1229">
        <v>0</v>
      </c>
      <c r="AB1229">
        <v>0.161</v>
      </c>
      <c r="AC1229">
        <v>0</v>
      </c>
      <c r="AD1229">
        <v>23.922999999999998</v>
      </c>
      <c r="AE1229">
        <v>0</v>
      </c>
      <c r="AF1229">
        <v>0.312</v>
      </c>
      <c r="AG1229">
        <v>35.771000000000001</v>
      </c>
      <c r="AH1229">
        <v>1162.077</v>
      </c>
      <c r="AI1229" t="s">
        <v>22</v>
      </c>
      <c r="AJ1229">
        <v>1462.5</v>
      </c>
      <c r="AK1229">
        <v>4187.5</v>
      </c>
      <c r="AL1229">
        <v>3535</v>
      </c>
      <c r="AM1229">
        <v>0</v>
      </c>
      <c r="AN1229">
        <v>22.5</v>
      </c>
      <c r="AO1229">
        <v>0</v>
      </c>
      <c r="AP1229">
        <v>50</v>
      </c>
      <c r="AQ1229">
        <v>0</v>
      </c>
      <c r="AR1229">
        <v>5</v>
      </c>
      <c r="AS1229">
        <v>10</v>
      </c>
      <c r="AT1229">
        <v>9272.5</v>
      </c>
      <c r="AU1229" t="s">
        <v>34</v>
      </c>
    </row>
    <row r="1230" spans="1:47" x14ac:dyDescent="0.2">
      <c r="A1230">
        <v>1581</v>
      </c>
      <c r="B1230" t="s">
        <v>575</v>
      </c>
      <c r="C1230">
        <v>16</v>
      </c>
      <c r="D1230" t="s">
        <v>306</v>
      </c>
      <c r="G1230" t="str">
        <f t="shared" si="19"/>
        <v>SWL201216UTN5=SEC1</v>
      </c>
      <c r="H1230">
        <v>67.67</v>
      </c>
      <c r="I1230">
        <v>-168.905</v>
      </c>
      <c r="J1230" s="3">
        <v>20120716</v>
      </c>
      <c r="K1230">
        <v>2012</v>
      </c>
      <c r="L1230">
        <v>9.3122699999999998</v>
      </c>
      <c r="M1230">
        <v>64.61703</v>
      </c>
      <c r="N1230">
        <v>1.8891</v>
      </c>
      <c r="O1230">
        <v>2.8400000000000001E-3</v>
      </c>
      <c r="P1230">
        <v>4.2000000000000002E-4</v>
      </c>
      <c r="Q1230">
        <v>0</v>
      </c>
      <c r="R1230">
        <v>3.0328599999999999</v>
      </c>
      <c r="S1230">
        <v>0</v>
      </c>
      <c r="T1230">
        <v>1.7700000000000001E-3</v>
      </c>
      <c r="U1230">
        <v>9.9000000000000008E-3</v>
      </c>
      <c r="V1230">
        <v>78.866190000000003</v>
      </c>
      <c r="W1230" t="s">
        <v>10</v>
      </c>
      <c r="X1230">
        <v>135.90600000000001</v>
      </c>
      <c r="Y1230">
        <v>1857.712</v>
      </c>
      <c r="Z1230">
        <v>23.452000000000002</v>
      </c>
      <c r="AA1230">
        <v>6.3E-2</v>
      </c>
      <c r="AB1230">
        <v>0.03</v>
      </c>
      <c r="AC1230">
        <v>0</v>
      </c>
      <c r="AD1230">
        <v>49.719000000000001</v>
      </c>
      <c r="AE1230">
        <v>0</v>
      </c>
      <c r="AF1230">
        <v>1.9E-2</v>
      </c>
      <c r="AG1230">
        <v>0.218</v>
      </c>
      <c r="AH1230">
        <v>2067.1190000000001</v>
      </c>
      <c r="AI1230" t="s">
        <v>22</v>
      </c>
      <c r="AJ1230">
        <v>1052.5</v>
      </c>
      <c r="AK1230">
        <v>1410</v>
      </c>
      <c r="AL1230">
        <v>4100</v>
      </c>
      <c r="AM1230">
        <v>22.5</v>
      </c>
      <c r="AN1230">
        <v>2.5</v>
      </c>
      <c r="AO1230">
        <v>0</v>
      </c>
      <c r="AP1230">
        <v>37.5</v>
      </c>
      <c r="AQ1230">
        <v>0</v>
      </c>
      <c r="AR1230">
        <v>5</v>
      </c>
      <c r="AS1230">
        <v>22.5</v>
      </c>
      <c r="AT1230">
        <v>6652.5</v>
      </c>
      <c r="AU1230" t="s">
        <v>35</v>
      </c>
    </row>
    <row r="1231" spans="1:47" x14ac:dyDescent="0.2">
      <c r="A1231">
        <v>1582</v>
      </c>
      <c r="B1231" t="s">
        <v>575</v>
      </c>
      <c r="C1231">
        <v>17</v>
      </c>
      <c r="D1231" t="s">
        <v>563</v>
      </c>
      <c r="G1231" t="str">
        <f t="shared" si="19"/>
        <v>SWL201217UTN6</v>
      </c>
      <c r="H1231">
        <v>67.739999999999995</v>
      </c>
      <c r="I1231">
        <v>-168.44</v>
      </c>
      <c r="J1231" s="3">
        <v>20120716</v>
      </c>
      <c r="K1231">
        <v>2012</v>
      </c>
      <c r="L1231">
        <v>2.9552</v>
      </c>
      <c r="M1231">
        <v>28.790379999999999</v>
      </c>
      <c r="N1231">
        <v>1.6773400000000001</v>
      </c>
      <c r="O1231">
        <v>0</v>
      </c>
      <c r="P1231">
        <v>6.7000000000000002E-4</v>
      </c>
      <c r="Q1231">
        <v>0</v>
      </c>
      <c r="R1231">
        <v>1.0481</v>
      </c>
      <c r="S1231">
        <v>0</v>
      </c>
      <c r="T1231">
        <v>1.67E-3</v>
      </c>
      <c r="U1231">
        <v>3.9370000000000002E-2</v>
      </c>
      <c r="V1231">
        <v>34.512729999999998</v>
      </c>
      <c r="W1231" t="s">
        <v>10</v>
      </c>
      <c r="X1231">
        <v>48.404000000000003</v>
      </c>
      <c r="Y1231">
        <v>827.55799999999999</v>
      </c>
      <c r="Z1231">
        <v>20.382000000000001</v>
      </c>
      <c r="AA1231">
        <v>0</v>
      </c>
      <c r="AB1231">
        <v>4.8000000000000001E-2</v>
      </c>
      <c r="AC1231">
        <v>0</v>
      </c>
      <c r="AD1231">
        <v>17.181999999999999</v>
      </c>
      <c r="AE1231">
        <v>0</v>
      </c>
      <c r="AF1231">
        <v>1.7999999999999999E-2</v>
      </c>
      <c r="AG1231">
        <v>0.81399999999999995</v>
      </c>
      <c r="AH1231">
        <v>914.40599999999995</v>
      </c>
      <c r="AI1231" t="s">
        <v>22</v>
      </c>
      <c r="AJ1231">
        <v>1105</v>
      </c>
      <c r="AK1231">
        <v>1337.5</v>
      </c>
      <c r="AL1231">
        <v>5465</v>
      </c>
      <c r="AM1231">
        <v>0</v>
      </c>
      <c r="AN1231">
        <v>5</v>
      </c>
      <c r="AO1231">
        <v>0</v>
      </c>
      <c r="AP1231">
        <v>35</v>
      </c>
      <c r="AQ1231">
        <v>0</v>
      </c>
      <c r="AR1231">
        <v>2.5</v>
      </c>
      <c r="AS1231">
        <v>10</v>
      </c>
      <c r="AT1231">
        <v>7960</v>
      </c>
      <c r="AU1231" t="s">
        <v>35</v>
      </c>
    </row>
    <row r="1232" spans="1:47" x14ac:dyDescent="0.2">
      <c r="A1232">
        <v>1583</v>
      </c>
      <c r="B1232" t="s">
        <v>575</v>
      </c>
      <c r="C1232">
        <v>18</v>
      </c>
      <c r="D1232" t="s">
        <v>258</v>
      </c>
      <c r="G1232" t="str">
        <f t="shared" si="19"/>
        <v>SWL201218SEC2</v>
      </c>
      <c r="H1232">
        <v>67.78</v>
      </c>
      <c r="I1232">
        <v>-168.602</v>
      </c>
      <c r="J1232" s="3">
        <v>20120716</v>
      </c>
      <c r="K1232">
        <v>2012</v>
      </c>
      <c r="L1232">
        <v>4.3889199999999997</v>
      </c>
      <c r="M1232">
        <v>26.860189999999999</v>
      </c>
      <c r="N1232">
        <v>1.45459</v>
      </c>
      <c r="O1232">
        <v>0</v>
      </c>
      <c r="P1232">
        <v>0</v>
      </c>
      <c r="Q1232">
        <v>0</v>
      </c>
      <c r="R1232">
        <v>6.0185000000000004</v>
      </c>
      <c r="S1232">
        <v>0</v>
      </c>
      <c r="T1232">
        <v>0</v>
      </c>
      <c r="U1232">
        <v>1.23062</v>
      </c>
      <c r="V1232">
        <v>39.952820000000003</v>
      </c>
      <c r="W1232" t="s">
        <v>10</v>
      </c>
      <c r="X1232">
        <v>68.653000000000006</v>
      </c>
      <c r="Y1232">
        <v>766.76900000000001</v>
      </c>
      <c r="Z1232">
        <v>17.335999999999999</v>
      </c>
      <c r="AA1232">
        <v>0</v>
      </c>
      <c r="AB1232">
        <v>0</v>
      </c>
      <c r="AC1232">
        <v>0</v>
      </c>
      <c r="AD1232">
        <v>98.664000000000001</v>
      </c>
      <c r="AE1232">
        <v>0</v>
      </c>
      <c r="AF1232">
        <v>0</v>
      </c>
      <c r="AG1232">
        <v>24.114999999999998</v>
      </c>
      <c r="AH1232">
        <v>975.53700000000003</v>
      </c>
      <c r="AI1232" t="s">
        <v>22</v>
      </c>
      <c r="AJ1232">
        <v>1275</v>
      </c>
      <c r="AK1232">
        <v>1245</v>
      </c>
      <c r="AL1232">
        <v>4405</v>
      </c>
      <c r="AM1232">
        <v>0</v>
      </c>
      <c r="AN1232">
        <v>0</v>
      </c>
      <c r="AO1232">
        <v>0</v>
      </c>
      <c r="AP1232">
        <v>50</v>
      </c>
      <c r="AQ1232">
        <v>0</v>
      </c>
      <c r="AR1232">
        <v>0</v>
      </c>
      <c r="AS1232">
        <v>45</v>
      </c>
      <c r="AT1232">
        <v>7020</v>
      </c>
      <c r="AU1232" t="s">
        <v>35</v>
      </c>
    </row>
    <row r="1233" spans="1:47" x14ac:dyDescent="0.2">
      <c r="A1233">
        <v>1584</v>
      </c>
      <c r="B1233" t="s">
        <v>575</v>
      </c>
      <c r="C1233">
        <v>19</v>
      </c>
      <c r="D1233" t="s">
        <v>564</v>
      </c>
      <c r="G1233" t="str">
        <f t="shared" si="19"/>
        <v>SWL201219UTN7</v>
      </c>
      <c r="H1233">
        <v>68.001000000000005</v>
      </c>
      <c r="I1233">
        <v>-168.90899999999999</v>
      </c>
      <c r="J1233" s="3">
        <v>20120716</v>
      </c>
      <c r="K1233">
        <v>2012</v>
      </c>
      <c r="L1233">
        <v>0.46037</v>
      </c>
      <c r="M1233">
        <v>9.9196200000000001</v>
      </c>
      <c r="N1233">
        <v>3.8319299999999998</v>
      </c>
      <c r="O1233">
        <v>0</v>
      </c>
      <c r="P1233">
        <v>0</v>
      </c>
      <c r="Q1233">
        <v>0</v>
      </c>
      <c r="R1233">
        <v>0.40510000000000002</v>
      </c>
      <c r="S1233">
        <v>0</v>
      </c>
      <c r="T1233">
        <v>1.4202999999999999</v>
      </c>
      <c r="U1233">
        <v>1.414E-2</v>
      </c>
      <c r="V1233">
        <v>16.051459999999999</v>
      </c>
      <c r="W1233" t="s">
        <v>10</v>
      </c>
      <c r="X1233">
        <v>6.3680000000000003</v>
      </c>
      <c r="Y1233">
        <v>282.44</v>
      </c>
      <c r="Z1233">
        <v>42.348999999999997</v>
      </c>
      <c r="AA1233">
        <v>0</v>
      </c>
      <c r="AB1233">
        <v>0</v>
      </c>
      <c r="AC1233">
        <v>0</v>
      </c>
      <c r="AD1233">
        <v>6.641</v>
      </c>
      <c r="AE1233">
        <v>0</v>
      </c>
      <c r="AF1233">
        <v>15.272</v>
      </c>
      <c r="AG1233">
        <v>0.22900000000000001</v>
      </c>
      <c r="AH1233">
        <v>353.29899999999998</v>
      </c>
      <c r="AI1233" t="s">
        <v>22</v>
      </c>
      <c r="AJ1233">
        <v>217.5</v>
      </c>
      <c r="AK1233">
        <v>255</v>
      </c>
      <c r="AL1233">
        <v>4270</v>
      </c>
      <c r="AM1233">
        <v>0</v>
      </c>
      <c r="AN1233">
        <v>0</v>
      </c>
      <c r="AO1233">
        <v>0</v>
      </c>
      <c r="AP1233">
        <v>7.5</v>
      </c>
      <c r="AQ1233">
        <v>0</v>
      </c>
      <c r="AR1233">
        <v>2.5</v>
      </c>
      <c r="AS1233">
        <v>175</v>
      </c>
      <c r="AT1233">
        <v>4927.5</v>
      </c>
      <c r="AU1233" t="s">
        <v>35</v>
      </c>
    </row>
    <row r="1234" spans="1:47" x14ac:dyDescent="0.2">
      <c r="A1234">
        <v>1585</v>
      </c>
      <c r="B1234" t="s">
        <v>575</v>
      </c>
      <c r="C1234">
        <v>20</v>
      </c>
      <c r="D1234" t="s">
        <v>254</v>
      </c>
      <c r="G1234" t="str">
        <f t="shared" si="19"/>
        <v>SWL201220SEC3</v>
      </c>
      <c r="H1234">
        <v>67.900999999999996</v>
      </c>
      <c r="I1234">
        <v>-168.244</v>
      </c>
      <c r="J1234" s="3">
        <v>20120716</v>
      </c>
      <c r="K1234">
        <v>2012</v>
      </c>
      <c r="L1234">
        <v>7.0650199999999996</v>
      </c>
      <c r="M1234">
        <v>6.5365399999999996</v>
      </c>
      <c r="N1234">
        <v>3.6951100000000001</v>
      </c>
      <c r="O1234">
        <v>0</v>
      </c>
      <c r="P1234">
        <v>0.28339999999999999</v>
      </c>
      <c r="Q1234">
        <v>0</v>
      </c>
      <c r="R1234">
        <v>4.7600000000000003E-3</v>
      </c>
      <c r="S1234">
        <v>0</v>
      </c>
      <c r="T1234">
        <v>1.116E-2</v>
      </c>
      <c r="U1234">
        <v>0.33090999999999998</v>
      </c>
      <c r="V1234">
        <v>17.9269</v>
      </c>
      <c r="W1234" t="s">
        <v>9</v>
      </c>
      <c r="X1234">
        <v>143.94399999999999</v>
      </c>
      <c r="Y1234">
        <v>165.113</v>
      </c>
      <c r="Z1234">
        <v>42.689</v>
      </c>
      <c r="AA1234">
        <v>0</v>
      </c>
      <c r="AB1234">
        <v>20.242999999999999</v>
      </c>
      <c r="AC1234">
        <v>0</v>
      </c>
      <c r="AD1234">
        <v>7.8E-2</v>
      </c>
      <c r="AE1234">
        <v>0</v>
      </c>
      <c r="AF1234">
        <v>0.12</v>
      </c>
      <c r="AG1234">
        <v>15.766</v>
      </c>
      <c r="AH1234">
        <v>387.95299999999997</v>
      </c>
      <c r="AI1234" t="s">
        <v>22</v>
      </c>
      <c r="AJ1234">
        <v>1565</v>
      </c>
      <c r="AK1234">
        <v>630</v>
      </c>
      <c r="AL1234">
        <v>10490</v>
      </c>
      <c r="AM1234">
        <v>0</v>
      </c>
      <c r="AN1234">
        <v>5</v>
      </c>
      <c r="AO1234">
        <v>0</v>
      </c>
      <c r="AP1234">
        <v>5</v>
      </c>
      <c r="AQ1234">
        <v>0</v>
      </c>
      <c r="AR1234">
        <v>15</v>
      </c>
      <c r="AS1234">
        <v>15</v>
      </c>
      <c r="AT1234">
        <v>12725</v>
      </c>
      <c r="AU1234" t="s">
        <v>35</v>
      </c>
    </row>
    <row r="1235" spans="1:47" x14ac:dyDescent="0.2">
      <c r="A1235">
        <v>1586</v>
      </c>
      <c r="B1235" t="s">
        <v>575</v>
      </c>
      <c r="C1235">
        <v>21</v>
      </c>
      <c r="D1235" t="s">
        <v>233</v>
      </c>
      <c r="G1235" t="str">
        <f t="shared" si="19"/>
        <v>SWL201221SEC4</v>
      </c>
      <c r="H1235">
        <v>68.010000000000005</v>
      </c>
      <c r="I1235">
        <v>-167.87200000000001</v>
      </c>
      <c r="J1235" s="3">
        <v>20120716</v>
      </c>
      <c r="K1235">
        <v>2012</v>
      </c>
      <c r="L1235">
        <v>4.9820500000000001</v>
      </c>
      <c r="M1235">
        <v>4.66831</v>
      </c>
      <c r="N1235">
        <v>0.32815</v>
      </c>
      <c r="O1235">
        <v>0</v>
      </c>
      <c r="P1235">
        <v>1.1100000000000001E-3</v>
      </c>
      <c r="Q1235">
        <v>0.16425000000000001</v>
      </c>
      <c r="R1235">
        <v>0</v>
      </c>
      <c r="S1235">
        <v>0</v>
      </c>
      <c r="T1235">
        <v>0</v>
      </c>
      <c r="U1235">
        <v>1.01E-3</v>
      </c>
      <c r="V1235">
        <v>10.144880000000001</v>
      </c>
      <c r="W1235" t="s">
        <v>9</v>
      </c>
      <c r="X1235">
        <v>71.290000000000006</v>
      </c>
      <c r="Y1235">
        <v>132.93799999999999</v>
      </c>
      <c r="Z1235">
        <v>4.4749999999999996</v>
      </c>
      <c r="AA1235">
        <v>0</v>
      </c>
      <c r="AB1235">
        <v>7.9000000000000001E-2</v>
      </c>
      <c r="AC1235">
        <v>20.530999999999999</v>
      </c>
      <c r="AD1235">
        <v>0</v>
      </c>
      <c r="AE1235">
        <v>0</v>
      </c>
      <c r="AF1235">
        <v>0</v>
      </c>
      <c r="AG1235">
        <v>2.8000000000000001E-2</v>
      </c>
      <c r="AH1235">
        <v>229.34100000000001</v>
      </c>
      <c r="AI1235" t="s">
        <v>22</v>
      </c>
      <c r="AJ1235">
        <v>1045</v>
      </c>
      <c r="AK1235">
        <v>920</v>
      </c>
      <c r="AL1235">
        <v>1260</v>
      </c>
      <c r="AM1235">
        <v>0</v>
      </c>
      <c r="AN1235">
        <v>10</v>
      </c>
      <c r="AO1235">
        <v>10</v>
      </c>
      <c r="AP1235">
        <v>0</v>
      </c>
      <c r="AQ1235">
        <v>0</v>
      </c>
      <c r="AR1235">
        <v>0</v>
      </c>
      <c r="AS1235">
        <v>25</v>
      </c>
      <c r="AT1235">
        <v>3270</v>
      </c>
      <c r="AU1235" t="s">
        <v>35</v>
      </c>
    </row>
    <row r="1236" spans="1:47" x14ac:dyDescent="0.2">
      <c r="A1236">
        <v>1826</v>
      </c>
      <c r="B1236" t="s">
        <v>644</v>
      </c>
      <c r="C1236">
        <v>1</v>
      </c>
      <c r="D1236" s="4" t="s">
        <v>934</v>
      </c>
      <c r="E1236" s="4" t="s">
        <v>934</v>
      </c>
      <c r="F1236" s="4" t="s">
        <v>645</v>
      </c>
      <c r="G1236" t="str">
        <f t="shared" si="19"/>
        <v>RUSALCA121DBO3.14</v>
      </c>
      <c r="H1236">
        <v>66.933000000000007</v>
      </c>
      <c r="I1236">
        <v>-170.98599999999999</v>
      </c>
      <c r="J1236" s="3">
        <v>20120929</v>
      </c>
      <c r="K1236">
        <v>2012</v>
      </c>
      <c r="L1236">
        <v>2.8966400000000001</v>
      </c>
      <c r="M1236">
        <v>16.16085</v>
      </c>
      <c r="N1236">
        <v>3.3130500000000001</v>
      </c>
      <c r="O1236">
        <v>1.7010000000000001E-2</v>
      </c>
      <c r="P1236">
        <v>0</v>
      </c>
      <c r="Q1236">
        <v>0</v>
      </c>
      <c r="R1236">
        <v>0.20435</v>
      </c>
      <c r="S1236">
        <v>0</v>
      </c>
      <c r="T1236">
        <v>0.44389000000000001</v>
      </c>
      <c r="U1236">
        <v>2.947E-2</v>
      </c>
      <c r="V1236">
        <v>23.065259999999999</v>
      </c>
      <c r="W1236" t="s">
        <v>10</v>
      </c>
      <c r="X1236">
        <v>40.332000000000001</v>
      </c>
      <c r="Y1236">
        <v>393.77600000000001</v>
      </c>
      <c r="Z1236">
        <v>45.786999999999999</v>
      </c>
      <c r="AA1236">
        <v>0.378</v>
      </c>
      <c r="AB1236">
        <v>0</v>
      </c>
      <c r="AC1236">
        <v>0</v>
      </c>
      <c r="AD1236">
        <v>3.35</v>
      </c>
      <c r="AE1236">
        <v>0</v>
      </c>
      <c r="AF1236">
        <v>4.7729999999999997</v>
      </c>
      <c r="AG1236">
        <v>2.5630000000000002</v>
      </c>
      <c r="AH1236">
        <v>490.959</v>
      </c>
      <c r="AI1236" t="s">
        <v>22</v>
      </c>
      <c r="AJ1236">
        <v>950</v>
      </c>
      <c r="AK1236">
        <v>1910</v>
      </c>
      <c r="AL1236">
        <v>5230</v>
      </c>
      <c r="AM1236">
        <v>42.5</v>
      </c>
      <c r="AN1236">
        <v>0</v>
      </c>
      <c r="AO1236">
        <v>0</v>
      </c>
      <c r="AP1236">
        <v>25</v>
      </c>
      <c r="AQ1236">
        <v>0</v>
      </c>
      <c r="AR1236">
        <v>42.5</v>
      </c>
      <c r="AS1236">
        <v>97.5</v>
      </c>
      <c r="AT1236">
        <v>8297.5</v>
      </c>
      <c r="AU1236" t="s">
        <v>35</v>
      </c>
    </row>
    <row r="1237" spans="1:47" x14ac:dyDescent="0.2">
      <c r="A1237">
        <v>1827</v>
      </c>
      <c r="B1237" t="s">
        <v>644</v>
      </c>
      <c r="C1237">
        <v>3</v>
      </c>
      <c r="D1237" t="s">
        <v>646</v>
      </c>
      <c r="G1237" t="str">
        <f t="shared" si="19"/>
        <v>RUSALCA123cs8</v>
      </c>
      <c r="H1237">
        <v>67.448999999999998</v>
      </c>
      <c r="I1237">
        <v>-169.60300000000001</v>
      </c>
      <c r="J1237" s="3">
        <v>20120830</v>
      </c>
      <c r="K1237">
        <v>2012</v>
      </c>
      <c r="L1237">
        <v>2.1563500000000002</v>
      </c>
      <c r="M1237">
        <v>180.85541000000001</v>
      </c>
      <c r="N1237">
        <v>1.31155</v>
      </c>
      <c r="O1237">
        <v>0</v>
      </c>
      <c r="P1237">
        <v>0.18337000000000001</v>
      </c>
      <c r="Q1237">
        <v>0</v>
      </c>
      <c r="R1237">
        <v>2.0682700000000001</v>
      </c>
      <c r="S1237">
        <v>0</v>
      </c>
      <c r="T1237">
        <v>6.7000000000000002E-3</v>
      </c>
      <c r="U1237">
        <v>8.5319999999999993E-2</v>
      </c>
      <c r="V1237">
        <v>186.66696999999999</v>
      </c>
      <c r="W1237" t="s">
        <v>10</v>
      </c>
      <c r="X1237">
        <v>36.273000000000003</v>
      </c>
      <c r="Y1237">
        <v>5170.4870000000001</v>
      </c>
      <c r="Z1237">
        <v>15.738</v>
      </c>
      <c r="AA1237">
        <v>0</v>
      </c>
      <c r="AB1237">
        <v>13.098000000000001</v>
      </c>
      <c r="AC1237">
        <v>0</v>
      </c>
      <c r="AD1237">
        <v>33.905999999999999</v>
      </c>
      <c r="AE1237">
        <v>0</v>
      </c>
      <c r="AF1237">
        <v>7.1999999999999995E-2</v>
      </c>
      <c r="AG1237">
        <v>1.8959999999999999</v>
      </c>
      <c r="AH1237">
        <v>5271.47</v>
      </c>
      <c r="AI1237" t="s">
        <v>22</v>
      </c>
      <c r="AJ1237">
        <v>1010</v>
      </c>
      <c r="AK1237">
        <v>4350</v>
      </c>
      <c r="AL1237">
        <v>4810</v>
      </c>
      <c r="AM1237">
        <v>0</v>
      </c>
      <c r="AN1237">
        <v>60</v>
      </c>
      <c r="AO1237">
        <v>0</v>
      </c>
      <c r="AP1237">
        <v>100</v>
      </c>
      <c r="AQ1237">
        <v>0</v>
      </c>
      <c r="AR1237">
        <v>10</v>
      </c>
      <c r="AS1237">
        <v>20</v>
      </c>
      <c r="AT1237">
        <v>10360</v>
      </c>
      <c r="AU1237" t="s">
        <v>35</v>
      </c>
    </row>
    <row r="1238" spans="1:47" x14ac:dyDescent="0.2">
      <c r="A1238">
        <v>1828</v>
      </c>
      <c r="B1238" t="s">
        <v>644</v>
      </c>
      <c r="C1238">
        <v>6</v>
      </c>
      <c r="D1238" t="s">
        <v>647</v>
      </c>
      <c r="G1238" t="str">
        <f t="shared" si="19"/>
        <v>RUSALCA126cs17</v>
      </c>
      <c r="H1238">
        <v>68.298000000000002</v>
      </c>
      <c r="I1238">
        <v>-167.042</v>
      </c>
      <c r="J1238" s="3">
        <v>20120901</v>
      </c>
      <c r="K1238">
        <v>2012</v>
      </c>
      <c r="L1238">
        <v>2.68811</v>
      </c>
      <c r="M1238">
        <v>1.45282</v>
      </c>
      <c r="N1238">
        <v>0.28687000000000001</v>
      </c>
      <c r="O1238">
        <v>0.25141999999999998</v>
      </c>
      <c r="P1238">
        <v>2.9159999999999998E-2</v>
      </c>
      <c r="Q1238">
        <v>2.0000000000000002E-5</v>
      </c>
      <c r="R1238">
        <v>2.0100000000000001E-3</v>
      </c>
      <c r="S1238">
        <v>2.0327199999999999</v>
      </c>
      <c r="T1238">
        <v>0.10276</v>
      </c>
      <c r="U1238">
        <v>1.3825000000000001</v>
      </c>
      <c r="V1238">
        <v>8.2283899999999992</v>
      </c>
      <c r="W1238" t="s">
        <v>9</v>
      </c>
      <c r="X1238">
        <v>37.374000000000002</v>
      </c>
      <c r="Y1238">
        <v>64.75</v>
      </c>
      <c r="Z1238">
        <v>3.8860000000000001</v>
      </c>
      <c r="AA1238">
        <v>5.5869999999999997</v>
      </c>
      <c r="AB1238">
        <v>2.0830000000000002</v>
      </c>
      <c r="AC1238">
        <v>3.0000000000000001E-3</v>
      </c>
      <c r="AD1238">
        <v>3.3000000000000002E-2</v>
      </c>
      <c r="AE1238">
        <v>54.133000000000003</v>
      </c>
      <c r="AF1238">
        <v>1.105</v>
      </c>
      <c r="AG1238">
        <v>78.945999999999998</v>
      </c>
      <c r="AH1238">
        <v>247.9</v>
      </c>
      <c r="AI1238" t="s">
        <v>30</v>
      </c>
      <c r="AJ1238">
        <v>2367.5</v>
      </c>
      <c r="AK1238">
        <v>235</v>
      </c>
      <c r="AL1238">
        <v>785</v>
      </c>
      <c r="AM1238">
        <v>372.5</v>
      </c>
      <c r="AN1238">
        <v>490</v>
      </c>
      <c r="AO1238">
        <v>2.5</v>
      </c>
      <c r="AP1238">
        <v>0</v>
      </c>
      <c r="AQ1238">
        <v>85</v>
      </c>
      <c r="AR1238">
        <v>70</v>
      </c>
      <c r="AS1238">
        <v>432.5</v>
      </c>
      <c r="AT1238">
        <v>4840</v>
      </c>
      <c r="AU1238" t="s">
        <v>33</v>
      </c>
    </row>
    <row r="1239" spans="1:47" x14ac:dyDescent="0.2">
      <c r="A1239">
        <v>1829</v>
      </c>
      <c r="B1239" t="s">
        <v>644</v>
      </c>
      <c r="C1239">
        <v>8</v>
      </c>
      <c r="D1239" t="s">
        <v>648</v>
      </c>
      <c r="G1239" t="str">
        <f t="shared" si="19"/>
        <v>RUSALCA128cl1</v>
      </c>
      <c r="H1239">
        <v>68.947999999999993</v>
      </c>
      <c r="I1239">
        <v>-166.91800000000001</v>
      </c>
      <c r="J1239" s="3">
        <v>20120902</v>
      </c>
      <c r="K1239">
        <v>2012</v>
      </c>
      <c r="L1239">
        <v>0.68320000000000003</v>
      </c>
      <c r="M1239">
        <v>0.20294999999999999</v>
      </c>
      <c r="N1239">
        <v>9.5899999999999996E-3</v>
      </c>
      <c r="O1239">
        <v>2.3000000000000001E-4</v>
      </c>
      <c r="P1239">
        <v>1.16E-3</v>
      </c>
      <c r="Q1239">
        <v>8.0000000000000007E-5</v>
      </c>
      <c r="R1239">
        <v>0</v>
      </c>
      <c r="S1239">
        <v>0</v>
      </c>
      <c r="T1239">
        <v>3.16E-3</v>
      </c>
      <c r="U1239">
        <v>2.4279999999999999E-2</v>
      </c>
      <c r="V1239">
        <v>0.92464999999999997</v>
      </c>
      <c r="W1239" t="s">
        <v>9</v>
      </c>
      <c r="X1239">
        <v>11.492000000000001</v>
      </c>
      <c r="Y1239">
        <v>7.7290000000000001</v>
      </c>
      <c r="Z1239">
        <v>0.128</v>
      </c>
      <c r="AA1239">
        <v>5.0000000000000001E-3</v>
      </c>
      <c r="AB1239">
        <v>8.3000000000000004E-2</v>
      </c>
      <c r="AC1239">
        <v>7.0000000000000001E-3</v>
      </c>
      <c r="AD1239">
        <v>0</v>
      </c>
      <c r="AE1239">
        <v>0</v>
      </c>
      <c r="AF1239">
        <v>3.4000000000000002E-2</v>
      </c>
      <c r="AG1239">
        <v>0.86499999999999999</v>
      </c>
      <c r="AH1239">
        <v>20.343</v>
      </c>
      <c r="AI1239" t="s">
        <v>21</v>
      </c>
      <c r="AJ1239">
        <v>790</v>
      </c>
      <c r="AK1239">
        <v>1580</v>
      </c>
      <c r="AL1239">
        <v>182.5</v>
      </c>
      <c r="AM1239">
        <v>5</v>
      </c>
      <c r="AN1239">
        <v>112.5</v>
      </c>
      <c r="AO1239">
        <v>7.5</v>
      </c>
      <c r="AP1239">
        <v>0</v>
      </c>
      <c r="AQ1239">
        <v>0</v>
      </c>
      <c r="AR1239">
        <v>0</v>
      </c>
      <c r="AS1239">
        <v>55</v>
      </c>
      <c r="AT1239">
        <v>2732.5</v>
      </c>
      <c r="AU1239" t="s">
        <v>34</v>
      </c>
    </row>
    <row r="1240" spans="1:47" x14ac:dyDescent="0.2">
      <c r="A1240">
        <v>1830</v>
      </c>
      <c r="B1240" t="s">
        <v>644</v>
      </c>
      <c r="C1240">
        <v>10</v>
      </c>
      <c r="D1240" t="s">
        <v>649</v>
      </c>
      <c r="G1240" t="str">
        <f t="shared" si="19"/>
        <v>RUSALCA1210cl3</v>
      </c>
      <c r="H1240">
        <v>69.003</v>
      </c>
      <c r="I1240">
        <v>-168.89400000000001</v>
      </c>
      <c r="J1240" s="3">
        <v>20120902</v>
      </c>
      <c r="K1240">
        <v>2012</v>
      </c>
      <c r="L1240">
        <v>0.59060999999999997</v>
      </c>
      <c r="M1240">
        <v>0.14252999999999999</v>
      </c>
      <c r="N1240">
        <v>0.10881</v>
      </c>
      <c r="O1240">
        <v>3.1509499999999999</v>
      </c>
      <c r="P1240">
        <v>1.1E-4</v>
      </c>
      <c r="Q1240">
        <v>3.0000000000000001E-5</v>
      </c>
      <c r="R1240">
        <v>0</v>
      </c>
      <c r="S1240">
        <v>0</v>
      </c>
      <c r="T1240">
        <v>0</v>
      </c>
      <c r="U1240">
        <v>4.81E-3</v>
      </c>
      <c r="V1240">
        <v>3.9978500000000001</v>
      </c>
      <c r="W1240" t="s">
        <v>12</v>
      </c>
      <c r="X1240">
        <v>8.4429999999999996</v>
      </c>
      <c r="Y1240">
        <v>4.492</v>
      </c>
      <c r="Z1240">
        <v>1.355</v>
      </c>
      <c r="AA1240">
        <v>70.021000000000001</v>
      </c>
      <c r="AB1240">
        <v>8.0000000000000002E-3</v>
      </c>
      <c r="AC1240">
        <v>3.0000000000000001E-3</v>
      </c>
      <c r="AD1240">
        <v>0</v>
      </c>
      <c r="AE1240">
        <v>0</v>
      </c>
      <c r="AF1240">
        <v>0</v>
      </c>
      <c r="AG1240">
        <v>8.5999999999999993E-2</v>
      </c>
      <c r="AH1240">
        <v>84.408000000000001</v>
      </c>
      <c r="AI1240" t="s">
        <v>24</v>
      </c>
      <c r="AJ1240">
        <v>167.5</v>
      </c>
      <c r="AK1240">
        <v>2132.5</v>
      </c>
      <c r="AL1240">
        <v>77.5</v>
      </c>
      <c r="AM1240">
        <v>2.5</v>
      </c>
      <c r="AN1240">
        <v>7.5</v>
      </c>
      <c r="AO1240">
        <v>2.5</v>
      </c>
      <c r="AP1240">
        <v>0</v>
      </c>
      <c r="AQ1240">
        <v>0</v>
      </c>
      <c r="AR1240">
        <v>0</v>
      </c>
      <c r="AS1240">
        <v>30</v>
      </c>
      <c r="AT1240">
        <v>2420</v>
      </c>
      <c r="AU1240" t="s">
        <v>34</v>
      </c>
    </row>
    <row r="1241" spans="1:47" x14ac:dyDescent="0.2">
      <c r="A1241">
        <v>1831</v>
      </c>
      <c r="B1241" t="s">
        <v>644</v>
      </c>
      <c r="C1241">
        <v>14</v>
      </c>
      <c r="D1241" t="s">
        <v>650</v>
      </c>
      <c r="G1241" t="str">
        <f t="shared" si="19"/>
        <v>RUSALCA1214cl6</v>
      </c>
      <c r="H1241">
        <v>68.519000000000005</v>
      </c>
      <c r="I1241">
        <v>-171.46199999999999</v>
      </c>
      <c r="J1241" s="3">
        <v>20120902</v>
      </c>
      <c r="K1241">
        <v>2012</v>
      </c>
      <c r="L1241">
        <v>1.4512</v>
      </c>
      <c r="M1241">
        <v>16.706769999999999</v>
      </c>
      <c r="N1241">
        <v>1.46973</v>
      </c>
      <c r="O1241">
        <v>0</v>
      </c>
      <c r="P1241">
        <v>3.4000000000000002E-4</v>
      </c>
      <c r="Q1241">
        <v>0</v>
      </c>
      <c r="R1241">
        <v>2.69163</v>
      </c>
      <c r="S1241">
        <v>0</v>
      </c>
      <c r="T1241">
        <v>2.33E-3</v>
      </c>
      <c r="U1241">
        <v>0</v>
      </c>
      <c r="V1241">
        <v>22.321999999999999</v>
      </c>
      <c r="W1241" t="s">
        <v>10</v>
      </c>
      <c r="X1241">
        <v>23.596</v>
      </c>
      <c r="Y1241">
        <v>525.42999999999995</v>
      </c>
      <c r="Z1241">
        <v>17.305</v>
      </c>
      <c r="AA1241">
        <v>0</v>
      </c>
      <c r="AB1241">
        <v>2.4E-2</v>
      </c>
      <c r="AC1241">
        <v>0</v>
      </c>
      <c r="AD1241">
        <v>44.125</v>
      </c>
      <c r="AE1241">
        <v>0</v>
      </c>
      <c r="AF1241">
        <v>2.5000000000000001E-2</v>
      </c>
      <c r="AG1241">
        <v>0</v>
      </c>
      <c r="AH1241">
        <v>610.505</v>
      </c>
      <c r="AI1241" t="s">
        <v>22</v>
      </c>
      <c r="AJ1241">
        <v>680</v>
      </c>
      <c r="AK1241">
        <v>2867.5</v>
      </c>
      <c r="AL1241">
        <v>1652.5</v>
      </c>
      <c r="AM1241">
        <v>0</v>
      </c>
      <c r="AN1241">
        <v>2.5</v>
      </c>
      <c r="AO1241">
        <v>0</v>
      </c>
      <c r="AP1241">
        <v>55</v>
      </c>
      <c r="AQ1241">
        <v>0</v>
      </c>
      <c r="AR1241">
        <v>7.5</v>
      </c>
      <c r="AS1241">
        <v>0</v>
      </c>
      <c r="AT1241">
        <v>5265</v>
      </c>
      <c r="AU1241" t="s">
        <v>34</v>
      </c>
    </row>
    <row r="1242" spans="1:47" x14ac:dyDescent="0.2">
      <c r="A1242">
        <v>1832</v>
      </c>
      <c r="B1242" t="s">
        <v>644</v>
      </c>
      <c r="C1242">
        <v>17</v>
      </c>
      <c r="D1242" t="s">
        <v>651</v>
      </c>
      <c r="G1242" t="str">
        <f t="shared" si="19"/>
        <v>RUSALCA1217cen5</v>
      </c>
      <c r="H1242">
        <v>69.679000000000002</v>
      </c>
      <c r="I1242">
        <v>-174.846</v>
      </c>
      <c r="J1242" s="3">
        <v>20120905</v>
      </c>
      <c r="K1242">
        <v>2012</v>
      </c>
      <c r="L1242">
        <v>5.3079000000000001</v>
      </c>
      <c r="M1242">
        <v>9.4570000000000001E-2</v>
      </c>
      <c r="N1242">
        <v>0</v>
      </c>
      <c r="O1242">
        <v>0</v>
      </c>
      <c r="P1242">
        <v>6.5280000000000005E-2</v>
      </c>
      <c r="Q1242">
        <v>0</v>
      </c>
      <c r="R1242">
        <v>0</v>
      </c>
      <c r="S1242">
        <v>0</v>
      </c>
      <c r="T1242">
        <v>0</v>
      </c>
      <c r="U1242">
        <v>6.5503400000000003</v>
      </c>
      <c r="V1242">
        <v>12.018090000000001</v>
      </c>
      <c r="W1242" t="s">
        <v>18</v>
      </c>
      <c r="X1242">
        <v>77.665999999999997</v>
      </c>
      <c r="Y1242">
        <v>2.9129999999999998</v>
      </c>
      <c r="Z1242">
        <v>0</v>
      </c>
      <c r="AA1242">
        <v>0</v>
      </c>
      <c r="AB1242">
        <v>4.6630000000000003</v>
      </c>
      <c r="AC1242">
        <v>0</v>
      </c>
      <c r="AD1242">
        <v>0</v>
      </c>
      <c r="AE1242">
        <v>0</v>
      </c>
      <c r="AF1242">
        <v>0</v>
      </c>
      <c r="AG1242">
        <v>131.011</v>
      </c>
      <c r="AH1242">
        <v>216.25299999999999</v>
      </c>
      <c r="AI1242" t="s">
        <v>30</v>
      </c>
      <c r="AJ1242">
        <v>1870</v>
      </c>
      <c r="AK1242">
        <v>1110</v>
      </c>
      <c r="AL1242">
        <v>0</v>
      </c>
      <c r="AM1242">
        <v>0</v>
      </c>
      <c r="AN1242">
        <v>130</v>
      </c>
      <c r="AO1242">
        <v>0</v>
      </c>
      <c r="AP1242">
        <v>0</v>
      </c>
      <c r="AQ1242">
        <v>0</v>
      </c>
      <c r="AR1242">
        <v>0</v>
      </c>
      <c r="AS1242">
        <v>100</v>
      </c>
      <c r="AT1242">
        <v>3210</v>
      </c>
      <c r="AU1242" t="s">
        <v>33</v>
      </c>
    </row>
    <row r="1243" spans="1:47" x14ac:dyDescent="0.2">
      <c r="A1243">
        <v>1833</v>
      </c>
      <c r="B1243" t="s">
        <v>644</v>
      </c>
      <c r="C1243">
        <v>19</v>
      </c>
      <c r="D1243" t="s">
        <v>652</v>
      </c>
      <c r="G1243" t="str">
        <f t="shared" si="19"/>
        <v>RUSALCA1219cen3</v>
      </c>
      <c r="H1243">
        <v>70.28</v>
      </c>
      <c r="I1243">
        <v>-176.66900000000001</v>
      </c>
      <c r="J1243" s="3">
        <v>20120906</v>
      </c>
      <c r="K1243">
        <v>2012</v>
      </c>
      <c r="L1243">
        <v>4.1455700000000002</v>
      </c>
      <c r="M1243">
        <v>0.68298999999999999</v>
      </c>
      <c r="N1243">
        <v>1.329E-2</v>
      </c>
      <c r="O1243">
        <v>0.26275999999999999</v>
      </c>
      <c r="P1243">
        <v>0</v>
      </c>
      <c r="Q1243">
        <v>0</v>
      </c>
      <c r="R1243">
        <v>0</v>
      </c>
      <c r="S1243">
        <v>3.4849999999999999E-2</v>
      </c>
      <c r="T1243">
        <v>7.3999999999999999E-4</v>
      </c>
      <c r="U1243">
        <v>1.491E-2</v>
      </c>
      <c r="V1243">
        <v>5.1551099999999996</v>
      </c>
      <c r="W1243" t="s">
        <v>9</v>
      </c>
      <c r="X1243">
        <v>59.082000000000001</v>
      </c>
      <c r="Y1243">
        <v>43.463000000000001</v>
      </c>
      <c r="Z1243">
        <v>0.192</v>
      </c>
      <c r="AA1243">
        <v>5.8390000000000004</v>
      </c>
      <c r="AB1243">
        <v>0</v>
      </c>
      <c r="AC1243">
        <v>0</v>
      </c>
      <c r="AD1243">
        <v>0</v>
      </c>
      <c r="AE1243">
        <v>0.85</v>
      </c>
      <c r="AF1243">
        <v>8.0000000000000002E-3</v>
      </c>
      <c r="AG1243">
        <v>1.3919999999999999</v>
      </c>
      <c r="AH1243">
        <v>110.82599999999999</v>
      </c>
      <c r="AI1243" t="s">
        <v>21</v>
      </c>
      <c r="AJ1243">
        <v>277.5</v>
      </c>
      <c r="AK1243">
        <v>230</v>
      </c>
      <c r="AL1243">
        <v>57.5</v>
      </c>
      <c r="AM1243">
        <v>7.5</v>
      </c>
      <c r="AN1243">
        <v>0</v>
      </c>
      <c r="AO1243">
        <v>0</v>
      </c>
      <c r="AP1243">
        <v>0</v>
      </c>
      <c r="AQ1243">
        <v>5</v>
      </c>
      <c r="AR1243">
        <v>2.5</v>
      </c>
      <c r="AS1243">
        <v>25</v>
      </c>
      <c r="AT1243">
        <v>605</v>
      </c>
      <c r="AU1243" t="s">
        <v>33</v>
      </c>
    </row>
    <row r="1244" spans="1:47" x14ac:dyDescent="0.2">
      <c r="A1244">
        <v>1834</v>
      </c>
      <c r="B1244" t="s">
        <v>644</v>
      </c>
      <c r="C1244">
        <v>23</v>
      </c>
      <c r="D1244" t="s">
        <v>653</v>
      </c>
      <c r="G1244" t="str">
        <f t="shared" si="19"/>
        <v>RUSALCA1223cen1a</v>
      </c>
      <c r="H1244">
        <v>70.709000000000003</v>
      </c>
      <c r="I1244">
        <v>-178.29900000000001</v>
      </c>
      <c r="J1244" s="3">
        <v>20120906</v>
      </c>
      <c r="K1244">
        <v>2012</v>
      </c>
      <c r="L1244">
        <v>1.74654</v>
      </c>
      <c r="M1244">
        <v>3.30267</v>
      </c>
      <c r="N1244">
        <v>8.2879999999999995E-2</v>
      </c>
      <c r="O1244">
        <v>0</v>
      </c>
      <c r="P1244">
        <v>8.0000000000000007E-5</v>
      </c>
      <c r="Q1244">
        <v>0</v>
      </c>
      <c r="R1244">
        <v>0</v>
      </c>
      <c r="S1244">
        <v>4.5429999999999998E-2</v>
      </c>
      <c r="T1244">
        <v>0</v>
      </c>
      <c r="U1244">
        <v>7.5000000000000002E-4</v>
      </c>
      <c r="V1244">
        <v>5.17835</v>
      </c>
      <c r="W1244" t="s">
        <v>10</v>
      </c>
      <c r="X1244">
        <v>26.01</v>
      </c>
      <c r="Y1244">
        <v>118.925</v>
      </c>
      <c r="Z1244">
        <v>1.206</v>
      </c>
      <c r="AA1244">
        <v>0</v>
      </c>
      <c r="AB1244">
        <v>6.0000000000000001E-3</v>
      </c>
      <c r="AC1244">
        <v>0</v>
      </c>
      <c r="AD1244">
        <v>0</v>
      </c>
      <c r="AE1244">
        <v>3.2080000000000002</v>
      </c>
      <c r="AF1244">
        <v>0</v>
      </c>
      <c r="AG1244">
        <v>2.8000000000000001E-2</v>
      </c>
      <c r="AH1244">
        <v>149.38300000000001</v>
      </c>
      <c r="AI1244" t="s">
        <v>22</v>
      </c>
      <c r="AJ1244">
        <v>632.5</v>
      </c>
      <c r="AK1244">
        <v>1392.5</v>
      </c>
      <c r="AL1244">
        <v>165</v>
      </c>
      <c r="AM1244">
        <v>2.5</v>
      </c>
      <c r="AN1244">
        <v>2.5</v>
      </c>
      <c r="AO1244">
        <v>0</v>
      </c>
      <c r="AP1244">
        <v>0</v>
      </c>
      <c r="AQ1244">
        <v>2.5</v>
      </c>
      <c r="AR1244">
        <v>2.5</v>
      </c>
      <c r="AS1244">
        <v>2.5</v>
      </c>
      <c r="AT1244">
        <v>2202.5</v>
      </c>
      <c r="AU1244" t="s">
        <v>34</v>
      </c>
    </row>
    <row r="1245" spans="1:47" x14ac:dyDescent="0.2">
      <c r="A1245">
        <v>1835</v>
      </c>
      <c r="B1245" t="s">
        <v>644</v>
      </c>
      <c r="C1245">
        <v>24</v>
      </c>
      <c r="D1245" t="s">
        <v>654</v>
      </c>
      <c r="G1245" t="str">
        <f t="shared" si="19"/>
        <v>RUSALCA1224hc1</v>
      </c>
      <c r="H1245">
        <v>70.918999999999997</v>
      </c>
      <c r="I1245">
        <v>-173.899</v>
      </c>
      <c r="J1245" s="3">
        <v>20120907</v>
      </c>
      <c r="K1245">
        <v>2012</v>
      </c>
      <c r="L1245">
        <v>0.75619999999999998</v>
      </c>
      <c r="M1245">
        <v>3.0929999999999999E-2</v>
      </c>
      <c r="N1245">
        <v>6.037E-2</v>
      </c>
      <c r="O1245">
        <v>0</v>
      </c>
      <c r="P1245">
        <v>0</v>
      </c>
      <c r="Q1245">
        <v>0</v>
      </c>
      <c r="R1245">
        <v>6.8900000000000003E-3</v>
      </c>
      <c r="S1245">
        <v>3.0089999999999999E-2</v>
      </c>
      <c r="T1245">
        <v>0</v>
      </c>
      <c r="U1245">
        <v>4.1599999999999996E-3</v>
      </c>
      <c r="V1245">
        <v>0.88863999999999999</v>
      </c>
      <c r="W1245" t="s">
        <v>9</v>
      </c>
      <c r="X1245">
        <v>11.250999999999999</v>
      </c>
      <c r="Y1245">
        <v>0.84699999999999998</v>
      </c>
      <c r="Z1245">
        <v>0.88500000000000001</v>
      </c>
      <c r="AA1245">
        <v>0</v>
      </c>
      <c r="AB1245">
        <v>0</v>
      </c>
      <c r="AC1245">
        <v>0</v>
      </c>
      <c r="AD1245">
        <v>0.113</v>
      </c>
      <c r="AE1245">
        <v>0.73399999999999999</v>
      </c>
      <c r="AF1245">
        <v>0</v>
      </c>
      <c r="AG1245">
        <v>0.16500000000000001</v>
      </c>
      <c r="AH1245">
        <v>13.994999999999999</v>
      </c>
      <c r="AI1245" t="s">
        <v>21</v>
      </c>
      <c r="AJ1245">
        <v>165</v>
      </c>
      <c r="AK1245">
        <v>192.5</v>
      </c>
      <c r="AL1245">
        <v>42.5</v>
      </c>
      <c r="AM1245">
        <v>0</v>
      </c>
      <c r="AN1245">
        <v>0</v>
      </c>
      <c r="AO1245">
        <v>0</v>
      </c>
      <c r="AP1245">
        <v>0</v>
      </c>
      <c r="AQ1245">
        <v>242.5</v>
      </c>
      <c r="AR1245">
        <v>0</v>
      </c>
      <c r="AS1245">
        <v>10</v>
      </c>
      <c r="AT1245">
        <v>652.5</v>
      </c>
      <c r="AU1245" t="s">
        <v>40</v>
      </c>
    </row>
    <row r="1246" spans="1:47" x14ac:dyDescent="0.2">
      <c r="A1246">
        <v>1836</v>
      </c>
      <c r="B1246" t="s">
        <v>644</v>
      </c>
      <c r="C1246">
        <v>25</v>
      </c>
      <c r="D1246" t="s">
        <v>655</v>
      </c>
      <c r="G1246" t="str">
        <f t="shared" si="19"/>
        <v>RUSALCA1225hc2</v>
      </c>
      <c r="H1246">
        <v>70.900000000000006</v>
      </c>
      <c r="I1246">
        <v>-175.01300000000001</v>
      </c>
      <c r="J1246" s="3">
        <v>20120907</v>
      </c>
      <c r="K1246">
        <v>2012</v>
      </c>
      <c r="L1246">
        <v>0.37608000000000003</v>
      </c>
      <c r="M1246">
        <v>5.9900000000000002E-2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0.58479000000000003</v>
      </c>
      <c r="V1246">
        <v>1.02077</v>
      </c>
      <c r="W1246" t="s">
        <v>18</v>
      </c>
      <c r="X1246">
        <v>5.4450000000000003</v>
      </c>
      <c r="Y1246">
        <v>2.9860000000000002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58.478999999999999</v>
      </c>
      <c r="AH1246">
        <v>66.91</v>
      </c>
      <c r="AI1246" t="s">
        <v>30</v>
      </c>
      <c r="AJ1246">
        <v>32.5</v>
      </c>
      <c r="AK1246">
        <v>137.5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7.5</v>
      </c>
      <c r="AT1246">
        <v>177.5</v>
      </c>
      <c r="AU1246" t="s">
        <v>34</v>
      </c>
    </row>
    <row r="1247" spans="1:47" x14ac:dyDescent="0.2">
      <c r="A1247">
        <v>1837</v>
      </c>
      <c r="B1247" t="s">
        <v>644</v>
      </c>
      <c r="C1247">
        <v>26</v>
      </c>
      <c r="D1247" t="s">
        <v>656</v>
      </c>
      <c r="G1247" t="str">
        <f t="shared" si="19"/>
        <v>RUSALCA1226hc3</v>
      </c>
      <c r="H1247">
        <v>71.003</v>
      </c>
      <c r="I1247">
        <v>-175.934</v>
      </c>
      <c r="J1247" s="3">
        <v>20120908</v>
      </c>
      <c r="K1247">
        <v>2012</v>
      </c>
      <c r="L1247">
        <v>4.9604900000000001</v>
      </c>
      <c r="M1247">
        <v>2.9393799999999999</v>
      </c>
      <c r="N1247">
        <v>0.28843000000000002</v>
      </c>
      <c r="O1247">
        <v>2.94746</v>
      </c>
      <c r="P1247">
        <v>1.7250000000000001E-2</v>
      </c>
      <c r="Q1247">
        <v>0</v>
      </c>
      <c r="R1247">
        <v>0.19525999999999999</v>
      </c>
      <c r="S1247">
        <v>1.644E-2</v>
      </c>
      <c r="T1247">
        <v>4.9480000000000003E-2</v>
      </c>
      <c r="U1247">
        <v>2.2115800000000001</v>
      </c>
      <c r="V1247">
        <v>13.625769999999999</v>
      </c>
      <c r="W1247" t="s">
        <v>9</v>
      </c>
      <c r="X1247">
        <v>69.349999999999994</v>
      </c>
      <c r="Y1247">
        <v>109.083</v>
      </c>
      <c r="Z1247">
        <v>3.677</v>
      </c>
      <c r="AA1247">
        <v>65.498999999999995</v>
      </c>
      <c r="AB1247">
        <v>1.232</v>
      </c>
      <c r="AC1247">
        <v>0</v>
      </c>
      <c r="AD1247">
        <v>3.2010000000000001</v>
      </c>
      <c r="AE1247">
        <v>0.40100000000000002</v>
      </c>
      <c r="AF1247">
        <v>0.53200000000000003</v>
      </c>
      <c r="AG1247">
        <v>90.483000000000004</v>
      </c>
      <c r="AH1247">
        <v>343.45800000000003</v>
      </c>
      <c r="AI1247" t="s">
        <v>22</v>
      </c>
      <c r="AJ1247">
        <v>1117.5</v>
      </c>
      <c r="AK1247">
        <v>397.5</v>
      </c>
      <c r="AL1247">
        <v>815</v>
      </c>
      <c r="AM1247">
        <v>40</v>
      </c>
      <c r="AN1247">
        <v>20</v>
      </c>
      <c r="AO1247">
        <v>0</v>
      </c>
      <c r="AP1247">
        <v>0</v>
      </c>
      <c r="AQ1247">
        <v>2.5</v>
      </c>
      <c r="AR1247">
        <v>5</v>
      </c>
      <c r="AS1247">
        <v>110</v>
      </c>
      <c r="AT1247">
        <v>2507.5</v>
      </c>
      <c r="AU1247" t="s">
        <v>33</v>
      </c>
    </row>
    <row r="1248" spans="1:47" x14ac:dyDescent="0.2">
      <c r="A1248">
        <v>1838</v>
      </c>
      <c r="B1248" t="s">
        <v>644</v>
      </c>
      <c r="C1248">
        <v>27</v>
      </c>
      <c r="D1248" t="s">
        <v>657</v>
      </c>
      <c r="G1248" t="str">
        <f t="shared" si="19"/>
        <v>RUSALCA1227hc26-1</v>
      </c>
      <c r="H1248">
        <v>71.787999999999997</v>
      </c>
      <c r="I1248">
        <v>-174.39500000000001</v>
      </c>
      <c r="J1248" s="3">
        <v>20120908</v>
      </c>
      <c r="K1248">
        <v>2012</v>
      </c>
      <c r="L1248">
        <v>0.22234999999999999</v>
      </c>
      <c r="M1248">
        <v>6.5369999999999998E-2</v>
      </c>
      <c r="N1248">
        <v>3.5200000000000001E-3</v>
      </c>
      <c r="O1248">
        <v>0</v>
      </c>
      <c r="P1248">
        <v>0</v>
      </c>
      <c r="Q1248">
        <v>0</v>
      </c>
      <c r="R1248">
        <v>0.35959999999999998</v>
      </c>
      <c r="S1248">
        <v>0</v>
      </c>
      <c r="T1248">
        <v>0</v>
      </c>
      <c r="U1248">
        <v>0.36231999999999998</v>
      </c>
      <c r="V1248">
        <v>1.0131600000000001</v>
      </c>
      <c r="W1248" t="s">
        <v>18</v>
      </c>
      <c r="X1248">
        <v>3.1669999999999998</v>
      </c>
      <c r="Y1248">
        <v>3.2639999999999998</v>
      </c>
      <c r="Z1248">
        <v>4.8000000000000001E-2</v>
      </c>
      <c r="AA1248">
        <v>0</v>
      </c>
      <c r="AB1248">
        <v>0</v>
      </c>
      <c r="AC1248">
        <v>0</v>
      </c>
      <c r="AD1248">
        <v>5.8949999999999996</v>
      </c>
      <c r="AE1248">
        <v>0</v>
      </c>
      <c r="AF1248">
        <v>0</v>
      </c>
      <c r="AG1248">
        <v>36.148000000000003</v>
      </c>
      <c r="AH1248">
        <v>48.521999999999998</v>
      </c>
      <c r="AI1248" t="s">
        <v>30</v>
      </c>
      <c r="AJ1248">
        <v>52.5</v>
      </c>
      <c r="AK1248">
        <v>67.5</v>
      </c>
      <c r="AL1248">
        <v>30</v>
      </c>
      <c r="AM1248">
        <v>0</v>
      </c>
      <c r="AN1248">
        <v>0</v>
      </c>
      <c r="AO1248">
        <v>0</v>
      </c>
      <c r="AP1248">
        <v>5</v>
      </c>
      <c r="AQ1248">
        <v>0</v>
      </c>
      <c r="AR1248">
        <v>0</v>
      </c>
      <c r="AS1248">
        <v>10</v>
      </c>
      <c r="AT1248">
        <v>165</v>
      </c>
      <c r="AU1248" t="s">
        <v>34</v>
      </c>
    </row>
    <row r="1249" spans="1:47" x14ac:dyDescent="0.2">
      <c r="A1249">
        <v>1839</v>
      </c>
      <c r="B1249" t="s">
        <v>644</v>
      </c>
      <c r="C1249">
        <v>32</v>
      </c>
      <c r="D1249" t="s">
        <v>658</v>
      </c>
      <c r="G1249" t="str">
        <f t="shared" si="19"/>
        <v>RUSALCA1232hc22</v>
      </c>
      <c r="H1249">
        <v>71.707999999999998</v>
      </c>
      <c r="I1249">
        <v>-174.89</v>
      </c>
      <c r="J1249" s="3">
        <v>20120908</v>
      </c>
      <c r="K1249">
        <v>2012</v>
      </c>
      <c r="L1249">
        <v>0.43787999999999999</v>
      </c>
      <c r="M1249">
        <v>0.91417999999999999</v>
      </c>
      <c r="N1249">
        <v>2.3400000000000001E-3</v>
      </c>
      <c r="O1249">
        <v>6.1772400000000003</v>
      </c>
      <c r="P1249">
        <v>6.0000000000000002E-5</v>
      </c>
      <c r="Q1249">
        <v>0</v>
      </c>
      <c r="R1249">
        <v>0</v>
      </c>
      <c r="S1249">
        <v>0</v>
      </c>
      <c r="T1249">
        <v>0</v>
      </c>
      <c r="U1249">
        <v>5.1500000000000001E-3</v>
      </c>
      <c r="V1249">
        <v>7.5368500000000003</v>
      </c>
      <c r="W1249" t="s">
        <v>12</v>
      </c>
      <c r="X1249">
        <v>6.3319999999999999</v>
      </c>
      <c r="Y1249">
        <v>46.7</v>
      </c>
      <c r="Z1249">
        <v>3.1E-2</v>
      </c>
      <c r="AA1249">
        <v>137.27199999999999</v>
      </c>
      <c r="AB1249">
        <v>4.0000000000000001E-3</v>
      </c>
      <c r="AC1249">
        <v>0</v>
      </c>
      <c r="AD1249">
        <v>0</v>
      </c>
      <c r="AE1249">
        <v>0</v>
      </c>
      <c r="AF1249">
        <v>0</v>
      </c>
      <c r="AG1249">
        <v>8.3000000000000004E-2</v>
      </c>
      <c r="AH1249">
        <v>190.422</v>
      </c>
      <c r="AI1249" t="s">
        <v>24</v>
      </c>
      <c r="AJ1249">
        <v>102.5</v>
      </c>
      <c r="AK1249">
        <v>595</v>
      </c>
      <c r="AL1249">
        <v>30</v>
      </c>
      <c r="AM1249">
        <v>7.5</v>
      </c>
      <c r="AN1249">
        <v>7.5</v>
      </c>
      <c r="AO1249">
        <v>0</v>
      </c>
      <c r="AP1249">
        <v>0</v>
      </c>
      <c r="AQ1249">
        <v>0</v>
      </c>
      <c r="AR1249">
        <v>0</v>
      </c>
      <c r="AS1249">
        <v>32.5</v>
      </c>
      <c r="AT1249">
        <v>775</v>
      </c>
      <c r="AU1249" t="s">
        <v>34</v>
      </c>
    </row>
    <row r="1250" spans="1:47" x14ac:dyDescent="0.2">
      <c r="A1250">
        <v>1840</v>
      </c>
      <c r="B1250" t="s">
        <v>644</v>
      </c>
      <c r="C1250">
        <v>36</v>
      </c>
      <c r="D1250" t="s">
        <v>659</v>
      </c>
      <c r="G1250" t="str">
        <f t="shared" si="19"/>
        <v>RUSALCA1236hc18</v>
      </c>
      <c r="H1250">
        <v>71.622</v>
      </c>
      <c r="I1250">
        <v>-175.41</v>
      </c>
      <c r="J1250" s="3">
        <v>20120909</v>
      </c>
      <c r="K1250">
        <v>2012</v>
      </c>
      <c r="L1250">
        <v>8.9877199999999995</v>
      </c>
      <c r="M1250">
        <v>2.2727200000000001</v>
      </c>
      <c r="N1250">
        <v>0.56169000000000002</v>
      </c>
      <c r="O1250">
        <v>2.04291</v>
      </c>
      <c r="P1250">
        <v>3.4590000000000003E-2</v>
      </c>
      <c r="Q1250">
        <v>0</v>
      </c>
      <c r="R1250">
        <v>0.48869000000000001</v>
      </c>
      <c r="S1250">
        <v>2.9E-4</v>
      </c>
      <c r="T1250">
        <v>1.4789999999999999E-2</v>
      </c>
      <c r="U1250">
        <v>0.1419</v>
      </c>
      <c r="V1250">
        <v>14.545299999999999</v>
      </c>
      <c r="W1250" t="s">
        <v>9</v>
      </c>
      <c r="X1250">
        <v>126.801</v>
      </c>
      <c r="Y1250">
        <v>133.64500000000001</v>
      </c>
      <c r="Z1250">
        <v>7.524</v>
      </c>
      <c r="AA1250">
        <v>45.398000000000003</v>
      </c>
      <c r="AB1250">
        <v>2.4710000000000001</v>
      </c>
      <c r="AC1250">
        <v>0</v>
      </c>
      <c r="AD1250">
        <v>12.084</v>
      </c>
      <c r="AE1250">
        <v>7.0000000000000001E-3</v>
      </c>
      <c r="AF1250">
        <v>0.159</v>
      </c>
      <c r="AG1250">
        <v>8.0920000000000005</v>
      </c>
      <c r="AH1250">
        <v>336.18099999999998</v>
      </c>
      <c r="AI1250" t="s">
        <v>22</v>
      </c>
      <c r="AJ1250">
        <v>2360</v>
      </c>
      <c r="AK1250">
        <v>482.5</v>
      </c>
      <c r="AL1250">
        <v>1077.5</v>
      </c>
      <c r="AM1250">
        <v>25</v>
      </c>
      <c r="AN1250">
        <v>5</v>
      </c>
      <c r="AO1250">
        <v>0</v>
      </c>
      <c r="AP1250">
        <v>5</v>
      </c>
      <c r="AQ1250">
        <v>2.5</v>
      </c>
      <c r="AR1250">
        <v>10</v>
      </c>
      <c r="AS1250">
        <v>122.5</v>
      </c>
      <c r="AT1250">
        <v>4090</v>
      </c>
      <c r="AU1250" t="s">
        <v>33</v>
      </c>
    </row>
    <row r="1251" spans="1:47" x14ac:dyDescent="0.2">
      <c r="A1251">
        <v>1841</v>
      </c>
      <c r="B1251" t="s">
        <v>644</v>
      </c>
      <c r="C1251">
        <v>45</v>
      </c>
      <c r="D1251" t="s">
        <v>660</v>
      </c>
      <c r="G1251" t="str">
        <f t="shared" si="19"/>
        <v>RUSALCA1245cl8-1</v>
      </c>
      <c r="H1251">
        <v>67.869</v>
      </c>
      <c r="I1251">
        <v>-172.548</v>
      </c>
      <c r="J1251" s="3">
        <v>20120913</v>
      </c>
      <c r="K1251">
        <v>2012</v>
      </c>
      <c r="L1251">
        <v>3.21637</v>
      </c>
      <c r="M1251">
        <v>37.407150000000001</v>
      </c>
      <c r="N1251">
        <v>1.25603</v>
      </c>
      <c r="O1251">
        <v>0</v>
      </c>
      <c r="P1251">
        <v>1.5480000000000001E-2</v>
      </c>
      <c r="Q1251">
        <v>0</v>
      </c>
      <c r="R1251">
        <v>2.2574299999999998</v>
      </c>
      <c r="S1251">
        <v>0</v>
      </c>
      <c r="T1251">
        <v>0.36456</v>
      </c>
      <c r="U1251">
        <v>4.5749999999999999E-2</v>
      </c>
      <c r="V1251">
        <v>44.56277</v>
      </c>
      <c r="W1251" t="s">
        <v>10</v>
      </c>
      <c r="X1251">
        <v>38.795999999999999</v>
      </c>
      <c r="Y1251">
        <v>1021.366</v>
      </c>
      <c r="Z1251">
        <v>13.981</v>
      </c>
      <c r="AA1251">
        <v>0</v>
      </c>
      <c r="AB1251">
        <v>1.1060000000000001</v>
      </c>
      <c r="AC1251">
        <v>0</v>
      </c>
      <c r="AD1251">
        <v>37.006999999999998</v>
      </c>
      <c r="AE1251">
        <v>0</v>
      </c>
      <c r="AF1251">
        <v>3.92</v>
      </c>
      <c r="AG1251">
        <v>0.75800000000000001</v>
      </c>
      <c r="AH1251">
        <v>1116.934</v>
      </c>
      <c r="AI1251" t="s">
        <v>22</v>
      </c>
      <c r="AJ1251">
        <v>1227.5</v>
      </c>
      <c r="AK1251">
        <v>785</v>
      </c>
      <c r="AL1251">
        <v>1512.5</v>
      </c>
      <c r="AM1251">
        <v>0</v>
      </c>
      <c r="AN1251">
        <v>5</v>
      </c>
      <c r="AO1251">
        <v>0</v>
      </c>
      <c r="AP1251">
        <v>55</v>
      </c>
      <c r="AQ1251">
        <v>0</v>
      </c>
      <c r="AR1251">
        <v>20</v>
      </c>
      <c r="AS1251">
        <v>32.5</v>
      </c>
      <c r="AT1251">
        <v>3637.5</v>
      </c>
      <c r="AU1251" t="s">
        <v>35</v>
      </c>
    </row>
    <row r="1252" spans="1:47" x14ac:dyDescent="0.2">
      <c r="A1252">
        <v>1842</v>
      </c>
      <c r="B1252" t="s">
        <v>644</v>
      </c>
      <c r="C1252">
        <v>48</v>
      </c>
      <c r="D1252" t="s">
        <v>661</v>
      </c>
      <c r="G1252" t="str">
        <f t="shared" si="19"/>
        <v>RUSALCA1248cl10</v>
      </c>
      <c r="H1252">
        <v>67.409000000000006</v>
      </c>
      <c r="I1252">
        <v>-173.57599999999999</v>
      </c>
      <c r="J1252" s="3">
        <v>20120914</v>
      </c>
      <c r="K1252">
        <v>2012</v>
      </c>
      <c r="L1252">
        <v>1.03047</v>
      </c>
      <c r="M1252">
        <v>1.1384399999999999</v>
      </c>
      <c r="N1252">
        <v>5.8189999999999999E-2</v>
      </c>
      <c r="O1252">
        <v>0</v>
      </c>
      <c r="P1252">
        <v>0</v>
      </c>
      <c r="Q1252">
        <v>0</v>
      </c>
      <c r="R1252">
        <v>5.7770000000000002E-2</v>
      </c>
      <c r="S1252">
        <v>3.8359999999999998E-2</v>
      </c>
      <c r="T1252">
        <v>5.7200000000000001E-2</v>
      </c>
      <c r="U1252">
        <v>5.8110000000000002E-2</v>
      </c>
      <c r="V1252">
        <v>2.4385400000000002</v>
      </c>
      <c r="W1252" t="s">
        <v>10</v>
      </c>
      <c r="X1252">
        <v>13.157999999999999</v>
      </c>
      <c r="Y1252">
        <v>39.847000000000001</v>
      </c>
      <c r="Z1252">
        <v>0.752</v>
      </c>
      <c r="AA1252">
        <v>0</v>
      </c>
      <c r="AB1252">
        <v>0</v>
      </c>
      <c r="AC1252">
        <v>0</v>
      </c>
      <c r="AD1252">
        <v>0.94699999999999995</v>
      </c>
      <c r="AE1252">
        <v>2.74</v>
      </c>
      <c r="AF1252">
        <v>0.61499999999999999</v>
      </c>
      <c r="AG1252">
        <v>0.82299999999999995</v>
      </c>
      <c r="AH1252">
        <v>58.881999999999998</v>
      </c>
      <c r="AI1252" t="s">
        <v>22</v>
      </c>
      <c r="AJ1252">
        <v>155</v>
      </c>
      <c r="AK1252">
        <v>100</v>
      </c>
      <c r="AL1252">
        <v>52.5</v>
      </c>
      <c r="AM1252">
        <v>0</v>
      </c>
      <c r="AN1252">
        <v>0</v>
      </c>
      <c r="AO1252">
        <v>0</v>
      </c>
      <c r="AP1252">
        <v>2.5</v>
      </c>
      <c r="AQ1252">
        <v>5</v>
      </c>
      <c r="AR1252">
        <v>5</v>
      </c>
      <c r="AS1252">
        <v>235</v>
      </c>
      <c r="AT1252">
        <v>555</v>
      </c>
      <c r="AU1252" t="s">
        <v>42</v>
      </c>
    </row>
    <row r="1253" spans="1:47" x14ac:dyDescent="0.2">
      <c r="A1253">
        <v>1843</v>
      </c>
      <c r="B1253" t="s">
        <v>644</v>
      </c>
      <c r="C1253">
        <v>51</v>
      </c>
      <c r="D1253" s="4" t="s">
        <v>936</v>
      </c>
      <c r="E1253" s="4" t="s">
        <v>936</v>
      </c>
      <c r="F1253" s="4" t="s">
        <v>662</v>
      </c>
      <c r="G1253" t="str">
        <f t="shared" si="19"/>
        <v>RUSALCA1251DBO3.10</v>
      </c>
      <c r="H1253">
        <v>67.430999999999997</v>
      </c>
      <c r="I1253">
        <v>-169.60300000000001</v>
      </c>
      <c r="J1253" s="3">
        <v>20120914</v>
      </c>
      <c r="K1253">
        <v>2012</v>
      </c>
      <c r="L1253">
        <v>3.1814800000000001</v>
      </c>
      <c r="M1253">
        <v>67.962100000000007</v>
      </c>
      <c r="N1253">
        <v>5.2683900000000001</v>
      </c>
      <c r="O1253">
        <v>7.7400000000000004E-3</v>
      </c>
      <c r="P1253">
        <v>0.10979</v>
      </c>
      <c r="Q1253">
        <v>0</v>
      </c>
      <c r="R1253">
        <v>0.33312000000000003</v>
      </c>
      <c r="S1253">
        <v>0</v>
      </c>
      <c r="T1253">
        <v>4.9300000000000004E-3</v>
      </c>
      <c r="U1253">
        <v>0.25033</v>
      </c>
      <c r="V1253">
        <v>77.11788</v>
      </c>
      <c r="W1253" t="s">
        <v>10</v>
      </c>
      <c r="X1253">
        <v>49.966000000000001</v>
      </c>
      <c r="Y1253">
        <v>1946.066</v>
      </c>
      <c r="Z1253">
        <v>67.033000000000001</v>
      </c>
      <c r="AA1253">
        <v>0.17199999999999999</v>
      </c>
      <c r="AB1253">
        <v>7.8419999999999996</v>
      </c>
      <c r="AC1253">
        <v>0</v>
      </c>
      <c r="AD1253">
        <v>5.4610000000000003</v>
      </c>
      <c r="AE1253">
        <v>0</v>
      </c>
      <c r="AF1253">
        <v>5.2999999999999999E-2</v>
      </c>
      <c r="AG1253">
        <v>5.5220000000000002</v>
      </c>
      <c r="AH1253">
        <v>2082.1149999999998</v>
      </c>
      <c r="AI1253" t="s">
        <v>22</v>
      </c>
      <c r="AJ1253">
        <v>762.5</v>
      </c>
      <c r="AK1253">
        <v>1925</v>
      </c>
      <c r="AL1253">
        <v>9317.5</v>
      </c>
      <c r="AM1253">
        <v>7.5</v>
      </c>
      <c r="AN1253">
        <v>72.5</v>
      </c>
      <c r="AO1253">
        <v>0</v>
      </c>
      <c r="AP1253">
        <v>20</v>
      </c>
      <c r="AQ1253">
        <v>0</v>
      </c>
      <c r="AR1253">
        <v>10</v>
      </c>
      <c r="AS1253">
        <v>110</v>
      </c>
      <c r="AT1253">
        <v>12225</v>
      </c>
      <c r="AU1253" t="s">
        <v>35</v>
      </c>
    </row>
    <row r="1254" spans="1:47" x14ac:dyDescent="0.2">
      <c r="A1254">
        <v>1844</v>
      </c>
      <c r="B1254" t="s">
        <v>644</v>
      </c>
      <c r="C1254">
        <v>54</v>
      </c>
      <c r="D1254" t="s">
        <v>663</v>
      </c>
      <c r="G1254" t="str">
        <f t="shared" si="19"/>
        <v>RUSALCA1254cs12r</v>
      </c>
      <c r="H1254">
        <v>67.86</v>
      </c>
      <c r="I1254">
        <v>-168.33500000000001</v>
      </c>
      <c r="J1254" s="3">
        <v>20120915</v>
      </c>
      <c r="K1254">
        <v>2012</v>
      </c>
      <c r="L1254">
        <v>2.0652499999999998</v>
      </c>
      <c r="M1254">
        <v>10.537129999999999</v>
      </c>
      <c r="N1254">
        <v>4.5006500000000003</v>
      </c>
      <c r="O1254">
        <v>0</v>
      </c>
      <c r="P1254">
        <v>0</v>
      </c>
      <c r="Q1254">
        <v>0</v>
      </c>
      <c r="R1254">
        <v>2.2378499999999999</v>
      </c>
      <c r="S1254">
        <v>0</v>
      </c>
      <c r="T1254">
        <v>5.3289999999999997E-2</v>
      </c>
      <c r="U1254">
        <v>4.2999999999999999E-4</v>
      </c>
      <c r="V1254">
        <v>19.394600000000001</v>
      </c>
      <c r="W1254" t="s">
        <v>10</v>
      </c>
      <c r="X1254">
        <v>30.695</v>
      </c>
      <c r="Y1254">
        <v>334.15300000000002</v>
      </c>
      <c r="Z1254">
        <v>49.975999999999999</v>
      </c>
      <c r="AA1254">
        <v>0</v>
      </c>
      <c r="AB1254">
        <v>0</v>
      </c>
      <c r="AC1254">
        <v>0</v>
      </c>
      <c r="AD1254">
        <v>36.686</v>
      </c>
      <c r="AE1254">
        <v>0</v>
      </c>
      <c r="AF1254">
        <v>0.57299999999999995</v>
      </c>
      <c r="AG1254">
        <v>6.0000000000000001E-3</v>
      </c>
      <c r="AH1254">
        <v>452.089</v>
      </c>
      <c r="AI1254" t="s">
        <v>22</v>
      </c>
      <c r="AJ1254">
        <v>382.5</v>
      </c>
      <c r="AK1254">
        <v>510</v>
      </c>
      <c r="AL1254">
        <v>7862.5</v>
      </c>
      <c r="AM1254">
        <v>0</v>
      </c>
      <c r="AN1254">
        <v>0</v>
      </c>
      <c r="AO1254">
        <v>0</v>
      </c>
      <c r="AP1254">
        <v>30</v>
      </c>
      <c r="AQ1254">
        <v>0</v>
      </c>
      <c r="AR1254">
        <v>5</v>
      </c>
      <c r="AS1254">
        <v>27.5</v>
      </c>
      <c r="AT1254">
        <v>8817.5</v>
      </c>
      <c r="AU1254" t="s">
        <v>35</v>
      </c>
    </row>
    <row r="1255" spans="1:47" x14ac:dyDescent="0.2">
      <c r="A1255">
        <v>1845</v>
      </c>
      <c r="B1255" t="s">
        <v>664</v>
      </c>
      <c r="C1255">
        <v>1</v>
      </c>
      <c r="D1255" t="s">
        <v>52</v>
      </c>
      <c r="G1255" t="str">
        <f t="shared" si="19"/>
        <v>W20121BF003</v>
      </c>
      <c r="H1255">
        <v>71.112783329999999</v>
      </c>
      <c r="I1255">
        <v>-163.03274999999999</v>
      </c>
      <c r="J1255" s="3">
        <v>20120921</v>
      </c>
      <c r="K1255">
        <v>2012</v>
      </c>
      <c r="L1255">
        <v>6.1461499999999996</v>
      </c>
      <c r="M1255">
        <v>6.4198700000000004</v>
      </c>
      <c r="N1255">
        <v>0.29291</v>
      </c>
      <c r="O1255">
        <v>0.33390999999999998</v>
      </c>
      <c r="P1255">
        <v>0.69684000000000001</v>
      </c>
      <c r="Q1255">
        <v>0</v>
      </c>
      <c r="R1255">
        <v>0.73207999999999995</v>
      </c>
      <c r="S1255">
        <v>0</v>
      </c>
      <c r="T1255">
        <v>0.22198999999999999</v>
      </c>
      <c r="U1255">
        <v>0.28541</v>
      </c>
      <c r="V1255">
        <v>15.129160000000001</v>
      </c>
      <c r="W1255" t="s">
        <v>10</v>
      </c>
      <c r="X1255">
        <v>88.337000000000003</v>
      </c>
      <c r="Y1255">
        <v>240.67400000000001</v>
      </c>
      <c r="Z1255">
        <v>4.0789999999999997</v>
      </c>
      <c r="AA1255">
        <v>7.42</v>
      </c>
      <c r="AB1255">
        <v>49.774000000000001</v>
      </c>
      <c r="AC1255">
        <v>0</v>
      </c>
      <c r="AD1255">
        <v>15.584</v>
      </c>
      <c r="AE1255">
        <v>0</v>
      </c>
      <c r="AF1255">
        <v>2.387</v>
      </c>
      <c r="AG1255">
        <v>11.103</v>
      </c>
      <c r="AH1255">
        <v>419.358</v>
      </c>
      <c r="AI1255" t="s">
        <v>22</v>
      </c>
      <c r="AJ1255">
        <v>810</v>
      </c>
      <c r="AK1255">
        <v>529.99800000000005</v>
      </c>
      <c r="AL1255">
        <v>539.99800000000005</v>
      </c>
      <c r="AM1255">
        <v>16.666</v>
      </c>
      <c r="AN1255">
        <v>153.333</v>
      </c>
      <c r="AO1255">
        <v>0</v>
      </c>
      <c r="AP1255">
        <v>10</v>
      </c>
      <c r="AQ1255">
        <v>0</v>
      </c>
      <c r="AR1255">
        <v>13.333</v>
      </c>
      <c r="AS1255">
        <v>80</v>
      </c>
      <c r="AT1255">
        <v>2153.328</v>
      </c>
      <c r="AU1255" t="s">
        <v>33</v>
      </c>
    </row>
    <row r="1256" spans="1:47" x14ac:dyDescent="0.2">
      <c r="A1256">
        <v>1846</v>
      </c>
      <c r="B1256" t="s">
        <v>664</v>
      </c>
      <c r="C1256">
        <v>2</v>
      </c>
      <c r="D1256" s="4" t="s">
        <v>784</v>
      </c>
      <c r="E1256" s="4" t="s">
        <v>784</v>
      </c>
      <c r="F1256" s="4" t="s">
        <v>53</v>
      </c>
      <c r="G1256" t="str">
        <f t="shared" si="19"/>
        <v>W20122DBO4.2</v>
      </c>
      <c r="H1256">
        <v>71.103933330000004</v>
      </c>
      <c r="I1256">
        <v>-162.25944999999999</v>
      </c>
      <c r="J1256" s="3">
        <v>20120919</v>
      </c>
      <c r="K1256">
        <v>2012</v>
      </c>
      <c r="L1256">
        <v>6.3118800000000004</v>
      </c>
      <c r="M1256">
        <v>7.8594299999999997</v>
      </c>
      <c r="N1256">
        <v>0.24396999999999999</v>
      </c>
      <c r="O1256">
        <v>0</v>
      </c>
      <c r="P1256">
        <v>0.15837999999999999</v>
      </c>
      <c r="Q1256">
        <v>0</v>
      </c>
      <c r="R1256">
        <v>5.1670000000000001E-2</v>
      </c>
      <c r="S1256">
        <v>2.2780000000000002E-2</v>
      </c>
      <c r="T1256">
        <v>0.18637000000000001</v>
      </c>
      <c r="U1256">
        <v>1.11589</v>
      </c>
      <c r="V1256">
        <v>15.950369999999999</v>
      </c>
      <c r="W1256" t="s">
        <v>10</v>
      </c>
      <c r="X1256">
        <v>92.078999999999994</v>
      </c>
      <c r="Y1256">
        <v>327.72899999999998</v>
      </c>
      <c r="Z1256">
        <v>3.3050000000000002</v>
      </c>
      <c r="AA1256">
        <v>0</v>
      </c>
      <c r="AB1256">
        <v>11.313000000000001</v>
      </c>
      <c r="AC1256">
        <v>0</v>
      </c>
      <c r="AD1256">
        <v>0.84699999999999998</v>
      </c>
      <c r="AE1256">
        <v>1.627</v>
      </c>
      <c r="AF1256">
        <v>2.004</v>
      </c>
      <c r="AG1256">
        <v>46.777000000000001</v>
      </c>
      <c r="AH1256">
        <v>485.68099999999998</v>
      </c>
      <c r="AI1256" t="s">
        <v>22</v>
      </c>
      <c r="AJ1256">
        <v>713.33600000000001</v>
      </c>
      <c r="AK1256">
        <v>1063.335</v>
      </c>
      <c r="AL1256">
        <v>1130</v>
      </c>
      <c r="AM1256">
        <v>0</v>
      </c>
      <c r="AN1256">
        <v>23.332999999999998</v>
      </c>
      <c r="AO1256">
        <v>0</v>
      </c>
      <c r="AP1256">
        <v>3.3330000000000002</v>
      </c>
      <c r="AQ1256">
        <v>3.3330000000000002</v>
      </c>
      <c r="AR1256">
        <v>16.667000000000002</v>
      </c>
      <c r="AS1256">
        <v>59.999000000000002</v>
      </c>
      <c r="AT1256">
        <v>3013.3359999999998</v>
      </c>
      <c r="AU1256" t="s">
        <v>35</v>
      </c>
    </row>
    <row r="1257" spans="1:47" x14ac:dyDescent="0.2">
      <c r="A1257">
        <v>1847</v>
      </c>
      <c r="B1257" t="s">
        <v>664</v>
      </c>
      <c r="C1257">
        <v>3</v>
      </c>
      <c r="D1257" t="s">
        <v>54</v>
      </c>
      <c r="G1257" t="str">
        <f t="shared" si="19"/>
        <v>W20123BF007</v>
      </c>
      <c r="H1257">
        <v>71.241716670000002</v>
      </c>
      <c r="I1257">
        <v>-163.40665000000001</v>
      </c>
      <c r="J1257" s="3">
        <v>20120921</v>
      </c>
      <c r="K1257">
        <v>2012</v>
      </c>
      <c r="L1257">
        <v>6.1606300000000003</v>
      </c>
      <c r="M1257">
        <v>2.9938799999999999</v>
      </c>
      <c r="N1257">
        <v>0.22858000000000001</v>
      </c>
      <c r="O1257">
        <v>4.3479099999999997</v>
      </c>
      <c r="P1257">
        <v>0.48958000000000002</v>
      </c>
      <c r="Q1257">
        <v>0</v>
      </c>
      <c r="R1257">
        <v>0</v>
      </c>
      <c r="S1257">
        <v>0</v>
      </c>
      <c r="T1257">
        <v>0.14294000000000001</v>
      </c>
      <c r="U1257">
        <v>1.9560000000000001E-2</v>
      </c>
      <c r="V1257">
        <v>14.38308</v>
      </c>
      <c r="W1257" t="s">
        <v>9</v>
      </c>
      <c r="X1257">
        <v>86.95</v>
      </c>
      <c r="Y1257">
        <v>132.49700000000001</v>
      </c>
      <c r="Z1257">
        <v>3.0110000000000001</v>
      </c>
      <c r="AA1257">
        <v>96.62</v>
      </c>
      <c r="AB1257">
        <v>34.97</v>
      </c>
      <c r="AC1257">
        <v>0</v>
      </c>
      <c r="AD1257">
        <v>0</v>
      </c>
      <c r="AE1257">
        <v>0</v>
      </c>
      <c r="AF1257">
        <v>1.5369999999999999</v>
      </c>
      <c r="AG1257">
        <v>0.53600000000000003</v>
      </c>
      <c r="AH1257">
        <v>356.12099999999998</v>
      </c>
      <c r="AI1257" t="s">
        <v>22</v>
      </c>
      <c r="AJ1257">
        <v>626.66800000000001</v>
      </c>
      <c r="AK1257">
        <v>463.33300000000003</v>
      </c>
      <c r="AL1257">
        <v>1113.3340000000001</v>
      </c>
      <c r="AM1257">
        <v>36.665999999999997</v>
      </c>
      <c r="AN1257">
        <v>149.999</v>
      </c>
      <c r="AO1257">
        <v>0</v>
      </c>
      <c r="AP1257">
        <v>0</v>
      </c>
      <c r="AQ1257">
        <v>0</v>
      </c>
      <c r="AR1257">
        <v>13.333</v>
      </c>
      <c r="AS1257">
        <v>43.332000000000001</v>
      </c>
      <c r="AT1257">
        <v>2446.665</v>
      </c>
      <c r="AU1257" t="s">
        <v>35</v>
      </c>
    </row>
    <row r="1258" spans="1:47" x14ac:dyDescent="0.2">
      <c r="A1258">
        <v>1848</v>
      </c>
      <c r="B1258" t="s">
        <v>664</v>
      </c>
      <c r="C1258">
        <v>4</v>
      </c>
      <c r="D1258" s="4" t="s">
        <v>783</v>
      </c>
      <c r="E1258" s="4" t="s">
        <v>783</v>
      </c>
      <c r="F1258" s="4" t="s">
        <v>55</v>
      </c>
      <c r="G1258" t="str">
        <f t="shared" si="19"/>
        <v>W20124DBO4.3</v>
      </c>
      <c r="H1258">
        <v>71.232966669999996</v>
      </c>
      <c r="I1258">
        <v>-162.6354833</v>
      </c>
      <c r="J1258" s="3">
        <v>20120919</v>
      </c>
      <c r="K1258">
        <v>2012</v>
      </c>
      <c r="L1258">
        <v>4.63896</v>
      </c>
      <c r="M1258">
        <v>2.06751</v>
      </c>
      <c r="N1258">
        <v>0.63587000000000005</v>
      </c>
      <c r="O1258">
        <v>1.0800000000000001E-2</v>
      </c>
      <c r="P1258">
        <v>0.54190000000000005</v>
      </c>
      <c r="Q1258">
        <v>0</v>
      </c>
      <c r="R1258">
        <v>0</v>
      </c>
      <c r="S1258">
        <v>0</v>
      </c>
      <c r="T1258">
        <v>0.28578999999999999</v>
      </c>
      <c r="U1258">
        <v>0.15296999999999999</v>
      </c>
      <c r="V1258">
        <v>8.3338000000000001</v>
      </c>
      <c r="W1258" t="s">
        <v>9</v>
      </c>
      <c r="X1258">
        <v>78.274000000000001</v>
      </c>
      <c r="Y1258">
        <v>55.79</v>
      </c>
      <c r="Z1258">
        <v>8.6270000000000007</v>
      </c>
      <c r="AA1258">
        <v>0.24</v>
      </c>
      <c r="AB1258">
        <v>38.707000000000001</v>
      </c>
      <c r="AC1258">
        <v>0</v>
      </c>
      <c r="AD1258">
        <v>0</v>
      </c>
      <c r="AE1258">
        <v>0</v>
      </c>
      <c r="AF1258">
        <v>3.073</v>
      </c>
      <c r="AG1258">
        <v>5.1980000000000004</v>
      </c>
      <c r="AH1258">
        <v>189.90899999999999</v>
      </c>
      <c r="AI1258" t="s">
        <v>21</v>
      </c>
      <c r="AJ1258">
        <v>693.33299999999997</v>
      </c>
      <c r="AK1258">
        <v>613.33399999999995</v>
      </c>
      <c r="AL1258">
        <v>1366.6669999999999</v>
      </c>
      <c r="AM1258">
        <v>36.667000000000002</v>
      </c>
      <c r="AN1258">
        <v>80</v>
      </c>
      <c r="AO1258">
        <v>0</v>
      </c>
      <c r="AP1258">
        <v>0</v>
      </c>
      <c r="AQ1258">
        <v>0</v>
      </c>
      <c r="AR1258">
        <v>13.333</v>
      </c>
      <c r="AS1258">
        <v>53.332000000000001</v>
      </c>
      <c r="AT1258">
        <v>2856.6660000000002</v>
      </c>
      <c r="AU1258" t="s">
        <v>35</v>
      </c>
    </row>
    <row r="1259" spans="1:47" x14ac:dyDescent="0.2">
      <c r="A1259">
        <v>1849</v>
      </c>
      <c r="B1259" t="s">
        <v>664</v>
      </c>
      <c r="C1259">
        <v>5</v>
      </c>
      <c r="D1259" t="s">
        <v>56</v>
      </c>
      <c r="G1259" t="str">
        <f t="shared" si="19"/>
        <v>W20125BF011</v>
      </c>
      <c r="H1259">
        <v>71.367599999999996</v>
      </c>
      <c r="I1259">
        <v>-163.7872333</v>
      </c>
      <c r="J1259" s="3">
        <v>20120920</v>
      </c>
      <c r="K1259">
        <v>2012</v>
      </c>
      <c r="L1259">
        <v>6.8918900000000001</v>
      </c>
      <c r="M1259">
        <v>4.6719600000000003</v>
      </c>
      <c r="N1259">
        <v>1.05511</v>
      </c>
      <c r="O1259">
        <v>10.849500000000001</v>
      </c>
      <c r="P1259">
        <v>0.32984000000000002</v>
      </c>
      <c r="Q1259">
        <v>0</v>
      </c>
      <c r="R1259">
        <v>0</v>
      </c>
      <c r="S1259">
        <v>0</v>
      </c>
      <c r="T1259">
        <v>0.16209999999999999</v>
      </c>
      <c r="U1259">
        <v>8.5220000000000004E-2</v>
      </c>
      <c r="V1259">
        <v>24.04562</v>
      </c>
      <c r="W1259" t="s">
        <v>12</v>
      </c>
      <c r="X1259">
        <v>91.141999999999996</v>
      </c>
      <c r="Y1259">
        <v>123.726</v>
      </c>
      <c r="Z1259">
        <v>15.404999999999999</v>
      </c>
      <c r="AA1259">
        <v>241.1</v>
      </c>
      <c r="AB1259">
        <v>23.56</v>
      </c>
      <c r="AC1259">
        <v>0</v>
      </c>
      <c r="AD1259">
        <v>0</v>
      </c>
      <c r="AE1259">
        <v>0</v>
      </c>
      <c r="AF1259">
        <v>1.7430000000000001</v>
      </c>
      <c r="AG1259">
        <v>3.6930000000000001</v>
      </c>
      <c r="AH1259">
        <v>500.36900000000003</v>
      </c>
      <c r="AI1259" t="s">
        <v>24</v>
      </c>
      <c r="AJ1259">
        <v>2243.3330000000001</v>
      </c>
      <c r="AK1259">
        <v>463.33100000000002</v>
      </c>
      <c r="AL1259">
        <v>713.33299999999997</v>
      </c>
      <c r="AM1259">
        <v>26.667000000000002</v>
      </c>
      <c r="AN1259">
        <v>73.334000000000003</v>
      </c>
      <c r="AO1259">
        <v>0</v>
      </c>
      <c r="AP1259">
        <v>0</v>
      </c>
      <c r="AQ1259">
        <v>0</v>
      </c>
      <c r="AR1259">
        <v>23.332999999999998</v>
      </c>
      <c r="AS1259">
        <v>60</v>
      </c>
      <c r="AT1259">
        <v>3603.3310000000001</v>
      </c>
      <c r="AU1259" t="s">
        <v>33</v>
      </c>
    </row>
    <row r="1260" spans="1:47" x14ac:dyDescent="0.2">
      <c r="A1260">
        <v>1850</v>
      </c>
      <c r="B1260" t="s">
        <v>664</v>
      </c>
      <c r="C1260">
        <v>6</v>
      </c>
      <c r="D1260" s="4" t="s">
        <v>782</v>
      </c>
      <c r="E1260" s="4" t="s">
        <v>782</v>
      </c>
      <c r="F1260" s="4" t="s">
        <v>57</v>
      </c>
      <c r="G1260" t="str">
        <f t="shared" si="19"/>
        <v>W20126DBO4.4</v>
      </c>
      <c r="H1260">
        <v>71.361866669999998</v>
      </c>
      <c r="I1260">
        <v>-163.0015167</v>
      </c>
      <c r="J1260" s="3">
        <v>20120920</v>
      </c>
      <c r="K1260">
        <v>2012</v>
      </c>
      <c r="L1260">
        <v>16.734839999999998</v>
      </c>
      <c r="M1260">
        <v>4.3791599999999997</v>
      </c>
      <c r="N1260">
        <v>0.50409000000000004</v>
      </c>
      <c r="O1260">
        <v>1.2199999999999999E-3</v>
      </c>
      <c r="P1260">
        <v>0.40789999999999998</v>
      </c>
      <c r="Q1260">
        <v>0</v>
      </c>
      <c r="R1260">
        <v>0.29532000000000003</v>
      </c>
      <c r="S1260">
        <v>0</v>
      </c>
      <c r="T1260">
        <v>0.16395999999999999</v>
      </c>
      <c r="U1260">
        <v>5.0799999999999998E-2</v>
      </c>
      <c r="V1260">
        <v>22.537289999999999</v>
      </c>
      <c r="W1260" t="s">
        <v>9</v>
      </c>
      <c r="X1260">
        <v>237.589</v>
      </c>
      <c r="Y1260">
        <v>176.137</v>
      </c>
      <c r="Z1260">
        <v>7.0430000000000001</v>
      </c>
      <c r="AA1260">
        <v>2.7E-2</v>
      </c>
      <c r="AB1260">
        <v>29.135999999999999</v>
      </c>
      <c r="AC1260">
        <v>0</v>
      </c>
      <c r="AD1260">
        <v>7.383</v>
      </c>
      <c r="AE1260">
        <v>0</v>
      </c>
      <c r="AF1260">
        <v>1.7629999999999999</v>
      </c>
      <c r="AG1260">
        <v>1.375</v>
      </c>
      <c r="AH1260">
        <v>460.45299999999997</v>
      </c>
      <c r="AI1260" t="s">
        <v>21</v>
      </c>
      <c r="AJ1260">
        <v>12576.665999999999</v>
      </c>
      <c r="AK1260">
        <v>619.99800000000005</v>
      </c>
      <c r="AL1260">
        <v>1889.9970000000001</v>
      </c>
      <c r="AM1260">
        <v>13.333</v>
      </c>
      <c r="AN1260">
        <v>130.001</v>
      </c>
      <c r="AO1260">
        <v>0</v>
      </c>
      <c r="AP1260">
        <v>3.3330000000000002</v>
      </c>
      <c r="AQ1260">
        <v>0</v>
      </c>
      <c r="AR1260">
        <v>20</v>
      </c>
      <c r="AS1260">
        <v>83.331999999999994</v>
      </c>
      <c r="AT1260">
        <v>15336.66</v>
      </c>
      <c r="AU1260" t="s">
        <v>33</v>
      </c>
    </row>
    <row r="1261" spans="1:47" x14ac:dyDescent="0.2">
      <c r="A1261">
        <v>1851</v>
      </c>
      <c r="B1261" t="s">
        <v>664</v>
      </c>
      <c r="C1261">
        <v>7</v>
      </c>
      <c r="D1261" t="s">
        <v>58</v>
      </c>
      <c r="G1261" t="str">
        <f t="shared" si="19"/>
        <v>W20127BF015</v>
      </c>
      <c r="H1261">
        <v>71.352583330000002</v>
      </c>
      <c r="I1261">
        <v>-162.22765000000001</v>
      </c>
      <c r="J1261" s="3">
        <v>20120921</v>
      </c>
      <c r="K1261">
        <v>2012</v>
      </c>
      <c r="L1261">
        <v>6.7103799999999998</v>
      </c>
      <c r="M1261">
        <v>12.51449</v>
      </c>
      <c r="N1261">
        <v>0.47066000000000002</v>
      </c>
      <c r="O1261">
        <v>5.3999999999999999E-2</v>
      </c>
      <c r="P1261">
        <v>0.21010000000000001</v>
      </c>
      <c r="Q1261">
        <v>0</v>
      </c>
      <c r="R1261">
        <v>0</v>
      </c>
      <c r="S1261">
        <v>0.24518000000000001</v>
      </c>
      <c r="T1261">
        <v>0.90424000000000004</v>
      </c>
      <c r="U1261">
        <v>0.32396999999999998</v>
      </c>
      <c r="V1261">
        <v>21.433019999999999</v>
      </c>
      <c r="W1261" t="s">
        <v>10</v>
      </c>
      <c r="X1261">
        <v>96.947999999999993</v>
      </c>
      <c r="Y1261">
        <v>361.22199999999998</v>
      </c>
      <c r="Z1261">
        <v>6.7249999999999996</v>
      </c>
      <c r="AA1261">
        <v>1.2</v>
      </c>
      <c r="AB1261">
        <v>15.007</v>
      </c>
      <c r="AC1261">
        <v>0</v>
      </c>
      <c r="AD1261">
        <v>0</v>
      </c>
      <c r="AE1261">
        <v>17.513000000000002</v>
      </c>
      <c r="AF1261">
        <v>9.7230000000000008</v>
      </c>
      <c r="AG1261">
        <v>7.2370000000000001</v>
      </c>
      <c r="AH1261">
        <v>515.57500000000005</v>
      </c>
      <c r="AI1261" t="s">
        <v>22</v>
      </c>
      <c r="AJ1261">
        <v>1119.999</v>
      </c>
      <c r="AK1261">
        <v>963.33199999999999</v>
      </c>
      <c r="AL1261">
        <v>956.66499999999996</v>
      </c>
      <c r="AM1261">
        <v>26.666</v>
      </c>
      <c r="AN1261">
        <v>60</v>
      </c>
      <c r="AO1261">
        <v>0</v>
      </c>
      <c r="AP1261">
        <v>0</v>
      </c>
      <c r="AQ1261">
        <v>6.6669999999999998</v>
      </c>
      <c r="AR1261">
        <v>6.6669999999999998</v>
      </c>
      <c r="AS1261">
        <v>56.667000000000002</v>
      </c>
      <c r="AT1261">
        <v>3196.663</v>
      </c>
      <c r="AU1261" t="s">
        <v>33</v>
      </c>
    </row>
    <row r="1262" spans="1:47" x14ac:dyDescent="0.2">
      <c r="A1262">
        <v>1852</v>
      </c>
      <c r="B1262" t="s">
        <v>664</v>
      </c>
      <c r="C1262">
        <v>8</v>
      </c>
      <c r="D1262" s="4" t="s">
        <v>781</v>
      </c>
      <c r="E1262" s="4" t="s">
        <v>781</v>
      </c>
      <c r="F1262" s="4" t="s">
        <v>59</v>
      </c>
      <c r="G1262" t="str">
        <f t="shared" si="19"/>
        <v>W20128DBO4.5</v>
      </c>
      <c r="H1262">
        <v>71.49038333</v>
      </c>
      <c r="I1262">
        <v>-163.38835</v>
      </c>
      <c r="J1262" s="3">
        <v>20120920</v>
      </c>
      <c r="K1262">
        <v>2012</v>
      </c>
      <c r="L1262">
        <v>4.7920999999999996</v>
      </c>
      <c r="M1262">
        <v>5.7327599999999999</v>
      </c>
      <c r="N1262">
        <v>0.35403000000000001</v>
      </c>
      <c r="O1262">
        <v>0.1125</v>
      </c>
      <c r="P1262">
        <v>0.33072000000000001</v>
      </c>
      <c r="Q1262">
        <v>0</v>
      </c>
      <c r="R1262">
        <v>0.66691</v>
      </c>
      <c r="S1262">
        <v>0</v>
      </c>
      <c r="T1262">
        <v>0.26662999999999998</v>
      </c>
      <c r="U1262">
        <v>9.8350000000000007E-2</v>
      </c>
      <c r="V1262">
        <v>12.353999999999999</v>
      </c>
      <c r="W1262" t="s">
        <v>10</v>
      </c>
      <c r="X1262">
        <v>68.308000000000007</v>
      </c>
      <c r="Y1262">
        <v>266.85199999999998</v>
      </c>
      <c r="Z1262">
        <v>5.05</v>
      </c>
      <c r="AA1262">
        <v>2.5</v>
      </c>
      <c r="AB1262">
        <v>23.623000000000001</v>
      </c>
      <c r="AC1262">
        <v>0</v>
      </c>
      <c r="AD1262">
        <v>10.933</v>
      </c>
      <c r="AE1262">
        <v>0</v>
      </c>
      <c r="AF1262">
        <v>2.867</v>
      </c>
      <c r="AG1262">
        <v>2.4319999999999999</v>
      </c>
      <c r="AH1262">
        <v>382.565</v>
      </c>
      <c r="AI1262" t="s">
        <v>22</v>
      </c>
      <c r="AJ1262">
        <v>1456.6669999999999</v>
      </c>
      <c r="AK1262">
        <v>249.999</v>
      </c>
      <c r="AL1262">
        <v>603.33399999999995</v>
      </c>
      <c r="AM1262">
        <v>33.332999999999998</v>
      </c>
      <c r="AN1262">
        <v>73.332999999999998</v>
      </c>
      <c r="AO1262">
        <v>0</v>
      </c>
      <c r="AP1262">
        <v>10</v>
      </c>
      <c r="AQ1262">
        <v>0</v>
      </c>
      <c r="AR1262">
        <v>20</v>
      </c>
      <c r="AS1262">
        <v>59.999000000000002</v>
      </c>
      <c r="AT1262">
        <v>2506.665</v>
      </c>
      <c r="AU1262" t="s">
        <v>33</v>
      </c>
    </row>
    <row r="1263" spans="1:47" x14ac:dyDescent="0.2">
      <c r="A1263">
        <v>1853</v>
      </c>
      <c r="B1263" t="s">
        <v>664</v>
      </c>
      <c r="C1263">
        <v>9</v>
      </c>
      <c r="D1263" t="s">
        <v>60</v>
      </c>
      <c r="G1263" t="str">
        <f t="shared" si="19"/>
        <v>W20129BF019</v>
      </c>
      <c r="H1263">
        <v>71.482950000000002</v>
      </c>
      <c r="I1263">
        <v>-162.6045167</v>
      </c>
      <c r="J1263" s="3">
        <v>20120922</v>
      </c>
      <c r="K1263">
        <v>2012</v>
      </c>
      <c r="L1263">
        <v>10.80753</v>
      </c>
      <c r="M1263">
        <v>4.6604000000000001</v>
      </c>
      <c r="N1263">
        <v>1.06897</v>
      </c>
      <c r="O1263">
        <v>0.16456999999999999</v>
      </c>
      <c r="P1263">
        <v>0.75146000000000002</v>
      </c>
      <c r="Q1263">
        <v>0</v>
      </c>
      <c r="R1263">
        <v>0.79418</v>
      </c>
      <c r="S1263">
        <v>0</v>
      </c>
      <c r="T1263">
        <v>3.32E-2</v>
      </c>
      <c r="U1263">
        <v>0.79215000000000002</v>
      </c>
      <c r="V1263">
        <v>19.07246</v>
      </c>
      <c r="W1263" t="s">
        <v>9</v>
      </c>
      <c r="X1263">
        <v>153.30500000000001</v>
      </c>
      <c r="Y1263">
        <v>180.63200000000001</v>
      </c>
      <c r="Z1263">
        <v>14.241</v>
      </c>
      <c r="AA1263">
        <v>3.657</v>
      </c>
      <c r="AB1263">
        <v>53.676000000000002</v>
      </c>
      <c r="AC1263">
        <v>0</v>
      </c>
      <c r="AD1263">
        <v>15.055999999999999</v>
      </c>
      <c r="AE1263">
        <v>0</v>
      </c>
      <c r="AF1263">
        <v>0.35699999999999998</v>
      </c>
      <c r="AG1263">
        <v>33.328000000000003</v>
      </c>
      <c r="AH1263">
        <v>454.25200000000001</v>
      </c>
      <c r="AI1263" t="s">
        <v>22</v>
      </c>
      <c r="AJ1263">
        <v>6916.6670000000004</v>
      </c>
      <c r="AK1263">
        <v>733.33299999999997</v>
      </c>
      <c r="AL1263">
        <v>1413.3309999999999</v>
      </c>
      <c r="AM1263">
        <v>136.667</v>
      </c>
      <c r="AN1263">
        <v>76.667000000000002</v>
      </c>
      <c r="AO1263">
        <v>0</v>
      </c>
      <c r="AP1263">
        <v>33.334000000000003</v>
      </c>
      <c r="AQ1263">
        <v>0</v>
      </c>
      <c r="AR1263">
        <v>13.333</v>
      </c>
      <c r="AS1263">
        <v>233.33199999999999</v>
      </c>
      <c r="AT1263">
        <v>9556.6640000000007</v>
      </c>
      <c r="AU1263" t="s">
        <v>33</v>
      </c>
    </row>
    <row r="1264" spans="1:47" x14ac:dyDescent="0.2">
      <c r="A1264">
        <v>1854</v>
      </c>
      <c r="B1264" t="s">
        <v>664</v>
      </c>
      <c r="C1264">
        <v>10</v>
      </c>
      <c r="D1264" s="4" t="s">
        <v>780</v>
      </c>
      <c r="E1264" s="4" t="s">
        <v>780</v>
      </c>
      <c r="F1264" s="4" t="s">
        <v>61</v>
      </c>
      <c r="G1264" t="str">
        <f t="shared" si="19"/>
        <v>W201210DBO4.6</v>
      </c>
      <c r="H1264">
        <v>71.618266669999997</v>
      </c>
      <c r="I1264">
        <v>-163.77019999999999</v>
      </c>
      <c r="J1264" s="3">
        <v>20120920</v>
      </c>
      <c r="K1264">
        <v>2012</v>
      </c>
      <c r="L1264">
        <v>2.6966399999999999</v>
      </c>
      <c r="M1264">
        <v>3.6987800000000002</v>
      </c>
      <c r="N1264">
        <v>0.50653999999999999</v>
      </c>
      <c r="O1264">
        <v>4.2839099999999997</v>
      </c>
      <c r="P1264">
        <v>0.25707999999999998</v>
      </c>
      <c r="Q1264">
        <v>0</v>
      </c>
      <c r="R1264">
        <v>1.1999999999999999E-3</v>
      </c>
      <c r="S1264">
        <v>0</v>
      </c>
      <c r="T1264">
        <v>3.6682000000000001</v>
      </c>
      <c r="U1264">
        <v>6.0510000000000001E-2</v>
      </c>
      <c r="V1264">
        <v>15.17286</v>
      </c>
      <c r="W1264" t="s">
        <v>12</v>
      </c>
      <c r="X1264">
        <v>36.959000000000003</v>
      </c>
      <c r="Y1264">
        <v>99.138999999999996</v>
      </c>
      <c r="Z1264">
        <v>7.3520000000000003</v>
      </c>
      <c r="AA1264">
        <v>95.197999999999993</v>
      </c>
      <c r="AB1264">
        <v>18.363</v>
      </c>
      <c r="AC1264">
        <v>0</v>
      </c>
      <c r="AD1264">
        <v>0.03</v>
      </c>
      <c r="AE1264">
        <v>0</v>
      </c>
      <c r="AF1264">
        <v>39.442999999999998</v>
      </c>
      <c r="AG1264">
        <v>1.31</v>
      </c>
      <c r="AH1264">
        <v>297.79399999999998</v>
      </c>
      <c r="AI1264" t="s">
        <v>22</v>
      </c>
      <c r="AJ1264">
        <v>959.99800000000005</v>
      </c>
      <c r="AK1264">
        <v>593.33299999999997</v>
      </c>
      <c r="AL1264">
        <v>346.66500000000002</v>
      </c>
      <c r="AM1264">
        <v>10</v>
      </c>
      <c r="AN1264">
        <v>63.332999999999998</v>
      </c>
      <c r="AO1264">
        <v>0</v>
      </c>
      <c r="AP1264">
        <v>3.3330000000000002</v>
      </c>
      <c r="AQ1264">
        <v>0</v>
      </c>
      <c r="AR1264">
        <v>13.333</v>
      </c>
      <c r="AS1264">
        <v>59.999000000000002</v>
      </c>
      <c r="AT1264">
        <v>2049.9940000000001</v>
      </c>
      <c r="AU1264" t="s">
        <v>33</v>
      </c>
    </row>
    <row r="1265" spans="1:47" x14ac:dyDescent="0.2">
      <c r="A1265">
        <v>1855</v>
      </c>
      <c r="B1265" t="s">
        <v>664</v>
      </c>
      <c r="C1265">
        <v>11</v>
      </c>
      <c r="D1265" t="s">
        <v>62</v>
      </c>
      <c r="G1265" t="str">
        <f t="shared" si="19"/>
        <v>W201211BF023</v>
      </c>
      <c r="H1265">
        <v>71.611633330000004</v>
      </c>
      <c r="I1265">
        <v>-162.9858333</v>
      </c>
      <c r="J1265" s="3">
        <v>20120922</v>
      </c>
      <c r="K1265">
        <v>2012</v>
      </c>
      <c r="L1265">
        <v>6.3245800000000001</v>
      </c>
      <c r="M1265">
        <v>10.574780000000001</v>
      </c>
      <c r="N1265">
        <v>0.44039</v>
      </c>
      <c r="O1265">
        <v>3.4204500000000002</v>
      </c>
      <c r="P1265">
        <v>1.9939999999999999E-2</v>
      </c>
      <c r="Q1265">
        <v>0</v>
      </c>
      <c r="R1265">
        <v>9.3759999999999996E-2</v>
      </c>
      <c r="S1265">
        <v>7.2800000000000004E-2</v>
      </c>
      <c r="T1265">
        <v>8.0909999999999996E-2</v>
      </c>
      <c r="U1265">
        <v>0.34960000000000002</v>
      </c>
      <c r="V1265">
        <v>21.377210000000002</v>
      </c>
      <c r="W1265" t="s">
        <v>10</v>
      </c>
      <c r="X1265">
        <v>89.138000000000005</v>
      </c>
      <c r="Y1265">
        <v>474.84800000000001</v>
      </c>
      <c r="Z1265">
        <v>6.3979999999999997</v>
      </c>
      <c r="AA1265">
        <v>76.010000000000005</v>
      </c>
      <c r="AB1265">
        <v>1.4239999999999999</v>
      </c>
      <c r="AC1265">
        <v>0</v>
      </c>
      <c r="AD1265">
        <v>1.5369999999999999</v>
      </c>
      <c r="AE1265">
        <v>5.2</v>
      </c>
      <c r="AF1265">
        <v>0.87</v>
      </c>
      <c r="AG1265">
        <v>13.303000000000001</v>
      </c>
      <c r="AH1265">
        <v>668.72799999999995</v>
      </c>
      <c r="AI1265" t="s">
        <v>22</v>
      </c>
      <c r="AJ1265">
        <v>3316.665</v>
      </c>
      <c r="AK1265">
        <v>2423.3339999999998</v>
      </c>
      <c r="AL1265">
        <v>633.33199999999999</v>
      </c>
      <c r="AM1265">
        <v>6.6660000000000004</v>
      </c>
      <c r="AN1265">
        <v>23.334</v>
      </c>
      <c r="AO1265">
        <v>0</v>
      </c>
      <c r="AP1265">
        <v>6.6660000000000004</v>
      </c>
      <c r="AQ1265">
        <v>6.6660000000000004</v>
      </c>
      <c r="AR1265">
        <v>3.3330000000000002</v>
      </c>
      <c r="AS1265">
        <v>146.666</v>
      </c>
      <c r="AT1265">
        <v>6566.6620000000003</v>
      </c>
      <c r="AU1265" t="s">
        <v>33</v>
      </c>
    </row>
    <row r="1266" spans="1:47" x14ac:dyDescent="0.2">
      <c r="A1266">
        <v>1856</v>
      </c>
      <c r="B1266" t="s">
        <v>664</v>
      </c>
      <c r="C1266">
        <v>12</v>
      </c>
      <c r="D1266" t="s">
        <v>665</v>
      </c>
      <c r="G1266" t="str">
        <f t="shared" si="19"/>
        <v>W201212DF002</v>
      </c>
      <c r="H1266">
        <v>70.578516669999999</v>
      </c>
      <c r="I1266">
        <v>-160.83840000000001</v>
      </c>
      <c r="J1266" s="3">
        <v>20120918</v>
      </c>
      <c r="K1266">
        <v>2012</v>
      </c>
      <c r="L1266">
        <v>0.76995000000000002</v>
      </c>
      <c r="M1266">
        <v>1.5077400000000001</v>
      </c>
      <c r="N1266">
        <v>1.86792</v>
      </c>
      <c r="O1266">
        <v>0</v>
      </c>
      <c r="P1266">
        <v>9.5860000000000001E-2</v>
      </c>
      <c r="Q1266">
        <v>2.2689999999999998E-2</v>
      </c>
      <c r="R1266">
        <v>0.58133000000000001</v>
      </c>
      <c r="S1266">
        <v>0.24923999999999999</v>
      </c>
      <c r="T1266">
        <v>1.0009600000000001</v>
      </c>
      <c r="U1266">
        <v>0.60543000000000002</v>
      </c>
      <c r="V1266">
        <v>6.7011200000000004</v>
      </c>
      <c r="W1266" t="s">
        <v>11</v>
      </c>
      <c r="X1266">
        <v>11.667999999999999</v>
      </c>
      <c r="Y1266">
        <v>47.825000000000003</v>
      </c>
      <c r="Z1266">
        <v>26.760999999999999</v>
      </c>
      <c r="AA1266">
        <v>0</v>
      </c>
      <c r="AB1266">
        <v>6.8470000000000004</v>
      </c>
      <c r="AC1266">
        <v>2.7469999999999999</v>
      </c>
      <c r="AD1266">
        <v>9.5299999999999994</v>
      </c>
      <c r="AE1266">
        <v>17.803000000000001</v>
      </c>
      <c r="AF1266">
        <v>10.763</v>
      </c>
      <c r="AG1266">
        <v>26.873999999999999</v>
      </c>
      <c r="AH1266">
        <v>160.81800000000001</v>
      </c>
      <c r="AI1266" t="s">
        <v>22</v>
      </c>
      <c r="AJ1266">
        <v>553.33299999999997</v>
      </c>
      <c r="AK1266">
        <v>323.33300000000003</v>
      </c>
      <c r="AL1266">
        <v>853.33399999999995</v>
      </c>
      <c r="AM1266">
        <v>0</v>
      </c>
      <c r="AN1266">
        <v>126.666</v>
      </c>
      <c r="AO1266">
        <v>93.332999999999998</v>
      </c>
      <c r="AP1266">
        <v>3.3330000000000002</v>
      </c>
      <c r="AQ1266">
        <v>43.332999999999998</v>
      </c>
      <c r="AR1266">
        <v>6.6669999999999998</v>
      </c>
      <c r="AS1266">
        <v>109.999</v>
      </c>
      <c r="AT1266">
        <v>2113.3310000000001</v>
      </c>
      <c r="AU1266" t="s">
        <v>35</v>
      </c>
    </row>
    <row r="1267" spans="1:47" x14ac:dyDescent="0.2">
      <c r="A1267">
        <v>1857</v>
      </c>
      <c r="B1267" t="s">
        <v>664</v>
      </c>
      <c r="C1267">
        <v>13</v>
      </c>
      <c r="D1267" t="s">
        <v>666</v>
      </c>
      <c r="G1267" t="str">
        <f t="shared" si="19"/>
        <v>W201213DF004</v>
      </c>
      <c r="H1267">
        <v>70.842349999999996</v>
      </c>
      <c r="I1267">
        <v>-161.54166670000001</v>
      </c>
      <c r="J1267" s="3">
        <v>20120915</v>
      </c>
      <c r="K1267">
        <v>2012</v>
      </c>
      <c r="L1267">
        <v>6.0164400000000002</v>
      </c>
      <c r="M1267">
        <v>7.2079399999999998</v>
      </c>
      <c r="N1267">
        <v>1.0026999999999999</v>
      </c>
      <c r="O1267">
        <v>0.82408000000000003</v>
      </c>
      <c r="P1267">
        <v>3.5700000000000003E-2</v>
      </c>
      <c r="Q1267">
        <v>0</v>
      </c>
      <c r="R1267">
        <v>0.10637000000000001</v>
      </c>
      <c r="S1267">
        <v>5.6230000000000002E-2</v>
      </c>
      <c r="T1267">
        <v>0.22506000000000001</v>
      </c>
      <c r="U1267">
        <v>8.8354499999999998</v>
      </c>
      <c r="V1267">
        <v>24.30997</v>
      </c>
      <c r="W1267" t="s">
        <v>18</v>
      </c>
      <c r="X1267">
        <v>85.581000000000003</v>
      </c>
      <c r="Y1267">
        <v>418.786</v>
      </c>
      <c r="Z1267">
        <v>14.090999999999999</v>
      </c>
      <c r="AA1267">
        <v>18.312999999999999</v>
      </c>
      <c r="AB1267">
        <v>2.5499999999999998</v>
      </c>
      <c r="AC1267">
        <v>0</v>
      </c>
      <c r="AD1267">
        <v>1.754</v>
      </c>
      <c r="AE1267">
        <v>1.9970000000000001</v>
      </c>
      <c r="AF1267">
        <v>2.42</v>
      </c>
      <c r="AG1267">
        <v>595.91300000000001</v>
      </c>
      <c r="AH1267">
        <v>1141.405</v>
      </c>
      <c r="AI1267" t="s">
        <v>30</v>
      </c>
      <c r="AJ1267">
        <v>2830</v>
      </c>
      <c r="AK1267">
        <v>1116.6669999999999</v>
      </c>
      <c r="AL1267">
        <v>3033.3319999999999</v>
      </c>
      <c r="AM1267">
        <v>26.667000000000002</v>
      </c>
      <c r="AN1267">
        <v>60</v>
      </c>
      <c r="AO1267">
        <v>0</v>
      </c>
      <c r="AP1267">
        <v>30</v>
      </c>
      <c r="AQ1267">
        <v>16.666</v>
      </c>
      <c r="AR1267">
        <v>36.667000000000002</v>
      </c>
      <c r="AS1267">
        <v>69.998999999999995</v>
      </c>
      <c r="AT1267">
        <v>7219.9979999999996</v>
      </c>
      <c r="AU1267" t="s">
        <v>35</v>
      </c>
    </row>
    <row r="1268" spans="1:47" x14ac:dyDescent="0.2">
      <c r="A1268">
        <v>1858</v>
      </c>
      <c r="B1268" t="s">
        <v>664</v>
      </c>
      <c r="C1268">
        <v>14</v>
      </c>
      <c r="D1268" t="s">
        <v>667</v>
      </c>
      <c r="G1268" t="str">
        <f t="shared" si="19"/>
        <v>W201214DF006</v>
      </c>
      <c r="H1268">
        <v>72.119966669999997</v>
      </c>
      <c r="I1268">
        <v>-165.36418330000001</v>
      </c>
      <c r="J1268" s="3">
        <v>20120924</v>
      </c>
      <c r="K1268">
        <v>2012</v>
      </c>
      <c r="L1268">
        <v>4.0366400000000002</v>
      </c>
      <c r="M1268">
        <v>7.5072599999999996</v>
      </c>
      <c r="N1268">
        <v>0.74170000000000003</v>
      </c>
      <c r="O1268">
        <v>6.44414</v>
      </c>
      <c r="P1268">
        <v>0</v>
      </c>
      <c r="Q1268">
        <v>0</v>
      </c>
      <c r="R1268">
        <v>0</v>
      </c>
      <c r="S1268">
        <v>0</v>
      </c>
      <c r="T1268">
        <v>0.11123</v>
      </c>
      <c r="U1268">
        <v>3.3599999999999998E-2</v>
      </c>
      <c r="V1268">
        <v>18.874569999999999</v>
      </c>
      <c r="W1268" t="s">
        <v>10</v>
      </c>
      <c r="X1268">
        <v>58.942</v>
      </c>
      <c r="Y1268">
        <v>189.99600000000001</v>
      </c>
      <c r="Z1268">
        <v>10.06</v>
      </c>
      <c r="AA1268">
        <v>143.203</v>
      </c>
      <c r="AB1268">
        <v>0</v>
      </c>
      <c r="AC1268">
        <v>0</v>
      </c>
      <c r="AD1268">
        <v>0</v>
      </c>
      <c r="AE1268">
        <v>0</v>
      </c>
      <c r="AF1268">
        <v>1.196</v>
      </c>
      <c r="AG1268">
        <v>0.73599999999999999</v>
      </c>
      <c r="AH1268">
        <v>404.13299999999998</v>
      </c>
      <c r="AI1268" t="s">
        <v>22</v>
      </c>
      <c r="AJ1268">
        <v>376.66699999999997</v>
      </c>
      <c r="AK1268">
        <v>556.66700000000003</v>
      </c>
      <c r="AL1268">
        <v>346.66500000000002</v>
      </c>
      <c r="AM1268">
        <v>6.6669999999999998</v>
      </c>
      <c r="AN1268">
        <v>0</v>
      </c>
      <c r="AO1268">
        <v>0</v>
      </c>
      <c r="AP1268">
        <v>0</v>
      </c>
      <c r="AQ1268">
        <v>0</v>
      </c>
      <c r="AR1268">
        <v>3.3330000000000002</v>
      </c>
      <c r="AS1268">
        <v>56.667000000000002</v>
      </c>
      <c r="AT1268">
        <v>1346.6659999999999</v>
      </c>
      <c r="AU1268" t="s">
        <v>34</v>
      </c>
    </row>
    <row r="1269" spans="1:47" x14ac:dyDescent="0.2">
      <c r="A1269">
        <v>1859</v>
      </c>
      <c r="B1269" t="s">
        <v>664</v>
      </c>
      <c r="C1269">
        <v>15</v>
      </c>
      <c r="D1269" t="s">
        <v>668</v>
      </c>
      <c r="G1269" t="str">
        <f t="shared" si="19"/>
        <v>W201215DF007</v>
      </c>
      <c r="H1269">
        <v>72.243833330000001</v>
      </c>
      <c r="I1269">
        <v>-165.76696670000001</v>
      </c>
      <c r="J1269" s="3">
        <v>20120924</v>
      </c>
      <c r="K1269">
        <v>2012</v>
      </c>
      <c r="L1269">
        <v>2.4564599999999999</v>
      </c>
      <c r="M1269">
        <v>10.923959999999999</v>
      </c>
      <c r="N1269">
        <v>0.55742999999999998</v>
      </c>
      <c r="O1269">
        <v>0</v>
      </c>
      <c r="P1269">
        <v>2.4000000000000001E-4</v>
      </c>
      <c r="Q1269">
        <v>0</v>
      </c>
      <c r="R1269">
        <v>0.14743999999999999</v>
      </c>
      <c r="S1269">
        <v>3.2200000000000002E-3</v>
      </c>
      <c r="T1269">
        <v>1.3299999999999999E-2</v>
      </c>
      <c r="U1269">
        <v>1.5699999999999999E-2</v>
      </c>
      <c r="V1269">
        <v>14.117749999999999</v>
      </c>
      <c r="W1269" t="s">
        <v>10</v>
      </c>
      <c r="X1269">
        <v>34.758000000000003</v>
      </c>
      <c r="Y1269">
        <v>380.07299999999998</v>
      </c>
      <c r="Z1269">
        <v>7.48</v>
      </c>
      <c r="AA1269">
        <v>0</v>
      </c>
      <c r="AB1269">
        <v>1.7000000000000001E-2</v>
      </c>
      <c r="AC1269">
        <v>0</v>
      </c>
      <c r="AD1269">
        <v>2.4169999999999998</v>
      </c>
      <c r="AE1269">
        <v>0.23</v>
      </c>
      <c r="AF1269">
        <v>0.14299999999999999</v>
      </c>
      <c r="AG1269">
        <v>0.42299999999999999</v>
      </c>
      <c r="AH1269">
        <v>425.541</v>
      </c>
      <c r="AI1269" t="s">
        <v>22</v>
      </c>
      <c r="AJ1269">
        <v>230</v>
      </c>
      <c r="AK1269">
        <v>829.99800000000005</v>
      </c>
      <c r="AL1269">
        <v>249.99799999999999</v>
      </c>
      <c r="AM1269">
        <v>0</v>
      </c>
      <c r="AN1269">
        <v>3.3330000000000002</v>
      </c>
      <c r="AO1269">
        <v>0</v>
      </c>
      <c r="AP1269">
        <v>3.3330000000000002</v>
      </c>
      <c r="AQ1269">
        <v>3.3330000000000002</v>
      </c>
      <c r="AR1269">
        <v>10</v>
      </c>
      <c r="AS1269">
        <v>36.667000000000002</v>
      </c>
      <c r="AT1269">
        <v>1366.662</v>
      </c>
      <c r="AU1269" t="s">
        <v>34</v>
      </c>
    </row>
    <row r="1270" spans="1:47" x14ac:dyDescent="0.2">
      <c r="A1270">
        <v>1860</v>
      </c>
      <c r="B1270" t="s">
        <v>664</v>
      </c>
      <c r="C1270">
        <v>16</v>
      </c>
      <c r="D1270" t="s">
        <v>617</v>
      </c>
      <c r="G1270" t="str">
        <f t="shared" si="19"/>
        <v>W201216HC003</v>
      </c>
      <c r="H1270">
        <v>71.245783329999995</v>
      </c>
      <c r="I1270">
        <v>-165.72641669999999</v>
      </c>
      <c r="J1270" s="3">
        <v>20120910</v>
      </c>
      <c r="K1270">
        <v>2012</v>
      </c>
      <c r="L1270">
        <v>3.27502</v>
      </c>
      <c r="M1270">
        <v>1.9105300000000001</v>
      </c>
      <c r="N1270">
        <v>0.24388000000000001</v>
      </c>
      <c r="O1270">
        <v>0</v>
      </c>
      <c r="P1270">
        <v>5.5999999999999995E-4</v>
      </c>
      <c r="Q1270">
        <v>0</v>
      </c>
      <c r="R1270">
        <v>0</v>
      </c>
      <c r="S1270">
        <v>0</v>
      </c>
      <c r="T1270">
        <v>1.367E-2</v>
      </c>
      <c r="U1270">
        <v>3.6020000000000003E-2</v>
      </c>
      <c r="V1270">
        <v>5.4796800000000001</v>
      </c>
      <c r="W1270" t="s">
        <v>9</v>
      </c>
      <c r="X1270">
        <v>47.16</v>
      </c>
      <c r="Y1270">
        <v>84.012</v>
      </c>
      <c r="Z1270">
        <v>3.2130000000000001</v>
      </c>
      <c r="AA1270">
        <v>0</v>
      </c>
      <c r="AB1270">
        <v>0.04</v>
      </c>
      <c r="AC1270">
        <v>0</v>
      </c>
      <c r="AD1270">
        <v>0</v>
      </c>
      <c r="AE1270">
        <v>0</v>
      </c>
      <c r="AF1270">
        <v>0.14699999999999999</v>
      </c>
      <c r="AG1270">
        <v>0.95599999999999996</v>
      </c>
      <c r="AH1270">
        <v>135.52799999999999</v>
      </c>
      <c r="AI1270" t="s">
        <v>22</v>
      </c>
      <c r="AJ1270">
        <v>229.999</v>
      </c>
      <c r="AK1270">
        <v>1193.3340000000001</v>
      </c>
      <c r="AL1270">
        <v>113.333</v>
      </c>
      <c r="AM1270">
        <v>0</v>
      </c>
      <c r="AN1270">
        <v>10</v>
      </c>
      <c r="AO1270">
        <v>0</v>
      </c>
      <c r="AP1270">
        <v>0</v>
      </c>
      <c r="AQ1270">
        <v>0</v>
      </c>
      <c r="AR1270">
        <v>3.3330000000000002</v>
      </c>
      <c r="AS1270">
        <v>36.667000000000002</v>
      </c>
      <c r="AT1270">
        <v>1586.6659999999999</v>
      </c>
      <c r="AU1270" t="s">
        <v>34</v>
      </c>
    </row>
    <row r="1271" spans="1:47" x14ac:dyDescent="0.2">
      <c r="A1271">
        <v>1861</v>
      </c>
      <c r="B1271" t="s">
        <v>664</v>
      </c>
      <c r="C1271">
        <v>17</v>
      </c>
      <c r="D1271" t="s">
        <v>669</v>
      </c>
      <c r="G1271" t="str">
        <f t="shared" si="19"/>
        <v>W201217HC005</v>
      </c>
      <c r="H1271">
        <v>71.363266670000002</v>
      </c>
      <c r="I1271">
        <v>-166.90218329999999</v>
      </c>
      <c r="J1271" s="3">
        <v>20120908</v>
      </c>
      <c r="K1271">
        <v>2012</v>
      </c>
      <c r="L1271">
        <v>1.71885</v>
      </c>
      <c r="M1271">
        <v>0.28183999999999998</v>
      </c>
      <c r="N1271">
        <v>0.21606</v>
      </c>
      <c r="O1271">
        <v>3.29E-3</v>
      </c>
      <c r="P1271">
        <v>1E-4</v>
      </c>
      <c r="Q1271">
        <v>0</v>
      </c>
      <c r="R1271">
        <v>0.19989999999999999</v>
      </c>
      <c r="S1271">
        <v>0</v>
      </c>
      <c r="T1271">
        <v>4.9009999999999998E-2</v>
      </c>
      <c r="U1271">
        <v>1.08E-3</v>
      </c>
      <c r="V1271">
        <v>2.4701300000000002</v>
      </c>
      <c r="W1271" t="s">
        <v>9</v>
      </c>
      <c r="X1271">
        <v>21.402000000000001</v>
      </c>
      <c r="Y1271">
        <v>8.6820000000000004</v>
      </c>
      <c r="Z1271">
        <v>2.9249999999999998</v>
      </c>
      <c r="AA1271">
        <v>7.2999999999999995E-2</v>
      </c>
      <c r="AB1271">
        <v>7.0000000000000001E-3</v>
      </c>
      <c r="AC1271">
        <v>0</v>
      </c>
      <c r="AD1271">
        <v>3.2770000000000001</v>
      </c>
      <c r="AE1271">
        <v>0</v>
      </c>
      <c r="AF1271">
        <v>0.52700000000000002</v>
      </c>
      <c r="AG1271">
        <v>4.5999999999999999E-2</v>
      </c>
      <c r="AH1271">
        <v>36.939</v>
      </c>
      <c r="AI1271" t="s">
        <v>21</v>
      </c>
      <c r="AJ1271">
        <v>293.33199999999999</v>
      </c>
      <c r="AK1271">
        <v>713.33199999999999</v>
      </c>
      <c r="AL1271">
        <v>149.999</v>
      </c>
      <c r="AM1271">
        <v>6.6669999999999998</v>
      </c>
      <c r="AN1271">
        <v>3.3330000000000002</v>
      </c>
      <c r="AO1271">
        <v>0</v>
      </c>
      <c r="AP1271">
        <v>3.3330000000000002</v>
      </c>
      <c r="AQ1271">
        <v>0</v>
      </c>
      <c r="AR1271">
        <v>6.6669999999999998</v>
      </c>
      <c r="AS1271">
        <v>9.9990000000000006</v>
      </c>
      <c r="AT1271">
        <v>1186.662</v>
      </c>
      <c r="AU1271" t="s">
        <v>34</v>
      </c>
    </row>
    <row r="1272" spans="1:47" x14ac:dyDescent="0.2">
      <c r="A1272">
        <v>1862</v>
      </c>
      <c r="B1272" t="s">
        <v>664</v>
      </c>
      <c r="C1272">
        <v>18</v>
      </c>
      <c r="D1272" t="s">
        <v>670</v>
      </c>
      <c r="G1272" t="str">
        <f t="shared" si="19"/>
        <v>W201218HC006</v>
      </c>
      <c r="H1272">
        <v>71.370016669999998</v>
      </c>
      <c r="I1272">
        <v>-166.1214167</v>
      </c>
      <c r="J1272" s="3">
        <v>20120908</v>
      </c>
      <c r="K1272">
        <v>2012</v>
      </c>
      <c r="L1272">
        <v>1.8371</v>
      </c>
      <c r="M1272">
        <v>1.2354799999999999</v>
      </c>
      <c r="N1272">
        <v>0.22788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4.6499999999999996E-3</v>
      </c>
      <c r="U1272">
        <v>1.6160000000000001E-2</v>
      </c>
      <c r="V1272">
        <v>3.3212700000000002</v>
      </c>
      <c r="W1272" t="s">
        <v>9</v>
      </c>
      <c r="X1272">
        <v>26.945</v>
      </c>
      <c r="Y1272">
        <v>58.43</v>
      </c>
      <c r="Z1272">
        <v>3.2240000000000002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0.05</v>
      </c>
      <c r="AG1272">
        <v>0.31</v>
      </c>
      <c r="AH1272">
        <v>88.959000000000003</v>
      </c>
      <c r="AI1272" t="s">
        <v>22</v>
      </c>
      <c r="AJ1272">
        <v>270</v>
      </c>
      <c r="AK1272">
        <v>1663.3340000000001</v>
      </c>
      <c r="AL1272">
        <v>59.999000000000002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3.3330000000000002</v>
      </c>
      <c r="AS1272">
        <v>90.001000000000005</v>
      </c>
      <c r="AT1272">
        <v>2086.6669999999999</v>
      </c>
      <c r="AU1272" t="s">
        <v>34</v>
      </c>
    </row>
    <row r="1273" spans="1:47" x14ac:dyDescent="0.2">
      <c r="A1273">
        <v>1863</v>
      </c>
      <c r="B1273" t="s">
        <v>664</v>
      </c>
      <c r="C1273">
        <v>19</v>
      </c>
      <c r="D1273" t="s">
        <v>671</v>
      </c>
      <c r="G1273" t="str">
        <f t="shared" si="19"/>
        <v>W201219HC007</v>
      </c>
      <c r="H1273">
        <v>71.372683330000001</v>
      </c>
      <c r="I1273">
        <v>-165.34346669999999</v>
      </c>
      <c r="J1273" s="3">
        <v>20120910</v>
      </c>
      <c r="K1273">
        <v>2012</v>
      </c>
      <c r="L1273">
        <v>11.904780000000001</v>
      </c>
      <c r="M1273">
        <v>1.1674100000000001</v>
      </c>
      <c r="N1273">
        <v>0.73673999999999995</v>
      </c>
      <c r="O1273">
        <v>2.6177899999999998</v>
      </c>
      <c r="P1273">
        <v>8.9700000000000005E-3</v>
      </c>
      <c r="Q1273">
        <v>0</v>
      </c>
      <c r="R1273">
        <v>0</v>
      </c>
      <c r="S1273">
        <v>0</v>
      </c>
      <c r="T1273">
        <v>0.11718000000000001</v>
      </c>
      <c r="U1273">
        <v>8.2900000000000005E-3</v>
      </c>
      <c r="V1273">
        <v>16.561160000000001</v>
      </c>
      <c r="W1273" t="s">
        <v>9</v>
      </c>
      <c r="X1273">
        <v>172.40299999999999</v>
      </c>
      <c r="Y1273">
        <v>42.779000000000003</v>
      </c>
      <c r="Z1273">
        <v>10.247</v>
      </c>
      <c r="AA1273">
        <v>58.173000000000002</v>
      </c>
      <c r="AB1273">
        <v>0.64100000000000001</v>
      </c>
      <c r="AC1273">
        <v>0</v>
      </c>
      <c r="AD1273">
        <v>0</v>
      </c>
      <c r="AE1273">
        <v>0</v>
      </c>
      <c r="AF1273">
        <v>1.26</v>
      </c>
      <c r="AG1273">
        <v>0.20599999999999999</v>
      </c>
      <c r="AH1273">
        <v>285.709</v>
      </c>
      <c r="AI1273" t="s">
        <v>21</v>
      </c>
      <c r="AJ1273">
        <v>736.66399999999999</v>
      </c>
      <c r="AK1273">
        <v>853.33299999999997</v>
      </c>
      <c r="AL1273">
        <v>669.99900000000002</v>
      </c>
      <c r="AM1273">
        <v>20</v>
      </c>
      <c r="AN1273">
        <v>33.334000000000003</v>
      </c>
      <c r="AO1273">
        <v>0</v>
      </c>
      <c r="AP1273">
        <v>0</v>
      </c>
      <c r="AQ1273">
        <v>0</v>
      </c>
      <c r="AR1273">
        <v>0</v>
      </c>
      <c r="AS1273">
        <v>60</v>
      </c>
      <c r="AT1273">
        <v>2373.33</v>
      </c>
      <c r="AU1273" t="s">
        <v>34</v>
      </c>
    </row>
    <row r="1274" spans="1:47" x14ac:dyDescent="0.2">
      <c r="A1274">
        <v>1864</v>
      </c>
      <c r="B1274" t="s">
        <v>664</v>
      </c>
      <c r="C1274">
        <v>20</v>
      </c>
      <c r="D1274" t="s">
        <v>672</v>
      </c>
      <c r="G1274" t="str">
        <f t="shared" si="19"/>
        <v>W201220HC010</v>
      </c>
      <c r="H1274">
        <v>71.618083330000005</v>
      </c>
      <c r="I1274">
        <v>-166.13626669999999</v>
      </c>
      <c r="J1274" s="3">
        <v>20120908</v>
      </c>
      <c r="K1274">
        <v>2012</v>
      </c>
      <c r="L1274">
        <v>1.8543099999999999</v>
      </c>
      <c r="M1274">
        <v>1.23976</v>
      </c>
      <c r="N1274">
        <v>0.47478999999999999</v>
      </c>
      <c r="O1274">
        <v>2.9860699999999998</v>
      </c>
      <c r="P1274">
        <v>6.1999999999999998E-3</v>
      </c>
      <c r="Q1274">
        <v>0</v>
      </c>
      <c r="R1274">
        <v>0</v>
      </c>
      <c r="S1274">
        <v>0</v>
      </c>
      <c r="T1274">
        <v>0</v>
      </c>
      <c r="U1274">
        <v>3.2200000000000002E-3</v>
      </c>
      <c r="V1274">
        <v>6.5643500000000001</v>
      </c>
      <c r="W1274" t="s">
        <v>12</v>
      </c>
      <c r="X1274">
        <v>26.722000000000001</v>
      </c>
      <c r="Y1274">
        <v>34.066000000000003</v>
      </c>
      <c r="Z1274">
        <v>6.2640000000000002</v>
      </c>
      <c r="AA1274">
        <v>66.356999999999999</v>
      </c>
      <c r="AB1274">
        <v>0.443</v>
      </c>
      <c r="AC1274">
        <v>0</v>
      </c>
      <c r="AD1274">
        <v>0</v>
      </c>
      <c r="AE1274">
        <v>0</v>
      </c>
      <c r="AF1274">
        <v>0</v>
      </c>
      <c r="AG1274">
        <v>5.1999999999999998E-2</v>
      </c>
      <c r="AH1274">
        <v>133.904</v>
      </c>
      <c r="AI1274" t="s">
        <v>24</v>
      </c>
      <c r="AJ1274">
        <v>233.334</v>
      </c>
      <c r="AK1274">
        <v>1513.3340000000001</v>
      </c>
      <c r="AL1274">
        <v>70</v>
      </c>
      <c r="AM1274">
        <v>3.3330000000000002</v>
      </c>
      <c r="AN1274">
        <v>3.3330000000000002</v>
      </c>
      <c r="AO1274">
        <v>0</v>
      </c>
      <c r="AP1274">
        <v>0</v>
      </c>
      <c r="AQ1274">
        <v>0</v>
      </c>
      <c r="AR1274">
        <v>0</v>
      </c>
      <c r="AS1274">
        <v>23.332999999999998</v>
      </c>
      <c r="AT1274">
        <v>1846.6669999999999</v>
      </c>
      <c r="AU1274" t="s">
        <v>34</v>
      </c>
    </row>
    <row r="1275" spans="1:47" x14ac:dyDescent="0.2">
      <c r="A1275">
        <v>1865</v>
      </c>
      <c r="B1275" t="s">
        <v>664</v>
      </c>
      <c r="C1275">
        <v>21</v>
      </c>
      <c r="D1275" t="s">
        <v>673</v>
      </c>
      <c r="G1275" t="str">
        <f t="shared" si="19"/>
        <v>W201221HC013</v>
      </c>
      <c r="H1275">
        <v>71.870716669999993</v>
      </c>
      <c r="I1275">
        <v>-165.3565333</v>
      </c>
      <c r="J1275" s="3">
        <v>20120909</v>
      </c>
      <c r="K1275">
        <v>2012</v>
      </c>
      <c r="L1275">
        <v>2.8682599999999998</v>
      </c>
      <c r="M1275">
        <v>4.7271400000000003</v>
      </c>
      <c r="N1275">
        <v>1.23858</v>
      </c>
      <c r="O1275">
        <v>0</v>
      </c>
      <c r="P1275">
        <v>4.0000000000000003E-5</v>
      </c>
      <c r="Q1275">
        <v>0</v>
      </c>
      <c r="R1275">
        <v>0</v>
      </c>
      <c r="S1275">
        <v>0</v>
      </c>
      <c r="T1275">
        <v>9.3000000000000005E-4</v>
      </c>
      <c r="U1275">
        <v>2.648E-2</v>
      </c>
      <c r="V1275">
        <v>8.8614300000000004</v>
      </c>
      <c r="W1275" t="s">
        <v>10</v>
      </c>
      <c r="X1275">
        <v>40.350999999999999</v>
      </c>
      <c r="Y1275">
        <v>197.27</v>
      </c>
      <c r="Z1275">
        <v>16.843</v>
      </c>
      <c r="AA1275">
        <v>0</v>
      </c>
      <c r="AB1275">
        <v>3.0000000000000001E-3</v>
      </c>
      <c r="AC1275">
        <v>0</v>
      </c>
      <c r="AD1275">
        <v>0</v>
      </c>
      <c r="AE1275">
        <v>0</v>
      </c>
      <c r="AF1275">
        <v>0.01</v>
      </c>
      <c r="AG1275">
        <v>0.56200000000000006</v>
      </c>
      <c r="AH1275">
        <v>255.03899999999999</v>
      </c>
      <c r="AI1275" t="s">
        <v>22</v>
      </c>
      <c r="AJ1275">
        <v>293.33499999999998</v>
      </c>
      <c r="AK1275">
        <v>893.33299999999997</v>
      </c>
      <c r="AL1275">
        <v>656.66600000000005</v>
      </c>
      <c r="AM1275">
        <v>0</v>
      </c>
      <c r="AN1275">
        <v>3.3330000000000002</v>
      </c>
      <c r="AO1275">
        <v>0</v>
      </c>
      <c r="AP1275">
        <v>0</v>
      </c>
      <c r="AQ1275">
        <v>0</v>
      </c>
      <c r="AR1275">
        <v>3.3330000000000002</v>
      </c>
      <c r="AS1275">
        <v>26.667000000000002</v>
      </c>
      <c r="AT1275">
        <v>1876.6669999999999</v>
      </c>
      <c r="AU1275" t="s">
        <v>34</v>
      </c>
    </row>
    <row r="1276" spans="1:47" x14ac:dyDescent="0.2">
      <c r="A1276">
        <v>1866</v>
      </c>
      <c r="B1276" t="s">
        <v>664</v>
      </c>
      <c r="C1276">
        <v>22</v>
      </c>
      <c r="D1276" t="s">
        <v>620</v>
      </c>
      <c r="G1276" t="str">
        <f t="shared" si="19"/>
        <v>W201222HC020</v>
      </c>
      <c r="H1276">
        <v>71.572550000000007</v>
      </c>
      <c r="I1276">
        <v>-160.6198167</v>
      </c>
      <c r="J1276" s="3">
        <v>20120915</v>
      </c>
      <c r="K1276">
        <v>2012</v>
      </c>
      <c r="L1276">
        <v>1.13723</v>
      </c>
      <c r="M1276">
        <v>7.0335999999999999</v>
      </c>
      <c r="N1276">
        <v>3.7130000000000003E-2</v>
      </c>
      <c r="O1276">
        <v>0</v>
      </c>
      <c r="P1276">
        <v>0.33557999999999999</v>
      </c>
      <c r="Q1276">
        <v>0</v>
      </c>
      <c r="R1276">
        <v>0.52180000000000004</v>
      </c>
      <c r="S1276">
        <v>0.15046000000000001</v>
      </c>
      <c r="T1276">
        <v>2.7529999999999999E-2</v>
      </c>
      <c r="U1276">
        <v>0.15941</v>
      </c>
      <c r="V1276">
        <v>9.4027399999999997</v>
      </c>
      <c r="W1276" t="s">
        <v>10</v>
      </c>
      <c r="X1276">
        <v>16.323</v>
      </c>
      <c r="Y1276">
        <v>200.58600000000001</v>
      </c>
      <c r="Z1276">
        <v>0.49299999999999999</v>
      </c>
      <c r="AA1276">
        <v>0</v>
      </c>
      <c r="AB1276">
        <v>23.97</v>
      </c>
      <c r="AC1276">
        <v>0</v>
      </c>
      <c r="AD1276">
        <v>8.5540000000000003</v>
      </c>
      <c r="AE1276">
        <v>10.747</v>
      </c>
      <c r="AF1276">
        <v>0.29599999999999999</v>
      </c>
      <c r="AG1276">
        <v>6.2009999999999996</v>
      </c>
      <c r="AH1276">
        <v>267.17</v>
      </c>
      <c r="AI1276" t="s">
        <v>22</v>
      </c>
      <c r="AJ1276">
        <v>956.66499999999996</v>
      </c>
      <c r="AK1276">
        <v>690.00199999999995</v>
      </c>
      <c r="AL1276">
        <v>23.332000000000001</v>
      </c>
      <c r="AM1276">
        <v>0</v>
      </c>
      <c r="AN1276">
        <v>23.332999999999998</v>
      </c>
      <c r="AO1276">
        <v>0</v>
      </c>
      <c r="AP1276">
        <v>16.667000000000002</v>
      </c>
      <c r="AQ1276">
        <v>3.3330000000000002</v>
      </c>
      <c r="AR1276">
        <v>10</v>
      </c>
      <c r="AS1276">
        <v>46.667999999999999</v>
      </c>
      <c r="AT1276">
        <v>1770</v>
      </c>
      <c r="AU1276" t="s">
        <v>33</v>
      </c>
    </row>
    <row r="1277" spans="1:47" x14ac:dyDescent="0.2">
      <c r="A1277">
        <v>1867</v>
      </c>
      <c r="B1277" t="s">
        <v>664</v>
      </c>
      <c r="C1277">
        <v>23</v>
      </c>
      <c r="D1277" s="4" t="s">
        <v>851</v>
      </c>
      <c r="E1277" s="4" t="s">
        <v>851</v>
      </c>
      <c r="F1277" s="4" t="s">
        <v>622</v>
      </c>
      <c r="G1277" t="str">
        <f t="shared" si="19"/>
        <v>W201223DBO4.6n</v>
      </c>
      <c r="H1277">
        <v>71.849166670000002</v>
      </c>
      <c r="I1277">
        <v>-162.15960000000001</v>
      </c>
      <c r="J1277" s="3">
        <v>20120913</v>
      </c>
      <c r="K1277">
        <v>2012</v>
      </c>
      <c r="L1277">
        <v>2.9081999999999999</v>
      </c>
      <c r="M1277">
        <v>16.02544</v>
      </c>
      <c r="N1277">
        <v>0.34945999999999999</v>
      </c>
      <c r="O1277">
        <v>2.6110000000000001E-2</v>
      </c>
      <c r="P1277">
        <v>0.37225999999999998</v>
      </c>
      <c r="Q1277">
        <v>0</v>
      </c>
      <c r="R1277">
        <v>3.5100000000000001E-3</v>
      </c>
      <c r="S1277">
        <v>3.882E-2</v>
      </c>
      <c r="T1277">
        <v>0.63956000000000002</v>
      </c>
      <c r="U1277">
        <v>0.13208</v>
      </c>
      <c r="V1277">
        <v>20.495439999999999</v>
      </c>
      <c r="W1277" t="s">
        <v>10</v>
      </c>
      <c r="X1277">
        <v>44.37</v>
      </c>
      <c r="Y1277">
        <v>462.05099999999999</v>
      </c>
      <c r="Z1277">
        <v>5.1040000000000001</v>
      </c>
      <c r="AA1277">
        <v>0.57999999999999996</v>
      </c>
      <c r="AB1277">
        <v>26.59</v>
      </c>
      <c r="AC1277">
        <v>0</v>
      </c>
      <c r="AD1277">
        <v>0.06</v>
      </c>
      <c r="AE1277">
        <v>2.7730000000000001</v>
      </c>
      <c r="AF1277">
        <v>6.8769999999999998</v>
      </c>
      <c r="AG1277">
        <v>7.7</v>
      </c>
      <c r="AH1277">
        <v>556.10500000000002</v>
      </c>
      <c r="AI1277" t="s">
        <v>22</v>
      </c>
      <c r="AJ1277">
        <v>1273.3320000000001</v>
      </c>
      <c r="AK1277">
        <v>1156.6669999999999</v>
      </c>
      <c r="AL1277">
        <v>93.334000000000003</v>
      </c>
      <c r="AM1277">
        <v>23.332999999999998</v>
      </c>
      <c r="AN1277">
        <v>30</v>
      </c>
      <c r="AO1277">
        <v>0</v>
      </c>
      <c r="AP1277">
        <v>6.6660000000000004</v>
      </c>
      <c r="AQ1277">
        <v>6.6669999999999998</v>
      </c>
      <c r="AR1277">
        <v>16.667000000000002</v>
      </c>
      <c r="AS1277">
        <v>39.999000000000002</v>
      </c>
      <c r="AT1277">
        <v>2646.665</v>
      </c>
      <c r="AU1277" t="s">
        <v>33</v>
      </c>
    </row>
    <row r="1278" spans="1:47" x14ac:dyDescent="0.2">
      <c r="A1278">
        <v>1868</v>
      </c>
      <c r="B1278" t="s">
        <v>664</v>
      </c>
      <c r="C1278">
        <v>24</v>
      </c>
      <c r="D1278" t="s">
        <v>625</v>
      </c>
      <c r="G1278" t="str">
        <f t="shared" si="19"/>
        <v>W201224HC028</v>
      </c>
      <c r="H1278">
        <v>71.799833329999998</v>
      </c>
      <c r="I1278">
        <v>-159.76830000000001</v>
      </c>
      <c r="J1278" s="3">
        <v>20120915</v>
      </c>
      <c r="K1278">
        <v>2012</v>
      </c>
      <c r="L1278">
        <v>1.9632700000000001</v>
      </c>
      <c r="M1278">
        <v>5.1074099999999998</v>
      </c>
      <c r="N1278">
        <v>2.4760000000000001E-2</v>
      </c>
      <c r="O1278">
        <v>4.8199999999999996E-3</v>
      </c>
      <c r="P1278">
        <v>7.4200000000000004E-3</v>
      </c>
      <c r="Q1278">
        <v>0</v>
      </c>
      <c r="R1278">
        <v>0</v>
      </c>
      <c r="S1278">
        <v>0</v>
      </c>
      <c r="T1278">
        <v>0.29081000000000001</v>
      </c>
      <c r="U1278">
        <v>0.21453</v>
      </c>
      <c r="V1278">
        <v>7.6130199999999997</v>
      </c>
      <c r="W1278" t="s">
        <v>10</v>
      </c>
      <c r="X1278">
        <v>30.286999999999999</v>
      </c>
      <c r="Y1278">
        <v>140.41900000000001</v>
      </c>
      <c r="Z1278">
        <v>0.34899999999999998</v>
      </c>
      <c r="AA1278">
        <v>0.107</v>
      </c>
      <c r="AB1278">
        <v>0.53</v>
      </c>
      <c r="AC1278">
        <v>0</v>
      </c>
      <c r="AD1278">
        <v>0</v>
      </c>
      <c r="AE1278">
        <v>0</v>
      </c>
      <c r="AF1278">
        <v>3.1269999999999998</v>
      </c>
      <c r="AG1278">
        <v>4.9560000000000004</v>
      </c>
      <c r="AH1278">
        <v>179.77500000000001</v>
      </c>
      <c r="AI1278" t="s">
        <v>22</v>
      </c>
      <c r="AJ1278">
        <v>753.33199999999999</v>
      </c>
      <c r="AK1278">
        <v>1323.3330000000001</v>
      </c>
      <c r="AL1278">
        <v>49.999000000000002</v>
      </c>
      <c r="AM1278">
        <v>3.3330000000000002</v>
      </c>
      <c r="AN1278">
        <v>3.3330000000000002</v>
      </c>
      <c r="AO1278">
        <v>0</v>
      </c>
      <c r="AP1278">
        <v>0</v>
      </c>
      <c r="AQ1278">
        <v>0</v>
      </c>
      <c r="AR1278">
        <v>3.3330000000000002</v>
      </c>
      <c r="AS1278">
        <v>63.334000000000003</v>
      </c>
      <c r="AT1278">
        <v>2199.9969999999998</v>
      </c>
      <c r="AU1278" t="s">
        <v>34</v>
      </c>
    </row>
    <row r="1279" spans="1:47" x14ac:dyDescent="0.2">
      <c r="A1279">
        <v>1869</v>
      </c>
      <c r="B1279" t="s">
        <v>664</v>
      </c>
      <c r="C1279">
        <v>25</v>
      </c>
      <c r="D1279" t="s">
        <v>674</v>
      </c>
      <c r="G1279" t="str">
        <f t="shared" si="19"/>
        <v>W201225HC030</v>
      </c>
      <c r="H1279">
        <v>71.968566670000001</v>
      </c>
      <c r="I1279">
        <v>-161.73678330000001</v>
      </c>
      <c r="J1279" s="3">
        <v>20120914</v>
      </c>
      <c r="K1279">
        <v>2012</v>
      </c>
      <c r="L1279">
        <v>3.4168699999999999</v>
      </c>
      <c r="M1279">
        <v>6.2171399999999997</v>
      </c>
      <c r="N1279">
        <v>0.14377999999999999</v>
      </c>
      <c r="O1279">
        <v>6.8000000000000005E-4</v>
      </c>
      <c r="P1279">
        <v>2.5200000000000001E-3</v>
      </c>
      <c r="Q1279">
        <v>0</v>
      </c>
      <c r="R1279">
        <v>1.5679999999999999E-2</v>
      </c>
      <c r="S1279">
        <v>0.28595999999999999</v>
      </c>
      <c r="T1279">
        <v>0.88136000000000003</v>
      </c>
      <c r="U1279">
        <v>0.35375000000000001</v>
      </c>
      <c r="V1279">
        <v>11.317740000000001</v>
      </c>
      <c r="W1279" t="s">
        <v>10</v>
      </c>
      <c r="X1279">
        <v>48.521000000000001</v>
      </c>
      <c r="Y1279">
        <v>270.89699999999999</v>
      </c>
      <c r="Z1279">
        <v>2.0299999999999998</v>
      </c>
      <c r="AA1279">
        <v>1.4999999999999999E-2</v>
      </c>
      <c r="AB1279">
        <v>0.18</v>
      </c>
      <c r="AC1279">
        <v>0</v>
      </c>
      <c r="AD1279">
        <v>0.25700000000000001</v>
      </c>
      <c r="AE1279">
        <v>20.425999999999998</v>
      </c>
      <c r="AF1279">
        <v>9.4770000000000003</v>
      </c>
      <c r="AG1279">
        <v>11.923999999999999</v>
      </c>
      <c r="AH1279">
        <v>363.72699999999998</v>
      </c>
      <c r="AI1279" t="s">
        <v>22</v>
      </c>
      <c r="AJ1279">
        <v>2190</v>
      </c>
      <c r="AK1279">
        <v>2733.3330000000001</v>
      </c>
      <c r="AL1279">
        <v>210</v>
      </c>
      <c r="AM1279">
        <v>6.6669999999999998</v>
      </c>
      <c r="AN1279">
        <v>3.3330000000000002</v>
      </c>
      <c r="AO1279">
        <v>0</v>
      </c>
      <c r="AP1279">
        <v>16.667000000000002</v>
      </c>
      <c r="AQ1279">
        <v>53.334000000000003</v>
      </c>
      <c r="AR1279">
        <v>13.333</v>
      </c>
      <c r="AS1279">
        <v>100</v>
      </c>
      <c r="AT1279">
        <v>5326.6670000000004</v>
      </c>
      <c r="AU1279" t="s">
        <v>34</v>
      </c>
    </row>
    <row r="1280" spans="1:47" x14ac:dyDescent="0.2">
      <c r="A1280">
        <v>1870</v>
      </c>
      <c r="B1280" t="s">
        <v>664</v>
      </c>
      <c r="C1280">
        <v>26</v>
      </c>
      <c r="D1280" t="s">
        <v>675</v>
      </c>
      <c r="G1280" t="str">
        <f t="shared" si="19"/>
        <v>W201226HN001</v>
      </c>
      <c r="H1280">
        <v>72.119783330000004</v>
      </c>
      <c r="I1280">
        <v>-164.55171669999999</v>
      </c>
      <c r="J1280" s="3">
        <v>20120924</v>
      </c>
      <c r="K1280">
        <v>2012</v>
      </c>
      <c r="L1280">
        <v>2.8103600000000002</v>
      </c>
      <c r="M1280">
        <v>1.47753</v>
      </c>
      <c r="N1280">
        <v>0.37819000000000003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2.0459999999999999E-2</v>
      </c>
      <c r="U1280">
        <v>4.2199999999999998E-3</v>
      </c>
      <c r="V1280">
        <v>4.69076</v>
      </c>
      <c r="W1280" t="s">
        <v>9</v>
      </c>
      <c r="X1280">
        <v>40.191000000000003</v>
      </c>
      <c r="Y1280">
        <v>81.453000000000003</v>
      </c>
      <c r="Z1280">
        <v>5.3209999999999997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0.22</v>
      </c>
      <c r="AG1280">
        <v>6.8000000000000005E-2</v>
      </c>
      <c r="AH1280">
        <v>127.253</v>
      </c>
      <c r="AI1280" t="s">
        <v>22</v>
      </c>
      <c r="AJ1280">
        <v>233.333</v>
      </c>
      <c r="AK1280">
        <v>653.33399999999995</v>
      </c>
      <c r="AL1280">
        <v>223.333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3.3330000000000002</v>
      </c>
      <c r="AS1280">
        <v>13.333</v>
      </c>
      <c r="AT1280">
        <v>1126.6659999999999</v>
      </c>
      <c r="AU1280" t="s">
        <v>34</v>
      </c>
    </row>
    <row r="1281" spans="1:47" x14ac:dyDescent="0.2">
      <c r="A1281">
        <v>1871</v>
      </c>
      <c r="B1281" t="s">
        <v>664</v>
      </c>
      <c r="C1281">
        <v>27</v>
      </c>
      <c r="D1281" t="s">
        <v>676</v>
      </c>
      <c r="G1281" t="str">
        <f t="shared" si="19"/>
        <v>W201227HN003</v>
      </c>
      <c r="H1281">
        <v>72.108649999999997</v>
      </c>
      <c r="I1281">
        <v>-162.92789999999999</v>
      </c>
      <c r="J1281" s="3">
        <v>20120925</v>
      </c>
      <c r="K1281">
        <v>2012</v>
      </c>
      <c r="L1281">
        <v>3.1817799999999998</v>
      </c>
      <c r="M1281">
        <v>9.4979999999999993</v>
      </c>
      <c r="N1281">
        <v>4.3499999999999997E-2</v>
      </c>
      <c r="O1281">
        <v>0.71550000000000002</v>
      </c>
      <c r="P1281">
        <v>8.7400000000000005E-2</v>
      </c>
      <c r="Q1281">
        <v>0</v>
      </c>
      <c r="R1281">
        <v>0.24790999999999999</v>
      </c>
      <c r="S1281">
        <v>0</v>
      </c>
      <c r="T1281">
        <v>0.22348000000000001</v>
      </c>
      <c r="U1281">
        <v>4.6039999999999998E-2</v>
      </c>
      <c r="V1281">
        <v>14.043609999999999</v>
      </c>
      <c r="W1281" t="s">
        <v>10</v>
      </c>
      <c r="X1281">
        <v>45.676000000000002</v>
      </c>
      <c r="Y1281">
        <v>291.47699999999998</v>
      </c>
      <c r="Z1281">
        <v>0.623</v>
      </c>
      <c r="AA1281">
        <v>15.9</v>
      </c>
      <c r="AB1281">
        <v>6.2430000000000003</v>
      </c>
      <c r="AC1281">
        <v>0</v>
      </c>
      <c r="AD1281">
        <v>4.0640000000000001</v>
      </c>
      <c r="AE1281">
        <v>0</v>
      </c>
      <c r="AF1281">
        <v>2.403</v>
      </c>
      <c r="AG1281">
        <v>1.044</v>
      </c>
      <c r="AH1281">
        <v>367.43</v>
      </c>
      <c r="AI1281" t="s">
        <v>22</v>
      </c>
      <c r="AJ1281">
        <v>496.666</v>
      </c>
      <c r="AK1281">
        <v>970.00099999999998</v>
      </c>
      <c r="AL1281">
        <v>39.999000000000002</v>
      </c>
      <c r="AM1281">
        <v>10</v>
      </c>
      <c r="AN1281">
        <v>10</v>
      </c>
      <c r="AO1281">
        <v>0</v>
      </c>
      <c r="AP1281">
        <v>3.3330000000000002</v>
      </c>
      <c r="AQ1281">
        <v>0</v>
      </c>
      <c r="AR1281">
        <v>13.333</v>
      </c>
      <c r="AS1281">
        <v>13.333</v>
      </c>
      <c r="AT1281">
        <v>1556.665</v>
      </c>
      <c r="AU1281" t="s">
        <v>34</v>
      </c>
    </row>
    <row r="1282" spans="1:47" x14ac:dyDescent="0.2">
      <c r="A1282">
        <v>1872</v>
      </c>
      <c r="B1282" t="s">
        <v>664</v>
      </c>
      <c r="C1282">
        <v>28</v>
      </c>
      <c r="D1282" t="s">
        <v>677</v>
      </c>
      <c r="G1282" t="str">
        <f t="shared" si="19"/>
        <v>W201228HN005</v>
      </c>
      <c r="H1282">
        <v>72.083866670000006</v>
      </c>
      <c r="I1282">
        <v>-161.31365</v>
      </c>
      <c r="J1282" s="3">
        <v>20120929</v>
      </c>
      <c r="K1282">
        <v>2012</v>
      </c>
      <c r="L1282">
        <v>0.77188999999999997</v>
      </c>
      <c r="M1282">
        <v>0.96704000000000001</v>
      </c>
      <c r="N1282">
        <v>7.9500000000000001E-2</v>
      </c>
      <c r="O1282">
        <v>0</v>
      </c>
      <c r="P1282">
        <v>0</v>
      </c>
      <c r="Q1282">
        <v>0</v>
      </c>
      <c r="R1282">
        <v>0.39345000000000002</v>
      </c>
      <c r="S1282">
        <v>2.9399999999999999E-3</v>
      </c>
      <c r="T1282">
        <v>3.1899999999999998E-2</v>
      </c>
      <c r="U1282">
        <v>0.87966</v>
      </c>
      <c r="V1282">
        <v>3.1263800000000002</v>
      </c>
      <c r="W1282" t="s">
        <v>10</v>
      </c>
      <c r="X1282">
        <v>11.064</v>
      </c>
      <c r="Y1282">
        <v>33.807000000000002</v>
      </c>
      <c r="Z1282">
        <v>0.94699999999999995</v>
      </c>
      <c r="AA1282">
        <v>0</v>
      </c>
      <c r="AB1282">
        <v>0</v>
      </c>
      <c r="AC1282">
        <v>0</v>
      </c>
      <c r="AD1282">
        <v>6.45</v>
      </c>
      <c r="AE1282">
        <v>0.21</v>
      </c>
      <c r="AF1282">
        <v>0.34300000000000003</v>
      </c>
      <c r="AG1282">
        <v>41.405000000000001</v>
      </c>
      <c r="AH1282">
        <v>94.225999999999999</v>
      </c>
      <c r="AI1282" t="s">
        <v>30</v>
      </c>
      <c r="AJ1282">
        <v>1340.002</v>
      </c>
      <c r="AK1282">
        <v>140</v>
      </c>
      <c r="AL1282">
        <v>53.332999999999998</v>
      </c>
      <c r="AM1282">
        <v>0</v>
      </c>
      <c r="AN1282">
        <v>0</v>
      </c>
      <c r="AO1282">
        <v>0</v>
      </c>
      <c r="AP1282">
        <v>46.665999999999997</v>
      </c>
      <c r="AQ1282">
        <v>6.6669999999999998</v>
      </c>
      <c r="AR1282">
        <v>13.333</v>
      </c>
      <c r="AS1282">
        <v>1096.6659999999999</v>
      </c>
      <c r="AT1282">
        <v>2696.6669999999999</v>
      </c>
      <c r="AU1282" t="s">
        <v>33</v>
      </c>
    </row>
    <row r="1283" spans="1:47" x14ac:dyDescent="0.2">
      <c r="A1283">
        <v>1873</v>
      </c>
      <c r="B1283" t="s">
        <v>664</v>
      </c>
      <c r="C1283">
        <v>29</v>
      </c>
      <c r="D1283" t="s">
        <v>614</v>
      </c>
      <c r="G1283" t="str">
        <f t="shared" ref="G1283:G1346" si="20">CONCATENATE(B1283,C1283,D1283)</f>
        <v>W201229HN014</v>
      </c>
      <c r="H1283">
        <v>72.364350000000002</v>
      </c>
      <c r="I1283">
        <v>-163.71903330000001</v>
      </c>
      <c r="J1283" s="3">
        <v>20120925</v>
      </c>
      <c r="K1283">
        <v>2012</v>
      </c>
      <c r="L1283">
        <v>1.53417</v>
      </c>
      <c r="M1283">
        <v>5.3397199999999998</v>
      </c>
      <c r="N1283">
        <v>0.13075999999999999</v>
      </c>
      <c r="O1283">
        <v>0</v>
      </c>
      <c r="P1283">
        <v>1.8000000000000001E-4</v>
      </c>
      <c r="Q1283">
        <v>0</v>
      </c>
      <c r="R1283">
        <v>0</v>
      </c>
      <c r="S1283">
        <v>0</v>
      </c>
      <c r="T1283">
        <v>3.6549999999999999E-2</v>
      </c>
      <c r="U1283">
        <v>0.13453999999999999</v>
      </c>
      <c r="V1283">
        <v>7.1759199999999996</v>
      </c>
      <c r="W1283" t="s">
        <v>10</v>
      </c>
      <c r="X1283">
        <v>21.279</v>
      </c>
      <c r="Y1283">
        <v>141.48699999999999</v>
      </c>
      <c r="Z1283">
        <v>1.923</v>
      </c>
      <c r="AA1283">
        <v>0</v>
      </c>
      <c r="AB1283">
        <v>1.2999999999999999E-2</v>
      </c>
      <c r="AC1283">
        <v>0</v>
      </c>
      <c r="AD1283">
        <v>0</v>
      </c>
      <c r="AE1283">
        <v>0</v>
      </c>
      <c r="AF1283">
        <v>0.39300000000000002</v>
      </c>
      <c r="AG1283">
        <v>6.3650000000000002</v>
      </c>
      <c r="AH1283">
        <v>171.46</v>
      </c>
      <c r="AI1283" t="s">
        <v>22</v>
      </c>
      <c r="AJ1283">
        <v>226.666</v>
      </c>
      <c r="AK1283">
        <v>319.99900000000002</v>
      </c>
      <c r="AL1283">
        <v>16.667000000000002</v>
      </c>
      <c r="AM1283">
        <v>0</v>
      </c>
      <c r="AN1283">
        <v>3.3330000000000002</v>
      </c>
      <c r="AO1283">
        <v>0</v>
      </c>
      <c r="AP1283">
        <v>0</v>
      </c>
      <c r="AQ1283">
        <v>0</v>
      </c>
      <c r="AR1283">
        <v>23.332999999999998</v>
      </c>
      <c r="AS1283">
        <v>20</v>
      </c>
      <c r="AT1283">
        <v>609.99800000000005</v>
      </c>
      <c r="AU1283" t="s">
        <v>34</v>
      </c>
    </row>
    <row r="1284" spans="1:47" x14ac:dyDescent="0.2">
      <c r="A1284">
        <v>1874</v>
      </c>
      <c r="B1284" t="s">
        <v>664</v>
      </c>
      <c r="C1284">
        <v>30</v>
      </c>
      <c r="D1284" t="s">
        <v>678</v>
      </c>
      <c r="G1284" t="str">
        <f t="shared" si="20"/>
        <v>W201230HN015</v>
      </c>
      <c r="H1284">
        <v>72.357066669999995</v>
      </c>
      <c r="I1284">
        <v>-162.89680000000001</v>
      </c>
      <c r="J1284" s="3">
        <v>20120926</v>
      </c>
      <c r="K1284">
        <v>2012</v>
      </c>
      <c r="L1284">
        <v>1.0520700000000001</v>
      </c>
      <c r="M1284">
        <v>2.8889100000000001</v>
      </c>
      <c r="N1284">
        <v>5.9659999999999998E-2</v>
      </c>
      <c r="O1284">
        <v>0</v>
      </c>
      <c r="P1284">
        <v>0</v>
      </c>
      <c r="Q1284">
        <v>0</v>
      </c>
      <c r="R1284">
        <v>0.36234</v>
      </c>
      <c r="S1284">
        <v>4.1599999999999996E-3</v>
      </c>
      <c r="T1284">
        <v>3.041E-2</v>
      </c>
      <c r="U1284">
        <v>2.1600000000000001E-2</v>
      </c>
      <c r="V1284">
        <v>4.4191500000000001</v>
      </c>
      <c r="W1284" t="s">
        <v>10</v>
      </c>
      <c r="X1284">
        <v>14.426</v>
      </c>
      <c r="Y1284">
        <v>94.120999999999995</v>
      </c>
      <c r="Z1284">
        <v>0.86</v>
      </c>
      <c r="AA1284">
        <v>0</v>
      </c>
      <c r="AB1284">
        <v>0</v>
      </c>
      <c r="AC1284">
        <v>0</v>
      </c>
      <c r="AD1284">
        <v>5.94</v>
      </c>
      <c r="AE1284">
        <v>0.29699999999999999</v>
      </c>
      <c r="AF1284">
        <v>0.32700000000000001</v>
      </c>
      <c r="AG1284">
        <v>0.64300000000000002</v>
      </c>
      <c r="AH1284">
        <v>116.614</v>
      </c>
      <c r="AI1284" t="s">
        <v>22</v>
      </c>
      <c r="AJ1284">
        <v>236.667</v>
      </c>
      <c r="AK1284">
        <v>656.66600000000005</v>
      </c>
      <c r="AL1284">
        <v>29.998999999999999</v>
      </c>
      <c r="AM1284">
        <v>0</v>
      </c>
      <c r="AN1284">
        <v>0</v>
      </c>
      <c r="AO1284">
        <v>0</v>
      </c>
      <c r="AP1284">
        <v>6.6669999999999998</v>
      </c>
      <c r="AQ1284">
        <v>16.667000000000002</v>
      </c>
      <c r="AR1284">
        <v>3.3330000000000002</v>
      </c>
      <c r="AS1284">
        <v>20</v>
      </c>
      <c r="AT1284">
        <v>969.99900000000002</v>
      </c>
      <c r="AU1284" t="s">
        <v>34</v>
      </c>
    </row>
    <row r="1285" spans="1:47" x14ac:dyDescent="0.2">
      <c r="A1285">
        <v>1875</v>
      </c>
      <c r="B1285" t="s">
        <v>664</v>
      </c>
      <c r="C1285">
        <v>31</v>
      </c>
      <c r="D1285" t="s">
        <v>633</v>
      </c>
      <c r="G1285" t="str">
        <f t="shared" si="20"/>
        <v>W201231HN016</v>
      </c>
      <c r="H1285">
        <v>72.346599999999995</v>
      </c>
      <c r="I1285">
        <v>-162.07964999999999</v>
      </c>
      <c r="J1285" s="3">
        <v>20120927</v>
      </c>
      <c r="K1285">
        <v>2012</v>
      </c>
      <c r="L1285">
        <v>3.4884200000000001</v>
      </c>
      <c r="M1285">
        <v>3.2276899999999999</v>
      </c>
      <c r="N1285">
        <v>0.96004</v>
      </c>
      <c r="O1285">
        <v>1.20749</v>
      </c>
      <c r="P1285">
        <v>3.0000000000000001E-5</v>
      </c>
      <c r="Q1285">
        <v>0</v>
      </c>
      <c r="R1285">
        <v>0.13865</v>
      </c>
      <c r="S1285">
        <v>0</v>
      </c>
      <c r="T1285">
        <v>0.22813</v>
      </c>
      <c r="U1285">
        <v>8.0769999999999995E-2</v>
      </c>
      <c r="V1285">
        <v>9.3312200000000001</v>
      </c>
      <c r="W1285" t="s">
        <v>9</v>
      </c>
      <c r="X1285">
        <v>48.756</v>
      </c>
      <c r="Y1285">
        <v>104.744</v>
      </c>
      <c r="Z1285">
        <v>13.967000000000001</v>
      </c>
      <c r="AA1285">
        <v>26.832999999999998</v>
      </c>
      <c r="AB1285">
        <v>2E-3</v>
      </c>
      <c r="AC1285">
        <v>0</v>
      </c>
      <c r="AD1285">
        <v>2.2730000000000001</v>
      </c>
      <c r="AE1285">
        <v>0</v>
      </c>
      <c r="AF1285">
        <v>2.4529999999999998</v>
      </c>
      <c r="AG1285">
        <v>6.5229999999999997</v>
      </c>
      <c r="AH1285">
        <v>205.55099999999999</v>
      </c>
      <c r="AI1285" t="s">
        <v>22</v>
      </c>
      <c r="AJ1285">
        <v>2080</v>
      </c>
      <c r="AK1285">
        <v>269.99900000000002</v>
      </c>
      <c r="AL1285">
        <v>356.666</v>
      </c>
      <c r="AM1285">
        <v>80</v>
      </c>
      <c r="AN1285">
        <v>3.3330000000000002</v>
      </c>
      <c r="AO1285">
        <v>0</v>
      </c>
      <c r="AP1285">
        <v>6.6669999999999998</v>
      </c>
      <c r="AQ1285">
        <v>0</v>
      </c>
      <c r="AR1285">
        <v>70</v>
      </c>
      <c r="AS1285">
        <v>33.332999999999998</v>
      </c>
      <c r="AT1285">
        <v>2899.998</v>
      </c>
      <c r="AU1285" t="s">
        <v>33</v>
      </c>
    </row>
    <row r="1286" spans="1:47" x14ac:dyDescent="0.2">
      <c r="A1286">
        <v>1876</v>
      </c>
      <c r="B1286" t="s">
        <v>664</v>
      </c>
      <c r="C1286">
        <v>32</v>
      </c>
      <c r="D1286" t="s">
        <v>679</v>
      </c>
      <c r="G1286" t="str">
        <f t="shared" si="20"/>
        <v>W201232HN018</v>
      </c>
      <c r="H1286">
        <v>72.316683330000004</v>
      </c>
      <c r="I1286">
        <v>-160.4429667</v>
      </c>
      <c r="J1286" s="3">
        <v>20120929</v>
      </c>
      <c r="K1286">
        <v>2012</v>
      </c>
      <c r="L1286">
        <v>2.52522</v>
      </c>
      <c r="M1286">
        <v>1.3701099999999999</v>
      </c>
      <c r="N1286">
        <v>0.28638000000000002</v>
      </c>
      <c r="O1286">
        <v>0</v>
      </c>
      <c r="P1286">
        <v>0</v>
      </c>
      <c r="Q1286">
        <v>0</v>
      </c>
      <c r="R1286">
        <v>0</v>
      </c>
      <c r="S1286">
        <v>7.0000000000000007E-2</v>
      </c>
      <c r="T1286">
        <v>2.9760000000000002E-2</v>
      </c>
      <c r="U1286">
        <v>0.13572000000000001</v>
      </c>
      <c r="V1286">
        <v>4.4171899999999997</v>
      </c>
      <c r="W1286" t="s">
        <v>9</v>
      </c>
      <c r="X1286">
        <v>39.456000000000003</v>
      </c>
      <c r="Y1286">
        <v>35.463999999999999</v>
      </c>
      <c r="Z1286">
        <v>4.1159999999999997</v>
      </c>
      <c r="AA1286">
        <v>0</v>
      </c>
      <c r="AB1286">
        <v>0</v>
      </c>
      <c r="AC1286">
        <v>0</v>
      </c>
      <c r="AD1286">
        <v>0</v>
      </c>
      <c r="AE1286">
        <v>5</v>
      </c>
      <c r="AF1286">
        <v>0.32</v>
      </c>
      <c r="AG1286">
        <v>4.4649999999999999</v>
      </c>
      <c r="AH1286">
        <v>88.820999999999998</v>
      </c>
      <c r="AI1286" t="s">
        <v>21</v>
      </c>
      <c r="AJ1286">
        <v>356.66399999999999</v>
      </c>
      <c r="AK1286">
        <v>1340</v>
      </c>
      <c r="AL1286">
        <v>153.333</v>
      </c>
      <c r="AM1286">
        <v>0</v>
      </c>
      <c r="AN1286">
        <v>0</v>
      </c>
      <c r="AO1286">
        <v>0</v>
      </c>
      <c r="AP1286">
        <v>0</v>
      </c>
      <c r="AQ1286">
        <v>3.3330000000000002</v>
      </c>
      <c r="AR1286">
        <v>20</v>
      </c>
      <c r="AS1286">
        <v>70</v>
      </c>
      <c r="AT1286">
        <v>1943.33</v>
      </c>
      <c r="AU1286" t="s">
        <v>34</v>
      </c>
    </row>
    <row r="1287" spans="1:47" x14ac:dyDescent="0.2">
      <c r="A1287">
        <v>1877</v>
      </c>
      <c r="B1287" t="s">
        <v>664</v>
      </c>
      <c r="C1287">
        <v>33</v>
      </c>
      <c r="D1287" t="s">
        <v>680</v>
      </c>
      <c r="G1287" t="str">
        <f t="shared" si="20"/>
        <v>W201233HN025</v>
      </c>
      <c r="H1287">
        <v>72.607133329999996</v>
      </c>
      <c r="I1287">
        <v>-162.87046670000001</v>
      </c>
      <c r="J1287" s="3">
        <v>20120926</v>
      </c>
      <c r="K1287">
        <v>2012</v>
      </c>
      <c r="L1287">
        <v>4.4177999999999997</v>
      </c>
      <c r="M1287">
        <v>3.1444000000000001</v>
      </c>
      <c r="N1287">
        <v>4.684E-2</v>
      </c>
      <c r="O1287">
        <v>1.0399999999999999E-3</v>
      </c>
      <c r="P1287">
        <v>0</v>
      </c>
      <c r="Q1287">
        <v>0</v>
      </c>
      <c r="R1287">
        <v>0</v>
      </c>
      <c r="S1287">
        <v>0.14419999999999999</v>
      </c>
      <c r="T1287">
        <v>0.12200999999999999</v>
      </c>
      <c r="U1287">
        <v>6.0929999999999998E-2</v>
      </c>
      <c r="V1287">
        <v>7.9372199999999999</v>
      </c>
      <c r="W1287" t="s">
        <v>9</v>
      </c>
      <c r="X1287">
        <v>65.043999999999997</v>
      </c>
      <c r="Y1287">
        <v>102.09399999999999</v>
      </c>
      <c r="Z1287">
        <v>0.63200000000000001</v>
      </c>
      <c r="AA1287">
        <v>2.3E-2</v>
      </c>
      <c r="AB1287">
        <v>0</v>
      </c>
      <c r="AC1287">
        <v>0</v>
      </c>
      <c r="AD1287">
        <v>0</v>
      </c>
      <c r="AE1287">
        <v>10.3</v>
      </c>
      <c r="AF1287">
        <v>1.3120000000000001</v>
      </c>
      <c r="AG1287">
        <v>1.097</v>
      </c>
      <c r="AH1287">
        <v>180.50200000000001</v>
      </c>
      <c r="AI1287" t="s">
        <v>22</v>
      </c>
      <c r="AJ1287">
        <v>236.66499999999999</v>
      </c>
      <c r="AK1287">
        <v>483.334</v>
      </c>
      <c r="AL1287">
        <v>46.665999999999997</v>
      </c>
      <c r="AM1287">
        <v>3.3330000000000002</v>
      </c>
      <c r="AN1287">
        <v>0</v>
      </c>
      <c r="AO1287">
        <v>0</v>
      </c>
      <c r="AP1287">
        <v>0</v>
      </c>
      <c r="AQ1287">
        <v>3.3330000000000002</v>
      </c>
      <c r="AR1287">
        <v>3.3330000000000002</v>
      </c>
      <c r="AS1287">
        <v>16.666</v>
      </c>
      <c r="AT1287">
        <v>793.33</v>
      </c>
      <c r="AU1287" t="s">
        <v>34</v>
      </c>
    </row>
    <row r="1288" spans="1:47" x14ac:dyDescent="0.2">
      <c r="A1288">
        <v>1878</v>
      </c>
      <c r="B1288" t="s">
        <v>664</v>
      </c>
      <c r="C1288">
        <v>34</v>
      </c>
      <c r="D1288" t="s">
        <v>681</v>
      </c>
      <c r="G1288" t="str">
        <f t="shared" si="20"/>
        <v>W201234HN027</v>
      </c>
      <c r="H1288">
        <v>72.582783329999998</v>
      </c>
      <c r="I1288">
        <v>-161.20949999999999</v>
      </c>
      <c r="J1288" s="3">
        <v>20120928</v>
      </c>
      <c r="K1288">
        <v>2012</v>
      </c>
      <c r="L1288">
        <v>0.58645000000000003</v>
      </c>
      <c r="M1288">
        <v>8.8239999999999998</v>
      </c>
      <c r="N1288">
        <v>4.3950000000000003E-2</v>
      </c>
      <c r="O1288">
        <v>0.43052000000000001</v>
      </c>
      <c r="P1288">
        <v>1E-4</v>
      </c>
      <c r="Q1288">
        <v>0</v>
      </c>
      <c r="R1288">
        <v>0</v>
      </c>
      <c r="S1288">
        <v>0</v>
      </c>
      <c r="T1288">
        <v>8.09E-3</v>
      </c>
      <c r="U1288">
        <v>9.4149999999999998E-2</v>
      </c>
      <c r="V1288">
        <v>9.9872599999999991</v>
      </c>
      <c r="W1288" t="s">
        <v>10</v>
      </c>
      <c r="X1288">
        <v>8.9570000000000007</v>
      </c>
      <c r="Y1288">
        <v>279.57</v>
      </c>
      <c r="Z1288">
        <v>0.623</v>
      </c>
      <c r="AA1288">
        <v>9.5670000000000002</v>
      </c>
      <c r="AB1288">
        <v>7.0000000000000001E-3</v>
      </c>
      <c r="AC1288">
        <v>0</v>
      </c>
      <c r="AD1288">
        <v>0</v>
      </c>
      <c r="AE1288">
        <v>0</v>
      </c>
      <c r="AF1288">
        <v>8.6999999999999994E-2</v>
      </c>
      <c r="AG1288">
        <v>1.8939999999999999</v>
      </c>
      <c r="AH1288">
        <v>300.70499999999998</v>
      </c>
      <c r="AI1288" t="s">
        <v>22</v>
      </c>
      <c r="AJ1288">
        <v>229.99799999999999</v>
      </c>
      <c r="AK1288">
        <v>696.66600000000005</v>
      </c>
      <c r="AL1288">
        <v>50</v>
      </c>
      <c r="AM1288">
        <v>13.333</v>
      </c>
      <c r="AN1288">
        <v>6.6669999999999998</v>
      </c>
      <c r="AO1288">
        <v>0</v>
      </c>
      <c r="AP1288">
        <v>0</v>
      </c>
      <c r="AQ1288">
        <v>0</v>
      </c>
      <c r="AR1288">
        <v>3.3330000000000002</v>
      </c>
      <c r="AS1288">
        <v>36.665999999999997</v>
      </c>
      <c r="AT1288">
        <v>1036.663</v>
      </c>
      <c r="AU1288" t="s">
        <v>34</v>
      </c>
    </row>
    <row r="1289" spans="1:47" x14ac:dyDescent="0.2">
      <c r="A1289">
        <v>1879</v>
      </c>
      <c r="B1289" t="s">
        <v>664</v>
      </c>
      <c r="C1289">
        <v>35</v>
      </c>
      <c r="D1289" t="s">
        <v>682</v>
      </c>
      <c r="G1289" t="str">
        <f t="shared" si="20"/>
        <v>W201235HN029</v>
      </c>
      <c r="H1289">
        <v>72.543149999999997</v>
      </c>
      <c r="I1289">
        <v>-159.55511670000001</v>
      </c>
      <c r="J1289" s="3">
        <v>20120930</v>
      </c>
      <c r="K1289">
        <v>2012</v>
      </c>
      <c r="L1289">
        <v>1.3833200000000001</v>
      </c>
      <c r="M1289">
        <v>8.8731100000000005</v>
      </c>
      <c r="N1289">
        <v>5.3420000000000002E-2</v>
      </c>
      <c r="O1289">
        <v>0</v>
      </c>
      <c r="P1289">
        <v>0.32125999999999999</v>
      </c>
      <c r="Q1289">
        <v>0</v>
      </c>
      <c r="R1289">
        <v>0.90078999999999998</v>
      </c>
      <c r="S1289">
        <v>0</v>
      </c>
      <c r="T1289">
        <v>0</v>
      </c>
      <c r="U1289">
        <v>0.21801999999999999</v>
      </c>
      <c r="V1289">
        <v>11.749919999999999</v>
      </c>
      <c r="W1289" t="s">
        <v>10</v>
      </c>
      <c r="X1289">
        <v>20.21</v>
      </c>
      <c r="Y1289">
        <v>250.10599999999999</v>
      </c>
      <c r="Z1289">
        <v>0.78300000000000003</v>
      </c>
      <c r="AA1289">
        <v>0</v>
      </c>
      <c r="AB1289">
        <v>22.946999999999999</v>
      </c>
      <c r="AC1289">
        <v>0</v>
      </c>
      <c r="AD1289">
        <v>14.766999999999999</v>
      </c>
      <c r="AE1289">
        <v>0</v>
      </c>
      <c r="AF1289">
        <v>0</v>
      </c>
      <c r="AG1289">
        <v>21.42</v>
      </c>
      <c r="AH1289">
        <v>330.233</v>
      </c>
      <c r="AI1289" t="s">
        <v>22</v>
      </c>
      <c r="AJ1289">
        <v>199.99799999999999</v>
      </c>
      <c r="AK1289">
        <v>326.66500000000002</v>
      </c>
      <c r="AL1289">
        <v>16.667000000000002</v>
      </c>
      <c r="AM1289">
        <v>0</v>
      </c>
      <c r="AN1289">
        <v>13.333</v>
      </c>
      <c r="AO1289">
        <v>0</v>
      </c>
      <c r="AP1289">
        <v>13.333</v>
      </c>
      <c r="AQ1289">
        <v>0</v>
      </c>
      <c r="AR1289">
        <v>0</v>
      </c>
      <c r="AS1289">
        <v>3.3330000000000002</v>
      </c>
      <c r="AT1289">
        <v>573.32899999999995</v>
      </c>
      <c r="AU1289" t="s">
        <v>34</v>
      </c>
    </row>
    <row r="1290" spans="1:47" x14ac:dyDescent="0.2">
      <c r="A1290">
        <v>1880</v>
      </c>
      <c r="B1290" t="s">
        <v>664</v>
      </c>
      <c r="C1290">
        <v>36</v>
      </c>
      <c r="D1290" t="s">
        <v>683</v>
      </c>
      <c r="G1290" t="str">
        <f t="shared" si="20"/>
        <v>W201236HS001</v>
      </c>
      <c r="H1290">
        <v>70.633899999999997</v>
      </c>
      <c r="I1290">
        <v>-167.49921670000001</v>
      </c>
      <c r="J1290" s="3">
        <v>20120907</v>
      </c>
      <c r="K1290">
        <v>2012</v>
      </c>
      <c r="L1290">
        <v>4.952</v>
      </c>
      <c r="M1290">
        <v>4.5073299999999996</v>
      </c>
      <c r="N1290">
        <v>0.56450999999999996</v>
      </c>
      <c r="O1290">
        <v>1.5211399999999999</v>
      </c>
      <c r="P1290">
        <v>0</v>
      </c>
      <c r="Q1290">
        <v>0</v>
      </c>
      <c r="R1290">
        <v>0</v>
      </c>
      <c r="S1290">
        <v>0</v>
      </c>
      <c r="T1290">
        <v>8.7399999999999995E-3</v>
      </c>
      <c r="U1290">
        <v>1.5599999999999999E-2</v>
      </c>
      <c r="V1290">
        <v>11.569319999999999</v>
      </c>
      <c r="W1290" t="s">
        <v>9</v>
      </c>
      <c r="X1290">
        <v>70.688000000000002</v>
      </c>
      <c r="Y1290">
        <v>125.691</v>
      </c>
      <c r="Z1290">
        <v>7.6449999999999996</v>
      </c>
      <c r="AA1290">
        <v>33.802999999999997</v>
      </c>
      <c r="AB1290">
        <v>0</v>
      </c>
      <c r="AC1290">
        <v>0</v>
      </c>
      <c r="AD1290">
        <v>0</v>
      </c>
      <c r="AE1290">
        <v>0</v>
      </c>
      <c r="AF1290">
        <v>9.4E-2</v>
      </c>
      <c r="AG1290">
        <v>0.26300000000000001</v>
      </c>
      <c r="AH1290">
        <v>238.184</v>
      </c>
      <c r="AI1290" t="s">
        <v>22</v>
      </c>
      <c r="AJ1290">
        <v>349.99799999999999</v>
      </c>
      <c r="AK1290">
        <v>623.33299999999997</v>
      </c>
      <c r="AL1290">
        <v>546.66700000000003</v>
      </c>
      <c r="AM1290">
        <v>10</v>
      </c>
      <c r="AN1290">
        <v>0</v>
      </c>
      <c r="AO1290">
        <v>0</v>
      </c>
      <c r="AP1290">
        <v>0</v>
      </c>
      <c r="AQ1290">
        <v>0</v>
      </c>
      <c r="AR1290">
        <v>3.3330000000000002</v>
      </c>
      <c r="AS1290">
        <v>96.667000000000002</v>
      </c>
      <c r="AT1290">
        <v>1629.998</v>
      </c>
      <c r="AU1290" t="s">
        <v>34</v>
      </c>
    </row>
    <row r="1291" spans="1:47" x14ac:dyDescent="0.2">
      <c r="A1291">
        <v>1881</v>
      </c>
      <c r="B1291" t="s">
        <v>664</v>
      </c>
      <c r="C1291">
        <v>37</v>
      </c>
      <c r="D1291" t="s">
        <v>684</v>
      </c>
      <c r="G1291" t="str">
        <f t="shared" si="20"/>
        <v>W201237HS006</v>
      </c>
      <c r="H1291">
        <v>71.370016669999998</v>
      </c>
      <c r="I1291">
        <v>-166.1214167</v>
      </c>
      <c r="J1291" s="3">
        <v>20120906</v>
      </c>
      <c r="K1291">
        <v>2012</v>
      </c>
      <c r="L1291">
        <v>2.0875699999999999</v>
      </c>
      <c r="M1291">
        <v>0.50926000000000005</v>
      </c>
      <c r="N1291">
        <v>0.14937</v>
      </c>
      <c r="O1291">
        <v>0</v>
      </c>
      <c r="P1291">
        <v>3.2000000000000003E-4</v>
      </c>
      <c r="Q1291">
        <v>2.7999999999999998E-4</v>
      </c>
      <c r="R1291">
        <v>0</v>
      </c>
      <c r="S1291">
        <v>0.11577999999999999</v>
      </c>
      <c r="T1291">
        <v>0.65258000000000005</v>
      </c>
      <c r="U1291">
        <v>1.6619999999999999E-2</v>
      </c>
      <c r="V1291">
        <v>3.5317799999999999</v>
      </c>
      <c r="W1291" t="s">
        <v>9</v>
      </c>
      <c r="X1291">
        <v>27.599</v>
      </c>
      <c r="Y1291">
        <v>21.672999999999998</v>
      </c>
      <c r="Z1291">
        <v>2.109</v>
      </c>
      <c r="AA1291">
        <v>0</v>
      </c>
      <c r="AB1291">
        <v>2.3E-2</v>
      </c>
      <c r="AC1291">
        <v>0.03</v>
      </c>
      <c r="AD1291">
        <v>0</v>
      </c>
      <c r="AE1291">
        <v>8.27</v>
      </c>
      <c r="AF1291">
        <v>7.0170000000000003</v>
      </c>
      <c r="AG1291">
        <v>0.52500000000000002</v>
      </c>
      <c r="AH1291">
        <v>67.245999999999995</v>
      </c>
      <c r="AI1291" t="s">
        <v>21</v>
      </c>
      <c r="AJ1291">
        <v>483.334</v>
      </c>
      <c r="AK1291">
        <v>586.66700000000003</v>
      </c>
      <c r="AL1291">
        <v>163.333</v>
      </c>
      <c r="AM1291">
        <v>0</v>
      </c>
      <c r="AN1291">
        <v>6.6669999999999998</v>
      </c>
      <c r="AO1291">
        <v>6.6660000000000004</v>
      </c>
      <c r="AP1291">
        <v>0</v>
      </c>
      <c r="AQ1291">
        <v>3.3330000000000002</v>
      </c>
      <c r="AR1291">
        <v>6.6669999999999998</v>
      </c>
      <c r="AS1291">
        <v>50</v>
      </c>
      <c r="AT1291">
        <v>1306.6669999999999</v>
      </c>
      <c r="AU1291" t="s">
        <v>34</v>
      </c>
    </row>
    <row r="1292" spans="1:47" x14ac:dyDescent="0.2">
      <c r="A1292">
        <v>1882</v>
      </c>
      <c r="B1292" t="s">
        <v>664</v>
      </c>
      <c r="C1292">
        <v>38</v>
      </c>
      <c r="D1292" t="s">
        <v>685</v>
      </c>
      <c r="G1292" t="str">
        <f t="shared" si="20"/>
        <v>W201238HS009</v>
      </c>
      <c r="H1292">
        <v>71.106549999999999</v>
      </c>
      <c r="I1292">
        <v>-167.56096669999999</v>
      </c>
      <c r="J1292" s="3">
        <v>20120907</v>
      </c>
      <c r="K1292">
        <v>2012</v>
      </c>
      <c r="L1292">
        <v>0.74007000000000001</v>
      </c>
      <c r="M1292">
        <v>2.4371999999999998</v>
      </c>
      <c r="N1292">
        <v>0.17968000000000001</v>
      </c>
      <c r="O1292">
        <v>0</v>
      </c>
      <c r="P1292">
        <v>1.7000000000000001E-4</v>
      </c>
      <c r="Q1292">
        <v>0</v>
      </c>
      <c r="R1292">
        <v>0</v>
      </c>
      <c r="S1292">
        <v>0</v>
      </c>
      <c r="T1292">
        <v>0</v>
      </c>
      <c r="U1292">
        <v>3.3800000000000002E-3</v>
      </c>
      <c r="V1292">
        <v>3.3605</v>
      </c>
      <c r="W1292" t="s">
        <v>10</v>
      </c>
      <c r="X1292">
        <v>12.086</v>
      </c>
      <c r="Y1292">
        <v>133.648</v>
      </c>
      <c r="Z1292">
        <v>2.2730000000000001</v>
      </c>
      <c r="AA1292">
        <v>0</v>
      </c>
      <c r="AB1292">
        <v>1.2E-2</v>
      </c>
      <c r="AC1292">
        <v>0</v>
      </c>
      <c r="AD1292">
        <v>0</v>
      </c>
      <c r="AE1292">
        <v>0</v>
      </c>
      <c r="AF1292">
        <v>0</v>
      </c>
      <c r="AG1292">
        <v>5.5E-2</v>
      </c>
      <c r="AH1292">
        <v>148.07400000000001</v>
      </c>
      <c r="AI1292" t="s">
        <v>22</v>
      </c>
      <c r="AJ1292">
        <v>266.666</v>
      </c>
      <c r="AK1292">
        <v>839.99900000000002</v>
      </c>
      <c r="AL1292">
        <v>96.665000000000006</v>
      </c>
      <c r="AM1292">
        <v>0</v>
      </c>
      <c r="AN1292">
        <v>6.6669999999999998</v>
      </c>
      <c r="AO1292">
        <v>0</v>
      </c>
      <c r="AP1292">
        <v>0</v>
      </c>
      <c r="AQ1292">
        <v>0</v>
      </c>
      <c r="AR1292">
        <v>0</v>
      </c>
      <c r="AS1292">
        <v>33.332999999999998</v>
      </c>
      <c r="AT1292">
        <v>1243.33</v>
      </c>
      <c r="AU1292" t="s">
        <v>34</v>
      </c>
    </row>
    <row r="1293" spans="1:47" x14ac:dyDescent="0.2">
      <c r="A1293">
        <v>1883</v>
      </c>
      <c r="B1293" t="s">
        <v>664</v>
      </c>
      <c r="C1293">
        <v>39</v>
      </c>
      <c r="D1293" t="s">
        <v>686</v>
      </c>
      <c r="G1293" t="str">
        <f t="shared" si="20"/>
        <v>W201239HS011</v>
      </c>
      <c r="H1293">
        <v>70.644183330000004</v>
      </c>
      <c r="I1293">
        <v>-163.83306669999999</v>
      </c>
      <c r="J1293" s="3">
        <v>20120901</v>
      </c>
      <c r="K1293">
        <v>2012</v>
      </c>
      <c r="L1293">
        <v>10.762269999999999</v>
      </c>
      <c r="M1293">
        <v>1.3951199999999999</v>
      </c>
      <c r="N1293">
        <v>0.35232000000000002</v>
      </c>
      <c r="O1293">
        <v>2.8738899999999998</v>
      </c>
      <c r="P1293">
        <v>0.2094</v>
      </c>
      <c r="Q1293">
        <v>0</v>
      </c>
      <c r="R1293">
        <v>1.8000000000000001E-4</v>
      </c>
      <c r="S1293">
        <v>0</v>
      </c>
      <c r="T1293">
        <v>0.31303999999999998</v>
      </c>
      <c r="U1293">
        <v>7.0610000000000006E-2</v>
      </c>
      <c r="V1293">
        <v>15.97683</v>
      </c>
      <c r="W1293" t="s">
        <v>9</v>
      </c>
      <c r="X1293">
        <v>155.40299999999999</v>
      </c>
      <c r="Y1293">
        <v>40.887999999999998</v>
      </c>
      <c r="Z1293">
        <v>5.0419999999999998</v>
      </c>
      <c r="AA1293">
        <v>63.863999999999997</v>
      </c>
      <c r="AB1293">
        <v>14.957000000000001</v>
      </c>
      <c r="AC1293">
        <v>0</v>
      </c>
      <c r="AD1293">
        <v>3.0000000000000001E-3</v>
      </c>
      <c r="AE1293">
        <v>0</v>
      </c>
      <c r="AF1293">
        <v>3.3660000000000001</v>
      </c>
      <c r="AG1293">
        <v>2.5190000000000001</v>
      </c>
      <c r="AH1293">
        <v>286.04199999999997</v>
      </c>
      <c r="AI1293" t="s">
        <v>21</v>
      </c>
      <c r="AJ1293">
        <v>940</v>
      </c>
      <c r="AK1293">
        <v>836.66600000000005</v>
      </c>
      <c r="AL1293">
        <v>1676.6659999999999</v>
      </c>
      <c r="AM1293">
        <v>50</v>
      </c>
      <c r="AN1293">
        <v>89.998999999999995</v>
      </c>
      <c r="AO1293">
        <v>0</v>
      </c>
      <c r="AP1293">
        <v>3.3330000000000002</v>
      </c>
      <c r="AQ1293">
        <v>0</v>
      </c>
      <c r="AR1293">
        <v>16.667000000000002</v>
      </c>
      <c r="AS1293">
        <v>66.665999999999997</v>
      </c>
      <c r="AT1293">
        <v>3679.9969999999998</v>
      </c>
      <c r="AU1293" t="s">
        <v>35</v>
      </c>
    </row>
    <row r="1294" spans="1:47" x14ac:dyDescent="0.2">
      <c r="A1294">
        <v>1884</v>
      </c>
      <c r="B1294" t="s">
        <v>664</v>
      </c>
      <c r="C1294">
        <v>40</v>
      </c>
      <c r="D1294" t="s">
        <v>86</v>
      </c>
      <c r="G1294" t="str">
        <f t="shared" si="20"/>
        <v>W201240KF003</v>
      </c>
      <c r="H1294">
        <v>70.647333329999995</v>
      </c>
      <c r="I1294">
        <v>-165.25184999999999</v>
      </c>
      <c r="J1294" s="3">
        <v>20120902</v>
      </c>
      <c r="K1294">
        <v>2012</v>
      </c>
      <c r="L1294">
        <v>9.6006699999999991</v>
      </c>
      <c r="M1294">
        <v>1.8322000000000001</v>
      </c>
      <c r="N1294">
        <v>0.25006</v>
      </c>
      <c r="O1294">
        <v>3.2875700000000001</v>
      </c>
      <c r="P1294">
        <v>2.5200000000000001E-3</v>
      </c>
      <c r="Q1294">
        <v>0</v>
      </c>
      <c r="R1294">
        <v>1.7319999999999999E-2</v>
      </c>
      <c r="S1294">
        <v>8.4099999999999994E-2</v>
      </c>
      <c r="T1294">
        <v>9.8600000000000007E-3</v>
      </c>
      <c r="U1294">
        <v>0.13197</v>
      </c>
      <c r="V1294">
        <v>15.21627</v>
      </c>
      <c r="W1294" t="s">
        <v>9</v>
      </c>
      <c r="X1294">
        <v>136.52099999999999</v>
      </c>
      <c r="Y1294">
        <v>67.686000000000007</v>
      </c>
      <c r="Z1294">
        <v>3.5539999999999998</v>
      </c>
      <c r="AA1294">
        <v>73.057000000000002</v>
      </c>
      <c r="AB1294">
        <v>0.18</v>
      </c>
      <c r="AC1294">
        <v>0</v>
      </c>
      <c r="AD1294">
        <v>0.433</v>
      </c>
      <c r="AE1294">
        <v>6.0069999999999997</v>
      </c>
      <c r="AF1294">
        <v>0.106</v>
      </c>
      <c r="AG1294">
        <v>2.7989999999999999</v>
      </c>
      <c r="AH1294">
        <v>290.34300000000002</v>
      </c>
      <c r="AI1294" t="s">
        <v>21</v>
      </c>
      <c r="AJ1294">
        <v>639.99800000000005</v>
      </c>
      <c r="AK1294">
        <v>316.666</v>
      </c>
      <c r="AL1294">
        <v>606.66899999999998</v>
      </c>
      <c r="AM1294">
        <v>10</v>
      </c>
      <c r="AN1294">
        <v>43.332999999999998</v>
      </c>
      <c r="AO1294">
        <v>0</v>
      </c>
      <c r="AP1294">
        <v>3.3330000000000002</v>
      </c>
      <c r="AQ1294">
        <v>30</v>
      </c>
      <c r="AR1294">
        <v>3.3330000000000002</v>
      </c>
      <c r="AS1294">
        <v>89.998999999999995</v>
      </c>
      <c r="AT1294">
        <v>1743.3309999999999</v>
      </c>
      <c r="AU1294" t="s">
        <v>33</v>
      </c>
    </row>
    <row r="1295" spans="1:47" x14ac:dyDescent="0.2">
      <c r="A1295">
        <v>1885</v>
      </c>
      <c r="B1295" t="s">
        <v>664</v>
      </c>
      <c r="C1295">
        <v>41</v>
      </c>
      <c r="D1295" t="s">
        <v>87</v>
      </c>
      <c r="G1295" t="str">
        <f t="shared" si="20"/>
        <v>W201241KF005</v>
      </c>
      <c r="H1295">
        <v>70.647616670000005</v>
      </c>
      <c r="I1295">
        <v>-164.49615</v>
      </c>
      <c r="J1295" s="3">
        <v>20121001</v>
      </c>
      <c r="K1295">
        <v>2012</v>
      </c>
      <c r="L1295">
        <v>13.735810000000001</v>
      </c>
      <c r="M1295">
        <v>4.9584099999999998</v>
      </c>
      <c r="N1295">
        <v>0.19270999999999999</v>
      </c>
      <c r="O1295">
        <v>6.7824</v>
      </c>
      <c r="P1295">
        <v>1.106E-2</v>
      </c>
      <c r="Q1295">
        <v>0</v>
      </c>
      <c r="R1295">
        <v>0.63012000000000001</v>
      </c>
      <c r="S1295">
        <v>1.0256700000000001</v>
      </c>
      <c r="T1295">
        <v>0.19622999999999999</v>
      </c>
      <c r="U1295">
        <v>6.6530000000000006E-2</v>
      </c>
      <c r="V1295">
        <v>27.598939999999999</v>
      </c>
      <c r="W1295" t="s">
        <v>9</v>
      </c>
      <c r="X1295">
        <v>199.40700000000001</v>
      </c>
      <c r="Y1295">
        <v>276.99299999999999</v>
      </c>
      <c r="Z1295">
        <v>2.7440000000000002</v>
      </c>
      <c r="AA1295">
        <v>150.72</v>
      </c>
      <c r="AB1295">
        <v>0.79</v>
      </c>
      <c r="AC1295">
        <v>0</v>
      </c>
      <c r="AD1295">
        <v>15.753</v>
      </c>
      <c r="AE1295">
        <v>40.11</v>
      </c>
      <c r="AF1295">
        <v>2.11</v>
      </c>
      <c r="AG1295">
        <v>2.5950000000000002</v>
      </c>
      <c r="AH1295">
        <v>691.22199999999998</v>
      </c>
      <c r="AI1295" t="s">
        <v>22</v>
      </c>
      <c r="AJ1295">
        <v>893.33399999999995</v>
      </c>
      <c r="AK1295">
        <v>623.33399999999995</v>
      </c>
      <c r="AL1295">
        <v>603.33299999999997</v>
      </c>
      <c r="AM1295">
        <v>40</v>
      </c>
      <c r="AN1295">
        <v>110</v>
      </c>
      <c r="AO1295">
        <v>0</v>
      </c>
      <c r="AP1295">
        <v>6.6669999999999998</v>
      </c>
      <c r="AQ1295">
        <v>23.332999999999998</v>
      </c>
      <c r="AR1295">
        <v>6.6669999999999998</v>
      </c>
      <c r="AS1295">
        <v>96.665000000000006</v>
      </c>
      <c r="AT1295">
        <v>2403.3330000000001</v>
      </c>
      <c r="AU1295" t="s">
        <v>33</v>
      </c>
    </row>
    <row r="1296" spans="1:47" x14ac:dyDescent="0.2">
      <c r="A1296">
        <v>1886</v>
      </c>
      <c r="B1296" t="s">
        <v>664</v>
      </c>
      <c r="C1296">
        <v>42</v>
      </c>
      <c r="D1296" t="s">
        <v>88</v>
      </c>
      <c r="G1296" t="str">
        <f t="shared" si="20"/>
        <v>W201242KF007</v>
      </c>
      <c r="H1296">
        <v>70.772166670000004</v>
      </c>
      <c r="I1296">
        <v>-165.63315</v>
      </c>
      <c r="J1296" s="3">
        <v>20120905</v>
      </c>
      <c r="K1296">
        <v>2012</v>
      </c>
      <c r="L1296">
        <v>3.9520200000000001</v>
      </c>
      <c r="M1296">
        <v>1.48539</v>
      </c>
      <c r="N1296">
        <v>0.99329000000000001</v>
      </c>
      <c r="O1296">
        <v>3.2062499999999998</v>
      </c>
      <c r="P1296">
        <v>1.04E-2</v>
      </c>
      <c r="Q1296">
        <v>8.0000000000000007E-5</v>
      </c>
      <c r="R1296">
        <v>9.2000000000000003E-4</v>
      </c>
      <c r="S1296">
        <v>0.19756000000000001</v>
      </c>
      <c r="T1296">
        <v>4.5569999999999999E-2</v>
      </c>
      <c r="U1296">
        <v>0.47571999999999998</v>
      </c>
      <c r="V1296">
        <v>10.3672</v>
      </c>
      <c r="W1296" t="s">
        <v>9</v>
      </c>
      <c r="X1296">
        <v>56.534999999999997</v>
      </c>
      <c r="Y1296">
        <v>62.383000000000003</v>
      </c>
      <c r="Z1296">
        <v>13.792999999999999</v>
      </c>
      <c r="AA1296">
        <v>71.25</v>
      </c>
      <c r="AB1296">
        <v>0.74299999999999999</v>
      </c>
      <c r="AC1296">
        <v>7.0000000000000001E-3</v>
      </c>
      <c r="AD1296">
        <v>2.3E-2</v>
      </c>
      <c r="AE1296">
        <v>11.494</v>
      </c>
      <c r="AF1296">
        <v>0.49</v>
      </c>
      <c r="AG1296">
        <v>26.282</v>
      </c>
      <c r="AH1296">
        <v>243</v>
      </c>
      <c r="AI1296" t="s">
        <v>24</v>
      </c>
      <c r="AJ1296">
        <v>1373.3320000000001</v>
      </c>
      <c r="AK1296">
        <v>373.33199999999999</v>
      </c>
      <c r="AL1296">
        <v>1246.665</v>
      </c>
      <c r="AM1296">
        <v>96.667000000000002</v>
      </c>
      <c r="AN1296">
        <v>60</v>
      </c>
      <c r="AO1296">
        <v>3.3330000000000002</v>
      </c>
      <c r="AP1296">
        <v>6.6669999999999998</v>
      </c>
      <c r="AQ1296">
        <v>96.665999999999997</v>
      </c>
      <c r="AR1296">
        <v>6.6669999999999998</v>
      </c>
      <c r="AS1296">
        <v>140</v>
      </c>
      <c r="AT1296">
        <v>3403.3290000000002</v>
      </c>
      <c r="AU1296" t="s">
        <v>33</v>
      </c>
    </row>
    <row r="1297" spans="1:47" x14ac:dyDescent="0.2">
      <c r="A1297">
        <v>1887</v>
      </c>
      <c r="B1297" t="s">
        <v>664</v>
      </c>
      <c r="C1297">
        <v>43</v>
      </c>
      <c r="D1297" t="s">
        <v>89</v>
      </c>
      <c r="G1297" t="str">
        <f t="shared" si="20"/>
        <v>W201243KF009</v>
      </c>
      <c r="H1297">
        <v>70.774366670000006</v>
      </c>
      <c r="I1297">
        <v>-164.87128329999999</v>
      </c>
      <c r="J1297" s="3">
        <v>20121001</v>
      </c>
      <c r="K1297">
        <v>2012</v>
      </c>
      <c r="L1297">
        <v>12.326000000000001</v>
      </c>
      <c r="M1297">
        <v>1.08535</v>
      </c>
      <c r="N1297">
        <v>0.68249000000000004</v>
      </c>
      <c r="O1297">
        <v>5.27027</v>
      </c>
      <c r="P1297">
        <v>1.308E-2</v>
      </c>
      <c r="Q1297">
        <v>0</v>
      </c>
      <c r="R1297">
        <v>0</v>
      </c>
      <c r="S1297">
        <v>0</v>
      </c>
      <c r="T1297">
        <v>3.7200000000000002E-3</v>
      </c>
      <c r="U1297">
        <v>9.8530000000000006E-2</v>
      </c>
      <c r="V1297">
        <v>19.47944</v>
      </c>
      <c r="W1297" t="s">
        <v>9</v>
      </c>
      <c r="X1297">
        <v>175.25800000000001</v>
      </c>
      <c r="Y1297">
        <v>36.106999999999999</v>
      </c>
      <c r="Z1297">
        <v>9.641</v>
      </c>
      <c r="AA1297">
        <v>117.117</v>
      </c>
      <c r="AB1297">
        <v>0.93400000000000005</v>
      </c>
      <c r="AC1297">
        <v>0</v>
      </c>
      <c r="AD1297">
        <v>0</v>
      </c>
      <c r="AE1297">
        <v>0</v>
      </c>
      <c r="AF1297">
        <v>0.04</v>
      </c>
      <c r="AG1297">
        <v>2.0390000000000001</v>
      </c>
      <c r="AH1297">
        <v>341.13600000000002</v>
      </c>
      <c r="AI1297" t="s">
        <v>21</v>
      </c>
      <c r="AJ1297">
        <v>693.33500000000004</v>
      </c>
      <c r="AK1297">
        <v>520</v>
      </c>
      <c r="AL1297">
        <v>726.66300000000001</v>
      </c>
      <c r="AM1297">
        <v>13.333</v>
      </c>
      <c r="AN1297">
        <v>76.665999999999997</v>
      </c>
      <c r="AO1297">
        <v>0</v>
      </c>
      <c r="AP1297">
        <v>0</v>
      </c>
      <c r="AQ1297">
        <v>0</v>
      </c>
      <c r="AR1297">
        <v>3.3330000000000002</v>
      </c>
      <c r="AS1297">
        <v>50</v>
      </c>
      <c r="AT1297">
        <v>2083.33</v>
      </c>
      <c r="AU1297" t="s">
        <v>35</v>
      </c>
    </row>
    <row r="1298" spans="1:47" x14ac:dyDescent="0.2">
      <c r="A1298">
        <v>1888</v>
      </c>
      <c r="B1298" t="s">
        <v>664</v>
      </c>
      <c r="C1298">
        <v>44</v>
      </c>
      <c r="D1298" t="s">
        <v>90</v>
      </c>
      <c r="G1298" t="str">
        <f t="shared" si="20"/>
        <v>W201244KF011</v>
      </c>
      <c r="H1298">
        <v>70.896033329999995</v>
      </c>
      <c r="I1298">
        <v>-166.0145</v>
      </c>
      <c r="J1298" s="3">
        <v>20120905</v>
      </c>
      <c r="K1298">
        <v>2012</v>
      </c>
      <c r="L1298">
        <v>4.5787100000000001</v>
      </c>
      <c r="M1298">
        <v>0.42394999999999999</v>
      </c>
      <c r="N1298">
        <v>0.23719000000000001</v>
      </c>
      <c r="O1298">
        <v>4.1671399999999998</v>
      </c>
      <c r="P1298">
        <v>4.2000000000000002E-4</v>
      </c>
      <c r="Q1298">
        <v>0</v>
      </c>
      <c r="R1298">
        <v>0</v>
      </c>
      <c r="S1298">
        <v>0</v>
      </c>
      <c r="T1298">
        <v>2.8549999999999999E-2</v>
      </c>
      <c r="U1298">
        <v>6.4740000000000006E-2</v>
      </c>
      <c r="V1298">
        <v>9.5007000000000001</v>
      </c>
      <c r="W1298" t="s">
        <v>9</v>
      </c>
      <c r="X1298">
        <v>66.363</v>
      </c>
      <c r="Y1298">
        <v>18.010000000000002</v>
      </c>
      <c r="Z1298">
        <v>3.2949999999999999</v>
      </c>
      <c r="AA1298">
        <v>92.602999999999994</v>
      </c>
      <c r="AB1298">
        <v>0.03</v>
      </c>
      <c r="AC1298">
        <v>0</v>
      </c>
      <c r="AD1298">
        <v>0</v>
      </c>
      <c r="AE1298">
        <v>0</v>
      </c>
      <c r="AF1298">
        <v>0.307</v>
      </c>
      <c r="AG1298">
        <v>1.5740000000000001</v>
      </c>
      <c r="AH1298">
        <v>182.18199999999999</v>
      </c>
      <c r="AI1298" t="s">
        <v>24</v>
      </c>
      <c r="AJ1298">
        <v>433.33100000000002</v>
      </c>
      <c r="AK1298">
        <v>663.33199999999999</v>
      </c>
      <c r="AL1298">
        <v>323.33300000000003</v>
      </c>
      <c r="AM1298">
        <v>23.332999999999998</v>
      </c>
      <c r="AN1298">
        <v>10</v>
      </c>
      <c r="AO1298">
        <v>0</v>
      </c>
      <c r="AP1298">
        <v>0</v>
      </c>
      <c r="AQ1298">
        <v>0</v>
      </c>
      <c r="AR1298">
        <v>3.3330000000000002</v>
      </c>
      <c r="AS1298">
        <v>56.664999999999999</v>
      </c>
      <c r="AT1298">
        <v>1513.327</v>
      </c>
      <c r="AU1298" t="s">
        <v>34</v>
      </c>
    </row>
    <row r="1299" spans="1:47" x14ac:dyDescent="0.2">
      <c r="A1299">
        <v>1889</v>
      </c>
      <c r="B1299" t="s">
        <v>664</v>
      </c>
      <c r="C1299">
        <v>45</v>
      </c>
      <c r="D1299" t="s">
        <v>91</v>
      </c>
      <c r="G1299" t="str">
        <f t="shared" si="20"/>
        <v>W201245KF013</v>
      </c>
      <c r="H1299">
        <v>70.898650000000004</v>
      </c>
      <c r="I1299">
        <v>-165.25773330000001</v>
      </c>
      <c r="J1299" s="3">
        <v>20120904</v>
      </c>
      <c r="K1299">
        <v>2012</v>
      </c>
      <c r="L1299">
        <v>5.9102800000000002</v>
      </c>
      <c r="M1299">
        <v>1.06365</v>
      </c>
      <c r="N1299">
        <v>0.53429000000000004</v>
      </c>
      <c r="O1299">
        <v>0</v>
      </c>
      <c r="P1299">
        <v>1.92E-3</v>
      </c>
      <c r="Q1299">
        <v>3.3E-4</v>
      </c>
      <c r="R1299">
        <v>0.53741000000000005</v>
      </c>
      <c r="S1299">
        <v>0</v>
      </c>
      <c r="T1299">
        <v>1.8880000000000001E-2</v>
      </c>
      <c r="U1299">
        <v>1.9730000000000001E-2</v>
      </c>
      <c r="V1299">
        <v>8.0864899999999995</v>
      </c>
      <c r="W1299" t="s">
        <v>9</v>
      </c>
      <c r="X1299">
        <v>85.180999999999997</v>
      </c>
      <c r="Y1299">
        <v>32.677999999999997</v>
      </c>
      <c r="Z1299">
        <v>7.7480000000000002</v>
      </c>
      <c r="AA1299">
        <v>0</v>
      </c>
      <c r="AB1299">
        <v>0.13700000000000001</v>
      </c>
      <c r="AC1299">
        <v>0.03</v>
      </c>
      <c r="AD1299">
        <v>8.81</v>
      </c>
      <c r="AE1299">
        <v>0</v>
      </c>
      <c r="AF1299">
        <v>0.20300000000000001</v>
      </c>
      <c r="AG1299">
        <v>0.45900000000000002</v>
      </c>
      <c r="AH1299">
        <v>135.24600000000001</v>
      </c>
      <c r="AI1299" t="s">
        <v>21</v>
      </c>
      <c r="AJ1299">
        <v>409.99900000000002</v>
      </c>
      <c r="AK1299">
        <v>600</v>
      </c>
      <c r="AL1299">
        <v>746.66499999999996</v>
      </c>
      <c r="AM1299">
        <v>0</v>
      </c>
      <c r="AN1299">
        <v>36.667000000000002</v>
      </c>
      <c r="AO1299">
        <v>13.333</v>
      </c>
      <c r="AP1299">
        <v>3.3330000000000002</v>
      </c>
      <c r="AQ1299">
        <v>0</v>
      </c>
      <c r="AR1299">
        <v>3.3330000000000002</v>
      </c>
      <c r="AS1299">
        <v>100</v>
      </c>
      <c r="AT1299">
        <v>1913.33</v>
      </c>
      <c r="AU1299" t="s">
        <v>35</v>
      </c>
    </row>
    <row r="1300" spans="1:47" x14ac:dyDescent="0.2">
      <c r="A1300">
        <v>1890</v>
      </c>
      <c r="B1300" t="s">
        <v>664</v>
      </c>
      <c r="C1300">
        <v>46</v>
      </c>
      <c r="D1300" t="s">
        <v>92</v>
      </c>
      <c r="G1300" t="str">
        <f t="shared" si="20"/>
        <v>W201246KF015</v>
      </c>
      <c r="H1300">
        <v>70.897316669999995</v>
      </c>
      <c r="I1300">
        <v>-164.49795</v>
      </c>
      <c r="J1300" s="3">
        <v>20120930</v>
      </c>
      <c r="K1300">
        <v>2012</v>
      </c>
      <c r="L1300">
        <v>5.0601599999999998</v>
      </c>
      <c r="M1300">
        <v>3.8230900000000001</v>
      </c>
      <c r="N1300">
        <v>0.93093000000000004</v>
      </c>
      <c r="O1300">
        <v>8.6899999999999998E-3</v>
      </c>
      <c r="P1300">
        <v>6.9199999999999999E-3</v>
      </c>
      <c r="Q1300">
        <v>2.9999999999999997E-4</v>
      </c>
      <c r="R1300">
        <v>0</v>
      </c>
      <c r="S1300">
        <v>0.28042</v>
      </c>
      <c r="T1300">
        <v>3.3480000000000003E-2</v>
      </c>
      <c r="U1300">
        <v>5.1659999999999998E-2</v>
      </c>
      <c r="V1300">
        <v>10.195650000000001</v>
      </c>
      <c r="W1300" t="s">
        <v>9</v>
      </c>
      <c r="X1300">
        <v>70.995000000000005</v>
      </c>
      <c r="Y1300">
        <v>237.57599999999999</v>
      </c>
      <c r="Z1300">
        <v>13.456</v>
      </c>
      <c r="AA1300">
        <v>0.193</v>
      </c>
      <c r="AB1300">
        <v>0.49399999999999999</v>
      </c>
      <c r="AC1300">
        <v>2.7E-2</v>
      </c>
      <c r="AD1300">
        <v>0</v>
      </c>
      <c r="AE1300">
        <v>20.03</v>
      </c>
      <c r="AF1300">
        <v>0.36</v>
      </c>
      <c r="AG1300">
        <v>1.48</v>
      </c>
      <c r="AH1300">
        <v>344.61099999999999</v>
      </c>
      <c r="AI1300" t="s">
        <v>22</v>
      </c>
      <c r="AJ1300">
        <v>1359.998</v>
      </c>
      <c r="AK1300">
        <v>870</v>
      </c>
      <c r="AL1300">
        <v>2029.999</v>
      </c>
      <c r="AM1300">
        <v>23.332999999999998</v>
      </c>
      <c r="AN1300">
        <v>69.998999999999995</v>
      </c>
      <c r="AO1300">
        <v>10</v>
      </c>
      <c r="AP1300">
        <v>0</v>
      </c>
      <c r="AQ1300">
        <v>10</v>
      </c>
      <c r="AR1300">
        <v>23.332999999999998</v>
      </c>
      <c r="AS1300">
        <v>103.33199999999999</v>
      </c>
      <c r="AT1300">
        <v>4499.9939999999997</v>
      </c>
      <c r="AU1300" t="s">
        <v>35</v>
      </c>
    </row>
    <row r="1301" spans="1:47" x14ac:dyDescent="0.2">
      <c r="A1301">
        <v>1891</v>
      </c>
      <c r="B1301" t="s">
        <v>664</v>
      </c>
      <c r="C1301">
        <v>47</v>
      </c>
      <c r="D1301" t="s">
        <v>93</v>
      </c>
      <c r="G1301" t="str">
        <f t="shared" si="20"/>
        <v>W201247KF017</v>
      </c>
      <c r="H1301">
        <v>71.022366669999997</v>
      </c>
      <c r="I1301">
        <v>-165.63643329999999</v>
      </c>
      <c r="J1301" s="3">
        <v>20121002</v>
      </c>
      <c r="K1301">
        <v>2012</v>
      </c>
      <c r="L1301">
        <v>1.65882</v>
      </c>
      <c r="M1301">
        <v>0.32887</v>
      </c>
      <c r="N1301">
        <v>0.20834</v>
      </c>
      <c r="O1301">
        <v>0</v>
      </c>
      <c r="P1301">
        <v>4.0000000000000003E-5</v>
      </c>
      <c r="Q1301">
        <v>0</v>
      </c>
      <c r="R1301">
        <v>0</v>
      </c>
      <c r="S1301">
        <v>0</v>
      </c>
      <c r="T1301">
        <v>5.8599999999999998E-3</v>
      </c>
      <c r="U1301">
        <v>1.7350000000000001E-2</v>
      </c>
      <c r="V1301">
        <v>2.2192799999999999</v>
      </c>
      <c r="W1301" t="s">
        <v>9</v>
      </c>
      <c r="X1301">
        <v>24.210999999999999</v>
      </c>
      <c r="Y1301">
        <v>13.702999999999999</v>
      </c>
      <c r="Z1301">
        <v>2.806</v>
      </c>
      <c r="AA1301">
        <v>0</v>
      </c>
      <c r="AB1301">
        <v>3.0000000000000001E-3</v>
      </c>
      <c r="AC1301">
        <v>0</v>
      </c>
      <c r="AD1301">
        <v>0</v>
      </c>
      <c r="AE1301">
        <v>0</v>
      </c>
      <c r="AF1301">
        <v>6.3E-2</v>
      </c>
      <c r="AG1301">
        <v>0.41599999999999998</v>
      </c>
      <c r="AH1301">
        <v>41.201999999999998</v>
      </c>
      <c r="AI1301" t="s">
        <v>21</v>
      </c>
      <c r="AJ1301">
        <v>260</v>
      </c>
      <c r="AK1301">
        <v>1106.6679999999999</v>
      </c>
      <c r="AL1301">
        <v>233.333</v>
      </c>
      <c r="AM1301">
        <v>0</v>
      </c>
      <c r="AN1301">
        <v>3.3330000000000002</v>
      </c>
      <c r="AO1301">
        <v>0</v>
      </c>
      <c r="AP1301">
        <v>0</v>
      </c>
      <c r="AQ1301">
        <v>0</v>
      </c>
      <c r="AR1301">
        <v>3.3330000000000002</v>
      </c>
      <c r="AS1301">
        <v>83.332999999999998</v>
      </c>
      <c r="AT1301">
        <v>1690</v>
      </c>
      <c r="AU1301" t="s">
        <v>34</v>
      </c>
    </row>
    <row r="1302" spans="1:47" x14ac:dyDescent="0.2">
      <c r="A1302">
        <v>1892</v>
      </c>
      <c r="B1302" t="s">
        <v>664</v>
      </c>
      <c r="C1302">
        <v>48</v>
      </c>
      <c r="D1302" t="s">
        <v>94</v>
      </c>
      <c r="G1302" t="str">
        <f t="shared" si="20"/>
        <v>W201248KF019</v>
      </c>
      <c r="H1302">
        <v>71.02333333</v>
      </c>
      <c r="I1302">
        <v>-164.8747333</v>
      </c>
      <c r="J1302" s="3">
        <v>20120906</v>
      </c>
      <c r="K1302">
        <v>2012</v>
      </c>
      <c r="L1302">
        <v>6.1255899999999999</v>
      </c>
      <c r="M1302">
        <v>0.17995</v>
      </c>
      <c r="N1302">
        <v>0.28516999999999998</v>
      </c>
      <c r="O1302">
        <v>1.3820000000000001E-2</v>
      </c>
      <c r="P1302">
        <v>3.2200000000000002E-3</v>
      </c>
      <c r="Q1302">
        <v>0</v>
      </c>
      <c r="R1302">
        <v>0.28577000000000002</v>
      </c>
      <c r="S1302">
        <v>0.18672</v>
      </c>
      <c r="T1302">
        <v>7.7840000000000006E-2</v>
      </c>
      <c r="U1302">
        <v>0.79323999999999995</v>
      </c>
      <c r="V1302">
        <v>7.9513199999999999</v>
      </c>
      <c r="W1302" t="s">
        <v>9</v>
      </c>
      <c r="X1302">
        <v>85.028000000000006</v>
      </c>
      <c r="Y1302">
        <v>7.2859999999999996</v>
      </c>
      <c r="Z1302">
        <v>3.9790000000000001</v>
      </c>
      <c r="AA1302">
        <v>0.307</v>
      </c>
      <c r="AB1302">
        <v>0.23</v>
      </c>
      <c r="AC1302">
        <v>0</v>
      </c>
      <c r="AD1302">
        <v>6.95</v>
      </c>
      <c r="AE1302">
        <v>13.337</v>
      </c>
      <c r="AF1302">
        <v>0.83699999999999997</v>
      </c>
      <c r="AG1302">
        <v>31.207999999999998</v>
      </c>
      <c r="AH1302">
        <v>149.16200000000001</v>
      </c>
      <c r="AI1302" t="s">
        <v>21</v>
      </c>
      <c r="AJ1302">
        <v>3450.0010000000002</v>
      </c>
      <c r="AK1302">
        <v>319.99799999999999</v>
      </c>
      <c r="AL1302">
        <v>820.00099999999998</v>
      </c>
      <c r="AM1302">
        <v>33.332999999999998</v>
      </c>
      <c r="AN1302">
        <v>76.667000000000002</v>
      </c>
      <c r="AO1302">
        <v>0</v>
      </c>
      <c r="AP1302">
        <v>23.334</v>
      </c>
      <c r="AQ1302">
        <v>13.333</v>
      </c>
      <c r="AR1302">
        <v>13.333</v>
      </c>
      <c r="AS1302">
        <v>309.99900000000002</v>
      </c>
      <c r="AT1302">
        <v>5059.9989999999998</v>
      </c>
      <c r="AU1302" t="s">
        <v>33</v>
      </c>
    </row>
    <row r="1303" spans="1:47" x14ac:dyDescent="0.2">
      <c r="A1303">
        <v>1893</v>
      </c>
      <c r="B1303" t="s">
        <v>664</v>
      </c>
      <c r="C1303">
        <v>49</v>
      </c>
      <c r="D1303" t="s">
        <v>96</v>
      </c>
      <c r="G1303" t="str">
        <f t="shared" si="20"/>
        <v>W201249KF023</v>
      </c>
      <c r="H1303">
        <v>71.146466669999995</v>
      </c>
      <c r="I1303">
        <v>-165.25693329999999</v>
      </c>
      <c r="J1303" s="3">
        <v>20120906</v>
      </c>
      <c r="K1303">
        <v>2012</v>
      </c>
      <c r="L1303">
        <v>3.3027700000000002</v>
      </c>
      <c r="M1303">
        <v>1.0979099999999999</v>
      </c>
      <c r="N1303">
        <v>5.1569999999999998E-2</v>
      </c>
      <c r="O1303">
        <v>6.2450999999999999</v>
      </c>
      <c r="P1303">
        <v>1.17E-2</v>
      </c>
      <c r="Q1303">
        <v>0</v>
      </c>
      <c r="R1303">
        <v>0</v>
      </c>
      <c r="S1303">
        <v>0</v>
      </c>
      <c r="T1303">
        <v>9.3000000000000005E-4</v>
      </c>
      <c r="U1303">
        <v>6.3299999999999997E-3</v>
      </c>
      <c r="V1303">
        <v>10.71631</v>
      </c>
      <c r="W1303" t="s">
        <v>12</v>
      </c>
      <c r="X1303">
        <v>50.965000000000003</v>
      </c>
      <c r="Y1303">
        <v>28.03</v>
      </c>
      <c r="Z1303">
        <v>0.69299999999999995</v>
      </c>
      <c r="AA1303">
        <v>138.78</v>
      </c>
      <c r="AB1303">
        <v>0.83599999999999997</v>
      </c>
      <c r="AC1303">
        <v>0</v>
      </c>
      <c r="AD1303">
        <v>0</v>
      </c>
      <c r="AE1303">
        <v>0</v>
      </c>
      <c r="AF1303">
        <v>0.01</v>
      </c>
      <c r="AG1303">
        <v>0.13600000000000001</v>
      </c>
      <c r="AH1303">
        <v>219.45</v>
      </c>
      <c r="AI1303" t="s">
        <v>24</v>
      </c>
      <c r="AJ1303">
        <v>376.66500000000002</v>
      </c>
      <c r="AK1303">
        <v>1029.999</v>
      </c>
      <c r="AL1303">
        <v>43.332999999999998</v>
      </c>
      <c r="AM1303">
        <v>6.6669999999999998</v>
      </c>
      <c r="AN1303">
        <v>20</v>
      </c>
      <c r="AO1303">
        <v>0</v>
      </c>
      <c r="AP1303">
        <v>0</v>
      </c>
      <c r="AQ1303">
        <v>0</v>
      </c>
      <c r="AR1303">
        <v>0</v>
      </c>
      <c r="AS1303">
        <v>19.998999999999999</v>
      </c>
      <c r="AT1303">
        <v>1496.663</v>
      </c>
      <c r="AU1303" t="s">
        <v>34</v>
      </c>
    </row>
    <row r="1304" spans="1:47" x14ac:dyDescent="0.2">
      <c r="A1304">
        <v>1894</v>
      </c>
      <c r="B1304" t="s">
        <v>664</v>
      </c>
      <c r="C1304">
        <v>50</v>
      </c>
      <c r="D1304" t="s">
        <v>97</v>
      </c>
      <c r="G1304" t="str">
        <f t="shared" si="20"/>
        <v>W201250KF025</v>
      </c>
      <c r="H1304">
        <v>71.145966670000007</v>
      </c>
      <c r="I1304">
        <v>-164.49091670000001</v>
      </c>
      <c r="J1304" s="3">
        <v>20120902</v>
      </c>
      <c r="K1304">
        <v>2012</v>
      </c>
      <c r="L1304">
        <v>11.438739999999999</v>
      </c>
      <c r="M1304">
        <v>1.4563600000000001</v>
      </c>
      <c r="N1304">
        <v>0.27539000000000002</v>
      </c>
      <c r="O1304">
        <v>2.7736700000000001</v>
      </c>
      <c r="P1304">
        <v>0.88500000000000001</v>
      </c>
      <c r="Q1304">
        <v>0</v>
      </c>
      <c r="R1304">
        <v>0</v>
      </c>
      <c r="S1304">
        <v>0</v>
      </c>
      <c r="T1304">
        <v>5.7009999999999998E-2</v>
      </c>
      <c r="U1304">
        <v>0.22220000000000001</v>
      </c>
      <c r="V1304">
        <v>17.108370000000001</v>
      </c>
      <c r="W1304" t="s">
        <v>9</v>
      </c>
      <c r="X1304">
        <v>164.99799999999999</v>
      </c>
      <c r="Y1304">
        <v>62.509</v>
      </c>
      <c r="Z1304">
        <v>3.8380000000000001</v>
      </c>
      <c r="AA1304">
        <v>61.637</v>
      </c>
      <c r="AB1304">
        <v>63.213999999999999</v>
      </c>
      <c r="AC1304">
        <v>0</v>
      </c>
      <c r="AD1304">
        <v>0</v>
      </c>
      <c r="AE1304">
        <v>0</v>
      </c>
      <c r="AF1304">
        <v>0.61299999999999999</v>
      </c>
      <c r="AG1304">
        <v>5.86</v>
      </c>
      <c r="AH1304">
        <v>362.66899999999998</v>
      </c>
      <c r="AI1304" t="s">
        <v>21</v>
      </c>
      <c r="AJ1304">
        <v>893.33299999999997</v>
      </c>
      <c r="AK1304">
        <v>870</v>
      </c>
      <c r="AL1304">
        <v>426.66399999999999</v>
      </c>
      <c r="AM1304">
        <v>3.3330000000000002</v>
      </c>
      <c r="AN1304">
        <v>170</v>
      </c>
      <c r="AO1304">
        <v>0</v>
      </c>
      <c r="AP1304">
        <v>0</v>
      </c>
      <c r="AQ1304">
        <v>0</v>
      </c>
      <c r="AR1304">
        <v>30</v>
      </c>
      <c r="AS1304">
        <v>86.667000000000002</v>
      </c>
      <c r="AT1304">
        <v>2479.9969999999998</v>
      </c>
      <c r="AU1304" t="s">
        <v>33</v>
      </c>
    </row>
    <row r="1305" spans="1:47" x14ac:dyDescent="0.2">
      <c r="A1305">
        <v>1895</v>
      </c>
      <c r="B1305" t="s">
        <v>664</v>
      </c>
      <c r="C1305">
        <v>51</v>
      </c>
      <c r="D1305" t="s">
        <v>586</v>
      </c>
      <c r="G1305" t="str">
        <f t="shared" si="20"/>
        <v>W201251SF003</v>
      </c>
      <c r="H1305">
        <v>71.493683329999996</v>
      </c>
      <c r="I1305">
        <v>-164.1671</v>
      </c>
      <c r="J1305" s="3">
        <v>20120911</v>
      </c>
      <c r="K1305">
        <v>2012</v>
      </c>
      <c r="L1305">
        <v>5.2617799999999999</v>
      </c>
      <c r="M1305">
        <v>4.0305900000000001</v>
      </c>
      <c r="N1305">
        <v>0.53690000000000004</v>
      </c>
      <c r="O1305">
        <v>3.0133399999999999</v>
      </c>
      <c r="P1305">
        <v>0.47333999999999998</v>
      </c>
      <c r="Q1305">
        <v>0</v>
      </c>
      <c r="R1305">
        <v>0</v>
      </c>
      <c r="S1305">
        <v>1.4400000000000001E-3</v>
      </c>
      <c r="T1305">
        <v>0.29081000000000001</v>
      </c>
      <c r="U1305">
        <v>7.1529999999999996E-2</v>
      </c>
      <c r="V1305">
        <v>13.679729999999999</v>
      </c>
      <c r="W1305" t="s">
        <v>9</v>
      </c>
      <c r="X1305">
        <v>78.447000000000003</v>
      </c>
      <c r="Y1305">
        <v>117.191</v>
      </c>
      <c r="Z1305">
        <v>7.6680000000000001</v>
      </c>
      <c r="AA1305">
        <v>66.962999999999994</v>
      </c>
      <c r="AB1305">
        <v>33.81</v>
      </c>
      <c r="AC1305">
        <v>0</v>
      </c>
      <c r="AD1305">
        <v>0</v>
      </c>
      <c r="AE1305">
        <v>0.10299999999999999</v>
      </c>
      <c r="AF1305">
        <v>3.1269999999999998</v>
      </c>
      <c r="AG1305">
        <v>2.21</v>
      </c>
      <c r="AH1305">
        <v>309.51900000000001</v>
      </c>
      <c r="AI1305" t="s">
        <v>22</v>
      </c>
      <c r="AJ1305">
        <v>899.99900000000002</v>
      </c>
      <c r="AK1305">
        <v>829.99900000000002</v>
      </c>
      <c r="AL1305">
        <v>563.33299999999997</v>
      </c>
      <c r="AM1305">
        <v>20</v>
      </c>
      <c r="AN1305">
        <v>66.665999999999997</v>
      </c>
      <c r="AO1305">
        <v>0</v>
      </c>
      <c r="AP1305">
        <v>0</v>
      </c>
      <c r="AQ1305">
        <v>3.3330000000000002</v>
      </c>
      <c r="AR1305">
        <v>16.667000000000002</v>
      </c>
      <c r="AS1305">
        <v>66.665999999999997</v>
      </c>
      <c r="AT1305">
        <v>2466.663</v>
      </c>
      <c r="AU1305" t="s">
        <v>33</v>
      </c>
    </row>
    <row r="1306" spans="1:47" x14ac:dyDescent="0.2">
      <c r="A1306">
        <v>1896</v>
      </c>
      <c r="B1306" t="s">
        <v>664</v>
      </c>
      <c r="C1306">
        <v>52</v>
      </c>
      <c r="D1306" t="s">
        <v>587</v>
      </c>
      <c r="G1306" t="str">
        <f t="shared" si="20"/>
        <v>W201252SF005</v>
      </c>
      <c r="H1306">
        <v>71.62115</v>
      </c>
      <c r="I1306">
        <v>-164.5622333</v>
      </c>
      <c r="J1306" s="3">
        <v>20120911</v>
      </c>
      <c r="K1306">
        <v>2012</v>
      </c>
      <c r="L1306">
        <v>9.5299600000000009</v>
      </c>
      <c r="M1306">
        <v>5.9528999999999996</v>
      </c>
      <c r="N1306">
        <v>0.16499</v>
      </c>
      <c r="O1306">
        <v>1.96844</v>
      </c>
      <c r="P1306">
        <v>0.56374000000000002</v>
      </c>
      <c r="Q1306">
        <v>0</v>
      </c>
      <c r="R1306">
        <v>0.17544000000000001</v>
      </c>
      <c r="S1306">
        <v>0</v>
      </c>
      <c r="T1306">
        <v>0.13922000000000001</v>
      </c>
      <c r="U1306">
        <v>0.92801999999999996</v>
      </c>
      <c r="V1306">
        <v>19.422709999999999</v>
      </c>
      <c r="W1306" t="s">
        <v>9</v>
      </c>
      <c r="X1306">
        <v>134.61799999999999</v>
      </c>
      <c r="Y1306">
        <v>303.91000000000003</v>
      </c>
      <c r="Z1306">
        <v>2.1110000000000002</v>
      </c>
      <c r="AA1306">
        <v>43.743000000000002</v>
      </c>
      <c r="AB1306">
        <v>40.267000000000003</v>
      </c>
      <c r="AC1306">
        <v>0</v>
      </c>
      <c r="AD1306">
        <v>2.97</v>
      </c>
      <c r="AE1306">
        <v>0</v>
      </c>
      <c r="AF1306">
        <v>1.4970000000000001</v>
      </c>
      <c r="AG1306">
        <v>32.887999999999998</v>
      </c>
      <c r="AH1306">
        <v>562.00400000000002</v>
      </c>
      <c r="AI1306" t="s">
        <v>22</v>
      </c>
      <c r="AJ1306">
        <v>976.66700000000003</v>
      </c>
      <c r="AK1306">
        <v>1266.6669999999999</v>
      </c>
      <c r="AL1306">
        <v>809.99900000000002</v>
      </c>
      <c r="AM1306">
        <v>23.332999999999998</v>
      </c>
      <c r="AN1306">
        <v>100</v>
      </c>
      <c r="AO1306">
        <v>0</v>
      </c>
      <c r="AP1306">
        <v>6.6660000000000004</v>
      </c>
      <c r="AQ1306">
        <v>0</v>
      </c>
      <c r="AR1306">
        <v>13.333</v>
      </c>
      <c r="AS1306">
        <v>89.998000000000005</v>
      </c>
      <c r="AT1306">
        <v>3286.663</v>
      </c>
      <c r="AU1306" t="s">
        <v>34</v>
      </c>
    </row>
    <row r="1307" spans="1:47" x14ac:dyDescent="0.2">
      <c r="A1307">
        <v>1897</v>
      </c>
      <c r="B1307" t="s">
        <v>664</v>
      </c>
      <c r="C1307">
        <v>53</v>
      </c>
      <c r="D1307" t="s">
        <v>588</v>
      </c>
      <c r="G1307" t="str">
        <f t="shared" si="20"/>
        <v>W201253SF007</v>
      </c>
      <c r="H1307">
        <v>71.746883330000003</v>
      </c>
      <c r="I1307">
        <v>-164.95501669999999</v>
      </c>
      <c r="J1307" s="3">
        <v>20120911</v>
      </c>
      <c r="K1307">
        <v>2012</v>
      </c>
      <c r="L1307">
        <v>6.1774100000000001</v>
      </c>
      <c r="M1307">
        <v>2.6731799999999999</v>
      </c>
      <c r="N1307">
        <v>0.48643999999999998</v>
      </c>
      <c r="O1307">
        <v>3.8083499999999999</v>
      </c>
      <c r="P1307">
        <v>0</v>
      </c>
      <c r="Q1307">
        <v>0</v>
      </c>
      <c r="R1307">
        <v>0</v>
      </c>
      <c r="S1307">
        <v>0</v>
      </c>
      <c r="T1307">
        <v>0.12583</v>
      </c>
      <c r="U1307">
        <v>6.9430000000000006E-2</v>
      </c>
      <c r="V1307">
        <v>13.34064</v>
      </c>
      <c r="W1307" t="s">
        <v>9</v>
      </c>
      <c r="X1307">
        <v>88.313999999999993</v>
      </c>
      <c r="Y1307">
        <v>104.866</v>
      </c>
      <c r="Z1307">
        <v>6.5259999999999998</v>
      </c>
      <c r="AA1307">
        <v>84.63</v>
      </c>
      <c r="AB1307">
        <v>0</v>
      </c>
      <c r="AC1307">
        <v>0</v>
      </c>
      <c r="AD1307">
        <v>0</v>
      </c>
      <c r="AE1307">
        <v>0</v>
      </c>
      <c r="AF1307">
        <v>1.353</v>
      </c>
      <c r="AG1307">
        <v>1.135</v>
      </c>
      <c r="AH1307">
        <v>286.82400000000001</v>
      </c>
      <c r="AI1307" t="s">
        <v>22</v>
      </c>
      <c r="AJ1307">
        <v>423.33300000000003</v>
      </c>
      <c r="AK1307">
        <v>689.99900000000002</v>
      </c>
      <c r="AL1307">
        <v>116.666</v>
      </c>
      <c r="AM1307">
        <v>6.6669999999999998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23.334</v>
      </c>
      <c r="AT1307">
        <v>1259.999</v>
      </c>
      <c r="AU1307" t="s">
        <v>34</v>
      </c>
    </row>
    <row r="1308" spans="1:47" x14ac:dyDescent="0.2">
      <c r="A1308">
        <v>1898</v>
      </c>
      <c r="B1308" t="s">
        <v>664</v>
      </c>
      <c r="C1308">
        <v>54</v>
      </c>
      <c r="D1308" t="s">
        <v>589</v>
      </c>
      <c r="G1308" t="str">
        <f t="shared" si="20"/>
        <v>W201254SF009</v>
      </c>
      <c r="H1308">
        <v>71.744299999999996</v>
      </c>
      <c r="I1308">
        <v>-164.16588329999999</v>
      </c>
      <c r="J1308" s="3">
        <v>20120912</v>
      </c>
      <c r="K1308">
        <v>2012</v>
      </c>
      <c r="L1308">
        <v>7.2251099999999999</v>
      </c>
      <c r="M1308">
        <v>5.4697399999999998</v>
      </c>
      <c r="N1308">
        <v>0.39949000000000001</v>
      </c>
      <c r="O1308">
        <v>2.5470000000000002</v>
      </c>
      <c r="P1308">
        <v>8.4799999999999997E-3</v>
      </c>
      <c r="Q1308">
        <v>0</v>
      </c>
      <c r="R1308">
        <v>0.11040999999999999</v>
      </c>
      <c r="S1308">
        <v>0</v>
      </c>
      <c r="T1308">
        <v>0.15345</v>
      </c>
      <c r="U1308">
        <v>1.204E-2</v>
      </c>
      <c r="V1308">
        <v>15.92572</v>
      </c>
      <c r="W1308" t="s">
        <v>9</v>
      </c>
      <c r="X1308">
        <v>99.82</v>
      </c>
      <c r="Y1308">
        <v>273.98700000000002</v>
      </c>
      <c r="Z1308">
        <v>5.742</v>
      </c>
      <c r="AA1308">
        <v>56.6</v>
      </c>
      <c r="AB1308">
        <v>0.60599999999999998</v>
      </c>
      <c r="AC1308">
        <v>0</v>
      </c>
      <c r="AD1308">
        <v>1.81</v>
      </c>
      <c r="AE1308">
        <v>0</v>
      </c>
      <c r="AF1308">
        <v>1.65</v>
      </c>
      <c r="AG1308">
        <v>0.217</v>
      </c>
      <c r="AH1308">
        <v>440.43200000000002</v>
      </c>
      <c r="AI1308" t="s">
        <v>22</v>
      </c>
      <c r="AJ1308">
        <v>679.99900000000002</v>
      </c>
      <c r="AK1308">
        <v>1529.999</v>
      </c>
      <c r="AL1308">
        <v>403.33199999999999</v>
      </c>
      <c r="AM1308">
        <v>20</v>
      </c>
      <c r="AN1308">
        <v>20</v>
      </c>
      <c r="AO1308">
        <v>0</v>
      </c>
      <c r="AP1308">
        <v>3.3330000000000002</v>
      </c>
      <c r="AQ1308">
        <v>0</v>
      </c>
      <c r="AR1308">
        <v>20</v>
      </c>
      <c r="AS1308">
        <v>59.999000000000002</v>
      </c>
      <c r="AT1308">
        <v>2736.6619999999998</v>
      </c>
      <c r="AU1308" t="s">
        <v>34</v>
      </c>
    </row>
    <row r="1309" spans="1:47" x14ac:dyDescent="0.2">
      <c r="A1309">
        <v>1899</v>
      </c>
      <c r="B1309" t="s">
        <v>664</v>
      </c>
      <c r="C1309">
        <v>55</v>
      </c>
      <c r="D1309" t="s">
        <v>590</v>
      </c>
      <c r="G1309" t="str">
        <f t="shared" si="20"/>
        <v>W201255SF011</v>
      </c>
      <c r="H1309">
        <v>71.739549999999994</v>
      </c>
      <c r="I1309">
        <v>-163.3630833</v>
      </c>
      <c r="J1309" s="3">
        <v>20120912</v>
      </c>
      <c r="K1309">
        <v>2012</v>
      </c>
      <c r="L1309">
        <v>4.30877</v>
      </c>
      <c r="M1309">
        <v>10.287509999999999</v>
      </c>
      <c r="N1309">
        <v>0.28731000000000001</v>
      </c>
      <c r="O1309">
        <v>1.4057999999999999</v>
      </c>
      <c r="P1309">
        <v>0.1792</v>
      </c>
      <c r="Q1309">
        <v>0</v>
      </c>
      <c r="R1309">
        <v>9.9000000000000005E-2</v>
      </c>
      <c r="S1309">
        <v>2.2579999999999999E-2</v>
      </c>
      <c r="T1309">
        <v>1.4880000000000001E-2</v>
      </c>
      <c r="U1309">
        <v>6.7379999999999995E-2</v>
      </c>
      <c r="V1309">
        <v>16.672429999999999</v>
      </c>
      <c r="W1309" t="s">
        <v>10</v>
      </c>
      <c r="X1309">
        <v>62.232999999999997</v>
      </c>
      <c r="Y1309">
        <v>309.92899999999997</v>
      </c>
      <c r="Z1309">
        <v>4.1630000000000003</v>
      </c>
      <c r="AA1309">
        <v>31.24</v>
      </c>
      <c r="AB1309">
        <v>12.8</v>
      </c>
      <c r="AC1309">
        <v>0</v>
      </c>
      <c r="AD1309">
        <v>1.623</v>
      </c>
      <c r="AE1309">
        <v>1.613</v>
      </c>
      <c r="AF1309">
        <v>0.16</v>
      </c>
      <c r="AG1309">
        <v>1.4670000000000001</v>
      </c>
      <c r="AH1309">
        <v>425.22800000000001</v>
      </c>
      <c r="AI1309" t="s">
        <v>22</v>
      </c>
      <c r="AJ1309">
        <v>1269.998</v>
      </c>
      <c r="AK1309">
        <v>1856.6659999999999</v>
      </c>
      <c r="AL1309">
        <v>159.999</v>
      </c>
      <c r="AM1309">
        <v>3.3330000000000002</v>
      </c>
      <c r="AN1309">
        <v>36.667000000000002</v>
      </c>
      <c r="AO1309">
        <v>0</v>
      </c>
      <c r="AP1309">
        <v>3.3330000000000002</v>
      </c>
      <c r="AQ1309">
        <v>20</v>
      </c>
      <c r="AR1309">
        <v>6.6669999999999998</v>
      </c>
      <c r="AS1309">
        <v>56.665999999999997</v>
      </c>
      <c r="AT1309">
        <v>3413.3290000000002</v>
      </c>
      <c r="AU1309" t="s">
        <v>34</v>
      </c>
    </row>
    <row r="1310" spans="1:47" x14ac:dyDescent="0.2">
      <c r="A1310">
        <v>1900</v>
      </c>
      <c r="B1310" t="s">
        <v>664</v>
      </c>
      <c r="C1310">
        <v>56</v>
      </c>
      <c r="D1310" t="s">
        <v>615</v>
      </c>
      <c r="G1310" t="str">
        <f t="shared" si="20"/>
        <v>W201256SF014</v>
      </c>
      <c r="H1310">
        <v>71.870450000000005</v>
      </c>
      <c r="I1310">
        <v>-164.55685</v>
      </c>
      <c r="J1310" s="3">
        <v>20120911</v>
      </c>
      <c r="K1310">
        <v>2012</v>
      </c>
      <c r="L1310">
        <v>2.58514</v>
      </c>
      <c r="M1310">
        <v>1.16475</v>
      </c>
      <c r="N1310">
        <v>0.57513999999999998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6.4999999999999997E-4</v>
      </c>
      <c r="U1310">
        <v>8.2400000000000008E-3</v>
      </c>
      <c r="V1310">
        <v>4.33392</v>
      </c>
      <c r="W1310" t="s">
        <v>9</v>
      </c>
      <c r="X1310">
        <v>36.75</v>
      </c>
      <c r="Y1310">
        <v>48.662999999999997</v>
      </c>
      <c r="Z1310">
        <v>7.84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7.0000000000000001E-3</v>
      </c>
      <c r="AG1310">
        <v>0.183</v>
      </c>
      <c r="AH1310">
        <v>93.442999999999998</v>
      </c>
      <c r="AI1310" t="s">
        <v>22</v>
      </c>
      <c r="AJ1310">
        <v>319.99700000000001</v>
      </c>
      <c r="AK1310">
        <v>693.33199999999999</v>
      </c>
      <c r="AL1310">
        <v>286.66800000000001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6.6669999999999998</v>
      </c>
      <c r="AS1310">
        <v>6.6669999999999998</v>
      </c>
      <c r="AT1310">
        <v>1313.3309999999999</v>
      </c>
      <c r="AU1310" t="s">
        <v>34</v>
      </c>
    </row>
    <row r="1311" spans="1:47" x14ac:dyDescent="0.2">
      <c r="A1311">
        <v>1901</v>
      </c>
      <c r="B1311" t="s">
        <v>664</v>
      </c>
      <c r="C1311">
        <v>57</v>
      </c>
      <c r="D1311" t="s">
        <v>592</v>
      </c>
      <c r="G1311" t="str">
        <f t="shared" si="20"/>
        <v>W201257SF016</v>
      </c>
      <c r="H1311">
        <v>71.86645</v>
      </c>
      <c r="I1311">
        <v>-163.75475</v>
      </c>
      <c r="J1311" s="3">
        <v>20120913</v>
      </c>
      <c r="K1311">
        <v>2012</v>
      </c>
      <c r="L1311">
        <v>2.2753199999999998</v>
      </c>
      <c r="M1311">
        <v>15.84071</v>
      </c>
      <c r="N1311">
        <v>0.29518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9.1420000000000001E-2</v>
      </c>
      <c r="U1311">
        <v>9.5700000000000004E-3</v>
      </c>
      <c r="V1311">
        <v>18.5122</v>
      </c>
      <c r="W1311" t="s">
        <v>10</v>
      </c>
      <c r="X1311">
        <v>33.210999999999999</v>
      </c>
      <c r="Y1311">
        <v>441.678</v>
      </c>
      <c r="Z1311">
        <v>4.3230000000000004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0.98299999999999998</v>
      </c>
      <c r="AG1311">
        <v>0.21299999999999999</v>
      </c>
      <c r="AH1311">
        <v>480.40800000000002</v>
      </c>
      <c r="AI1311" t="s">
        <v>22</v>
      </c>
      <c r="AJ1311">
        <v>766.66800000000001</v>
      </c>
      <c r="AK1311">
        <v>2193.3310000000001</v>
      </c>
      <c r="AL1311">
        <v>43.332999999999998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6.6669999999999998</v>
      </c>
      <c r="AS1311">
        <v>16.666</v>
      </c>
      <c r="AT1311">
        <v>3026.665</v>
      </c>
      <c r="AU1311" t="s">
        <v>34</v>
      </c>
    </row>
    <row r="1312" spans="1:47" x14ac:dyDescent="0.2">
      <c r="A1312">
        <v>1902</v>
      </c>
      <c r="B1312" t="s">
        <v>664</v>
      </c>
      <c r="C1312">
        <v>58</v>
      </c>
      <c r="D1312" t="s">
        <v>593</v>
      </c>
      <c r="G1312" t="str">
        <f t="shared" si="20"/>
        <v>W201258SF018</v>
      </c>
      <c r="H1312">
        <v>71.860566669999997</v>
      </c>
      <c r="I1312">
        <v>-162.95928330000001</v>
      </c>
      <c r="J1312" s="3">
        <v>20120913</v>
      </c>
      <c r="K1312">
        <v>2012</v>
      </c>
      <c r="L1312">
        <v>2.36748</v>
      </c>
      <c r="M1312">
        <v>12.68308</v>
      </c>
      <c r="N1312">
        <v>0.16846</v>
      </c>
      <c r="O1312">
        <v>1.1673</v>
      </c>
      <c r="P1312">
        <v>2.7999999999999998E-4</v>
      </c>
      <c r="Q1312">
        <v>0</v>
      </c>
      <c r="R1312">
        <v>0</v>
      </c>
      <c r="S1312">
        <v>3.5999999999999999E-3</v>
      </c>
      <c r="T1312">
        <v>8.9929999999999996E-2</v>
      </c>
      <c r="U1312">
        <v>2.9260000000000001E-2</v>
      </c>
      <c r="V1312">
        <v>16.50939</v>
      </c>
      <c r="W1312" t="s">
        <v>10</v>
      </c>
      <c r="X1312">
        <v>33.331000000000003</v>
      </c>
      <c r="Y1312">
        <v>382.94299999999998</v>
      </c>
      <c r="Z1312">
        <v>2.4729999999999999</v>
      </c>
      <c r="AA1312">
        <v>25.94</v>
      </c>
      <c r="AB1312">
        <v>0.02</v>
      </c>
      <c r="AC1312">
        <v>0</v>
      </c>
      <c r="AD1312">
        <v>0</v>
      </c>
      <c r="AE1312">
        <v>0.25700000000000001</v>
      </c>
      <c r="AF1312">
        <v>0.96699999999999997</v>
      </c>
      <c r="AG1312">
        <v>1.1040000000000001</v>
      </c>
      <c r="AH1312">
        <v>447.03500000000003</v>
      </c>
      <c r="AI1312" t="s">
        <v>22</v>
      </c>
      <c r="AJ1312">
        <v>826.66499999999996</v>
      </c>
      <c r="AK1312">
        <v>896.66600000000005</v>
      </c>
      <c r="AL1312">
        <v>30</v>
      </c>
      <c r="AM1312">
        <v>10</v>
      </c>
      <c r="AN1312">
        <v>10</v>
      </c>
      <c r="AO1312">
        <v>0</v>
      </c>
      <c r="AP1312">
        <v>0</v>
      </c>
      <c r="AQ1312">
        <v>6.6669999999999998</v>
      </c>
      <c r="AR1312">
        <v>16.667000000000002</v>
      </c>
      <c r="AS1312">
        <v>36.665999999999997</v>
      </c>
      <c r="AT1312">
        <v>1833.3309999999999</v>
      </c>
      <c r="AU1312" t="s">
        <v>34</v>
      </c>
    </row>
    <row r="1313" spans="1:47" x14ac:dyDescent="0.2">
      <c r="A1313">
        <v>1903</v>
      </c>
      <c r="B1313" t="s">
        <v>664</v>
      </c>
      <c r="C1313">
        <v>59</v>
      </c>
      <c r="D1313" t="s">
        <v>594</v>
      </c>
      <c r="G1313" t="str">
        <f t="shared" si="20"/>
        <v>W201259SF020</v>
      </c>
      <c r="H1313">
        <v>71.991650000000007</v>
      </c>
      <c r="I1313">
        <v>-164.14830000000001</v>
      </c>
      <c r="J1313" s="3">
        <v>20120912</v>
      </c>
      <c r="K1313">
        <v>2012</v>
      </c>
      <c r="L1313">
        <v>8.9226299999999998</v>
      </c>
      <c r="M1313">
        <v>1.0319100000000001</v>
      </c>
      <c r="N1313">
        <v>1.4065799999999999</v>
      </c>
      <c r="O1313">
        <v>3.8345799999999999</v>
      </c>
      <c r="P1313">
        <v>3.1E-4</v>
      </c>
      <c r="Q1313">
        <v>0</v>
      </c>
      <c r="R1313">
        <v>0</v>
      </c>
      <c r="S1313">
        <v>0</v>
      </c>
      <c r="T1313">
        <v>2.7999999999999998E-4</v>
      </c>
      <c r="U1313">
        <v>0.14829000000000001</v>
      </c>
      <c r="V1313">
        <v>15.344580000000001</v>
      </c>
      <c r="W1313" t="s">
        <v>9</v>
      </c>
      <c r="X1313">
        <v>126.221</v>
      </c>
      <c r="Y1313">
        <v>48.405999999999999</v>
      </c>
      <c r="Z1313">
        <v>20.376999999999999</v>
      </c>
      <c r="AA1313">
        <v>85.212999999999994</v>
      </c>
      <c r="AB1313">
        <v>2.1999999999999999E-2</v>
      </c>
      <c r="AC1313">
        <v>0</v>
      </c>
      <c r="AD1313">
        <v>0</v>
      </c>
      <c r="AE1313">
        <v>0</v>
      </c>
      <c r="AF1313">
        <v>3.0000000000000001E-3</v>
      </c>
      <c r="AG1313">
        <v>2.3959999999999999</v>
      </c>
      <c r="AH1313">
        <v>282.63799999999998</v>
      </c>
      <c r="AI1313" t="s">
        <v>21</v>
      </c>
      <c r="AJ1313">
        <v>603.33299999999997</v>
      </c>
      <c r="AK1313">
        <v>833.33399999999995</v>
      </c>
      <c r="AL1313">
        <v>1236.664</v>
      </c>
      <c r="AM1313">
        <v>23.332999999999998</v>
      </c>
      <c r="AN1313">
        <v>13.333</v>
      </c>
      <c r="AO1313">
        <v>0</v>
      </c>
      <c r="AP1313">
        <v>0</v>
      </c>
      <c r="AQ1313">
        <v>0</v>
      </c>
      <c r="AR1313">
        <v>3.3330000000000002</v>
      </c>
      <c r="AS1313">
        <v>29.998999999999999</v>
      </c>
      <c r="AT1313">
        <v>2743.3290000000002</v>
      </c>
      <c r="AU1313" t="s">
        <v>35</v>
      </c>
    </row>
    <row r="1314" spans="1:47" x14ac:dyDescent="0.2">
      <c r="A1314">
        <v>1904</v>
      </c>
      <c r="B1314" t="s">
        <v>664</v>
      </c>
      <c r="C1314">
        <v>60</v>
      </c>
      <c r="D1314" t="s">
        <v>610</v>
      </c>
      <c r="G1314" t="str">
        <f t="shared" si="20"/>
        <v>W201260TF003</v>
      </c>
      <c r="H1314">
        <v>71.248050000000006</v>
      </c>
      <c r="I1314">
        <v>-164.56883329999999</v>
      </c>
      <c r="J1314" s="3">
        <v>20121002</v>
      </c>
      <c r="K1314">
        <v>2012</v>
      </c>
      <c r="L1314">
        <v>8.1871700000000001</v>
      </c>
      <c r="M1314">
        <v>1.66926</v>
      </c>
      <c r="N1314">
        <v>0.21131</v>
      </c>
      <c r="O1314">
        <v>1.2753099999999999</v>
      </c>
      <c r="P1314">
        <v>0.36834</v>
      </c>
      <c r="Q1314">
        <v>0</v>
      </c>
      <c r="R1314">
        <v>0</v>
      </c>
      <c r="S1314">
        <v>0</v>
      </c>
      <c r="T1314">
        <v>4.0092299999999996</v>
      </c>
      <c r="U1314">
        <v>4.002E-2</v>
      </c>
      <c r="V1314">
        <v>15.76064</v>
      </c>
      <c r="W1314" t="s">
        <v>9</v>
      </c>
      <c r="X1314">
        <v>118.298</v>
      </c>
      <c r="Y1314">
        <v>42.176000000000002</v>
      </c>
      <c r="Z1314">
        <v>2.6890000000000001</v>
      </c>
      <c r="AA1314">
        <v>28.34</v>
      </c>
      <c r="AB1314">
        <v>26.31</v>
      </c>
      <c r="AC1314">
        <v>0</v>
      </c>
      <c r="AD1314">
        <v>0</v>
      </c>
      <c r="AE1314">
        <v>0</v>
      </c>
      <c r="AF1314">
        <v>43.11</v>
      </c>
      <c r="AG1314">
        <v>0.67300000000000004</v>
      </c>
      <c r="AH1314">
        <v>261.596</v>
      </c>
      <c r="AI1314" t="s">
        <v>21</v>
      </c>
      <c r="AJ1314">
        <v>426.66699999999997</v>
      </c>
      <c r="AK1314">
        <v>350</v>
      </c>
      <c r="AL1314">
        <v>326.666</v>
      </c>
      <c r="AM1314">
        <v>10</v>
      </c>
      <c r="AN1314">
        <v>60</v>
      </c>
      <c r="AO1314">
        <v>0</v>
      </c>
      <c r="AP1314">
        <v>0</v>
      </c>
      <c r="AQ1314">
        <v>0</v>
      </c>
      <c r="AR1314">
        <v>13.333</v>
      </c>
      <c r="AS1314">
        <v>46.667000000000002</v>
      </c>
      <c r="AT1314">
        <v>1233.3330000000001</v>
      </c>
      <c r="AU1314" t="s">
        <v>33</v>
      </c>
    </row>
    <row r="1315" spans="1:47" x14ac:dyDescent="0.2">
      <c r="A1315">
        <v>1967</v>
      </c>
      <c r="B1315" t="s">
        <v>754</v>
      </c>
      <c r="C1315">
        <v>1</v>
      </c>
      <c r="D1315">
        <v>1</v>
      </c>
      <c r="G1315" t="str">
        <f t="shared" si="20"/>
        <v>AKMAP_J201211</v>
      </c>
      <c r="H1315">
        <v>68.879000000000005</v>
      </c>
      <c r="I1315">
        <v>-168.61500000000001</v>
      </c>
      <c r="J1315" s="3">
        <v>20120808</v>
      </c>
      <c r="K1315">
        <v>2012</v>
      </c>
      <c r="L1315">
        <v>0.41965999999999998</v>
      </c>
      <c r="M1315">
        <v>0.47597</v>
      </c>
      <c r="N1315">
        <v>0.11813</v>
      </c>
      <c r="O1315">
        <v>0</v>
      </c>
      <c r="P1315">
        <v>4.2000000000000002E-4</v>
      </c>
      <c r="Q1315">
        <v>3.2000000000000003E-4</v>
      </c>
      <c r="R1315">
        <v>0</v>
      </c>
      <c r="S1315">
        <v>0</v>
      </c>
      <c r="T1315">
        <v>0</v>
      </c>
      <c r="U1315">
        <v>8.6800000000000002E-3</v>
      </c>
      <c r="V1315">
        <v>1.02318</v>
      </c>
      <c r="W1315" t="s">
        <v>10</v>
      </c>
      <c r="X1315">
        <v>6.1749999999999998</v>
      </c>
      <c r="Y1315">
        <v>13.17</v>
      </c>
      <c r="Z1315">
        <v>1.48</v>
      </c>
      <c r="AA1315">
        <v>0</v>
      </c>
      <c r="AB1315">
        <v>0.03</v>
      </c>
      <c r="AC1315">
        <v>0.04</v>
      </c>
      <c r="AD1315">
        <v>0</v>
      </c>
      <c r="AE1315">
        <v>0</v>
      </c>
      <c r="AF1315">
        <v>0</v>
      </c>
      <c r="AG1315">
        <v>0.14000000000000001</v>
      </c>
      <c r="AH1315">
        <v>21.035</v>
      </c>
      <c r="AI1315" t="s">
        <v>22</v>
      </c>
      <c r="AJ1315">
        <v>660</v>
      </c>
      <c r="AK1315">
        <v>1200</v>
      </c>
      <c r="AL1315">
        <v>180</v>
      </c>
      <c r="AM1315">
        <v>0</v>
      </c>
      <c r="AN1315">
        <v>10</v>
      </c>
      <c r="AO1315">
        <v>40</v>
      </c>
      <c r="AP1315">
        <v>0</v>
      </c>
      <c r="AQ1315">
        <v>0</v>
      </c>
      <c r="AR1315">
        <v>0</v>
      </c>
      <c r="AS1315">
        <v>100</v>
      </c>
      <c r="AT1315">
        <v>2190</v>
      </c>
      <c r="AU1315" t="s">
        <v>34</v>
      </c>
    </row>
    <row r="1316" spans="1:47" x14ac:dyDescent="0.2">
      <c r="A1316">
        <v>1968</v>
      </c>
      <c r="B1316" t="s">
        <v>754</v>
      </c>
      <c r="C1316">
        <v>2</v>
      </c>
      <c r="D1316">
        <v>2</v>
      </c>
      <c r="G1316" t="str">
        <f t="shared" si="20"/>
        <v>AKMAP_J201222</v>
      </c>
      <c r="H1316">
        <v>67.647000000000006</v>
      </c>
      <c r="I1316">
        <v>-168.28100000000001</v>
      </c>
      <c r="J1316" s="3">
        <v>20120807</v>
      </c>
      <c r="K1316">
        <v>2012</v>
      </c>
      <c r="L1316">
        <v>3.08555</v>
      </c>
      <c r="M1316">
        <v>214.25989000000001</v>
      </c>
      <c r="N1316">
        <v>0.30830000000000002</v>
      </c>
      <c r="O1316">
        <v>0</v>
      </c>
      <c r="P1316">
        <v>4.4799999999999996E-3</v>
      </c>
      <c r="Q1316">
        <v>0</v>
      </c>
      <c r="R1316">
        <v>2.5638299999999998</v>
      </c>
      <c r="S1316">
        <v>0</v>
      </c>
      <c r="T1316">
        <v>6.7890000000000006E-2</v>
      </c>
      <c r="U1316">
        <v>5.4900000000000001E-3</v>
      </c>
      <c r="V1316">
        <v>220.29543000000001</v>
      </c>
      <c r="W1316" t="s">
        <v>10</v>
      </c>
      <c r="X1316">
        <v>46.674999999999997</v>
      </c>
      <c r="Y1316">
        <v>6121.67</v>
      </c>
      <c r="Z1316">
        <v>3.66</v>
      </c>
      <c r="AA1316">
        <v>0</v>
      </c>
      <c r="AB1316">
        <v>0.32</v>
      </c>
      <c r="AC1316">
        <v>0</v>
      </c>
      <c r="AD1316">
        <v>42.03</v>
      </c>
      <c r="AE1316">
        <v>0</v>
      </c>
      <c r="AF1316">
        <v>0.73</v>
      </c>
      <c r="AG1316">
        <v>0.11</v>
      </c>
      <c r="AH1316">
        <v>6215.1949999999997</v>
      </c>
      <c r="AI1316" t="s">
        <v>22</v>
      </c>
      <c r="AJ1316">
        <v>2730</v>
      </c>
      <c r="AK1316">
        <v>2980</v>
      </c>
      <c r="AL1316">
        <v>1460</v>
      </c>
      <c r="AM1316">
        <v>0</v>
      </c>
      <c r="AN1316">
        <v>10</v>
      </c>
      <c r="AO1316">
        <v>0</v>
      </c>
      <c r="AP1316">
        <v>120</v>
      </c>
      <c r="AQ1316">
        <v>0</v>
      </c>
      <c r="AR1316">
        <v>80</v>
      </c>
      <c r="AS1316">
        <v>40</v>
      </c>
      <c r="AT1316">
        <v>7420</v>
      </c>
      <c r="AU1316" t="s">
        <v>34</v>
      </c>
    </row>
    <row r="1317" spans="1:47" x14ac:dyDescent="0.2">
      <c r="A1317">
        <v>1969</v>
      </c>
      <c r="B1317" t="s">
        <v>754</v>
      </c>
      <c r="C1317">
        <v>3</v>
      </c>
      <c r="D1317">
        <v>3</v>
      </c>
      <c r="G1317" t="str">
        <f t="shared" si="20"/>
        <v>AKMAP_J201233</v>
      </c>
      <c r="H1317">
        <v>67.641999999999996</v>
      </c>
      <c r="I1317">
        <v>-166.74199999999999</v>
      </c>
      <c r="J1317" s="3">
        <v>20120807</v>
      </c>
      <c r="K1317">
        <v>2012</v>
      </c>
      <c r="L1317">
        <v>1.5651900000000001</v>
      </c>
      <c r="M1317">
        <v>2.068E-2</v>
      </c>
      <c r="N1317">
        <v>0.10066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2.48E-3</v>
      </c>
      <c r="V1317">
        <v>1.6890099999999999</v>
      </c>
      <c r="W1317" t="s">
        <v>9</v>
      </c>
      <c r="X1317">
        <v>33.28</v>
      </c>
      <c r="Y1317">
        <v>0.55000000000000004</v>
      </c>
      <c r="Z1317">
        <v>1.31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0.04</v>
      </c>
      <c r="AH1317">
        <v>35.18</v>
      </c>
      <c r="AI1317" t="s">
        <v>21</v>
      </c>
      <c r="AJ1317">
        <v>470</v>
      </c>
      <c r="AK1317">
        <v>130</v>
      </c>
      <c r="AL1317">
        <v>440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50</v>
      </c>
      <c r="AT1317">
        <v>1090</v>
      </c>
      <c r="AU1317" t="s">
        <v>33</v>
      </c>
    </row>
    <row r="1318" spans="1:47" x14ac:dyDescent="0.2">
      <c r="A1318">
        <v>1970</v>
      </c>
      <c r="B1318" t="s">
        <v>754</v>
      </c>
      <c r="C1318">
        <v>4</v>
      </c>
      <c r="D1318">
        <v>4</v>
      </c>
      <c r="G1318" t="str">
        <f t="shared" si="20"/>
        <v>AKMAP_J201244</v>
      </c>
      <c r="H1318">
        <v>67.646000000000001</v>
      </c>
      <c r="I1318">
        <v>-165.553</v>
      </c>
      <c r="J1318" s="3">
        <v>20120807</v>
      </c>
      <c r="K1318">
        <v>2012</v>
      </c>
      <c r="L1318">
        <v>4.0654000000000003</v>
      </c>
      <c r="M1318">
        <v>0.25728000000000001</v>
      </c>
      <c r="N1318">
        <v>8.4339999999999998E-2</v>
      </c>
      <c r="O1318">
        <v>0</v>
      </c>
      <c r="P1318">
        <v>6.9999999999999994E-5</v>
      </c>
      <c r="Q1318">
        <v>0</v>
      </c>
      <c r="R1318">
        <v>0</v>
      </c>
      <c r="S1318">
        <v>0</v>
      </c>
      <c r="T1318">
        <v>6.2309999999999997E-2</v>
      </c>
      <c r="U1318">
        <v>6.0200000000000002E-3</v>
      </c>
      <c r="V1318">
        <v>4.4754199999999997</v>
      </c>
      <c r="W1318" t="s">
        <v>9</v>
      </c>
      <c r="X1318">
        <v>58.21</v>
      </c>
      <c r="Y1318">
        <v>8.1199999999999992</v>
      </c>
      <c r="Z1318">
        <v>1.21</v>
      </c>
      <c r="AA1318">
        <v>0</v>
      </c>
      <c r="AB1318">
        <v>5.0000000000000001E-3</v>
      </c>
      <c r="AC1318">
        <v>0</v>
      </c>
      <c r="AD1318">
        <v>0</v>
      </c>
      <c r="AE1318">
        <v>0</v>
      </c>
      <c r="AF1318">
        <v>0.67</v>
      </c>
      <c r="AG1318">
        <v>0.13</v>
      </c>
      <c r="AH1318">
        <v>68.344999999999999</v>
      </c>
      <c r="AI1318" t="s">
        <v>21</v>
      </c>
      <c r="AJ1318">
        <v>2600</v>
      </c>
      <c r="AK1318">
        <v>90</v>
      </c>
      <c r="AL1318">
        <v>310</v>
      </c>
      <c r="AM1318">
        <v>0</v>
      </c>
      <c r="AN1318">
        <v>10</v>
      </c>
      <c r="AO1318">
        <v>0</v>
      </c>
      <c r="AP1318">
        <v>0</v>
      </c>
      <c r="AQ1318">
        <v>0</v>
      </c>
      <c r="AR1318">
        <v>40</v>
      </c>
      <c r="AS1318">
        <v>40</v>
      </c>
      <c r="AT1318">
        <v>3090</v>
      </c>
      <c r="AU1318" t="s">
        <v>33</v>
      </c>
    </row>
    <row r="1319" spans="1:47" x14ac:dyDescent="0.2">
      <c r="A1319">
        <v>1971</v>
      </c>
      <c r="B1319" t="s">
        <v>754</v>
      </c>
      <c r="C1319">
        <v>5</v>
      </c>
      <c r="D1319">
        <v>5</v>
      </c>
      <c r="G1319" t="str">
        <f t="shared" si="20"/>
        <v>AKMAP_J201255</v>
      </c>
      <c r="H1319">
        <v>71.084000000000003</v>
      </c>
      <c r="I1319">
        <v>-158.86099999999999</v>
      </c>
      <c r="J1319" s="3">
        <v>20120809</v>
      </c>
      <c r="K1319">
        <v>2012</v>
      </c>
      <c r="L1319">
        <v>2.0670500000000001</v>
      </c>
      <c r="M1319">
        <v>4.0115999999999996</v>
      </c>
      <c r="N1319">
        <v>0.43715999999999999</v>
      </c>
      <c r="O1319">
        <v>0</v>
      </c>
      <c r="P1319">
        <v>3.7799999999999999E-3</v>
      </c>
      <c r="Q1319">
        <v>0</v>
      </c>
      <c r="R1319">
        <v>1.342E-2</v>
      </c>
      <c r="S1319">
        <v>2.9399999999999999E-3</v>
      </c>
      <c r="T1319">
        <v>2.511E-2</v>
      </c>
      <c r="U1319">
        <v>0.33883999999999997</v>
      </c>
      <c r="V1319">
        <v>6.8998999999999997</v>
      </c>
      <c r="W1319" t="s">
        <v>10</v>
      </c>
      <c r="X1319">
        <v>26.995000000000001</v>
      </c>
      <c r="Y1319">
        <v>134.875</v>
      </c>
      <c r="Z1319">
        <v>6.0149999999999997</v>
      </c>
      <c r="AA1319">
        <v>0</v>
      </c>
      <c r="AB1319">
        <v>0.27</v>
      </c>
      <c r="AC1319">
        <v>0</v>
      </c>
      <c r="AD1319">
        <v>0.22</v>
      </c>
      <c r="AE1319">
        <v>0.21</v>
      </c>
      <c r="AF1319">
        <v>0.27</v>
      </c>
      <c r="AG1319">
        <v>33.19</v>
      </c>
      <c r="AH1319">
        <v>202.04499999999999</v>
      </c>
      <c r="AI1319" t="s">
        <v>22</v>
      </c>
      <c r="AJ1319">
        <v>2140</v>
      </c>
      <c r="AK1319">
        <v>630</v>
      </c>
      <c r="AL1319">
        <v>2500</v>
      </c>
      <c r="AM1319">
        <v>0</v>
      </c>
      <c r="AN1319">
        <v>30</v>
      </c>
      <c r="AO1319">
        <v>0</v>
      </c>
      <c r="AP1319">
        <v>10</v>
      </c>
      <c r="AQ1319">
        <v>40</v>
      </c>
      <c r="AR1319">
        <v>100</v>
      </c>
      <c r="AS1319">
        <v>120</v>
      </c>
      <c r="AT1319">
        <v>5570</v>
      </c>
      <c r="AU1319" t="s">
        <v>35</v>
      </c>
    </row>
    <row r="1320" spans="1:47" x14ac:dyDescent="0.2">
      <c r="A1320">
        <v>1972</v>
      </c>
      <c r="B1320" t="s">
        <v>754</v>
      </c>
      <c r="C1320">
        <v>6</v>
      </c>
      <c r="D1320">
        <v>6</v>
      </c>
      <c r="G1320" t="str">
        <f t="shared" si="20"/>
        <v>AKMAP_J201266</v>
      </c>
      <c r="H1320">
        <v>71.14</v>
      </c>
      <c r="I1320">
        <v>-158.971</v>
      </c>
      <c r="J1320" s="3">
        <v>20120812</v>
      </c>
      <c r="K1320">
        <v>2012</v>
      </c>
      <c r="L1320">
        <v>5.3935700000000004</v>
      </c>
      <c r="M1320">
        <v>66.594220000000007</v>
      </c>
      <c r="N1320">
        <v>2.12134</v>
      </c>
      <c r="O1320">
        <v>0.83789999999999998</v>
      </c>
      <c r="P1320">
        <v>3.5700000000000003E-2</v>
      </c>
      <c r="Q1320">
        <v>0</v>
      </c>
      <c r="R1320">
        <v>1.6000000000000001E-3</v>
      </c>
      <c r="S1320">
        <v>1.3999999999999999E-4</v>
      </c>
      <c r="T1320">
        <v>1.8599999999999998E-2</v>
      </c>
      <c r="U1320">
        <v>4.2724500000000001</v>
      </c>
      <c r="V1320">
        <v>79.27552</v>
      </c>
      <c r="W1320" t="s">
        <v>10</v>
      </c>
      <c r="X1320">
        <v>76.67</v>
      </c>
      <c r="Y1320">
        <v>2397.7800000000002</v>
      </c>
      <c r="Z1320">
        <v>28.535</v>
      </c>
      <c r="AA1320">
        <v>18.62</v>
      </c>
      <c r="AB1320">
        <v>2.5499999999999998</v>
      </c>
      <c r="AC1320">
        <v>0</v>
      </c>
      <c r="AD1320">
        <v>0.04</v>
      </c>
      <c r="AE1320">
        <v>0.01</v>
      </c>
      <c r="AF1320">
        <v>0.2</v>
      </c>
      <c r="AG1320">
        <v>214.62</v>
      </c>
      <c r="AH1320">
        <v>2739.0250000000001</v>
      </c>
      <c r="AI1320" t="s">
        <v>22</v>
      </c>
      <c r="AJ1320">
        <v>13650</v>
      </c>
      <c r="AK1320">
        <v>1430</v>
      </c>
      <c r="AL1320">
        <v>4450</v>
      </c>
      <c r="AM1320">
        <v>190</v>
      </c>
      <c r="AN1320">
        <v>110</v>
      </c>
      <c r="AO1320">
        <v>0</v>
      </c>
      <c r="AP1320">
        <v>10</v>
      </c>
      <c r="AQ1320">
        <v>10</v>
      </c>
      <c r="AR1320">
        <v>30</v>
      </c>
      <c r="AS1320">
        <v>980</v>
      </c>
      <c r="AT1320">
        <v>20860</v>
      </c>
      <c r="AU1320" t="s">
        <v>33</v>
      </c>
    </row>
    <row r="1321" spans="1:47" x14ac:dyDescent="0.2">
      <c r="A1321">
        <v>1973</v>
      </c>
      <c r="B1321" t="s">
        <v>754</v>
      </c>
      <c r="C1321">
        <v>9</v>
      </c>
      <c r="D1321">
        <v>9</v>
      </c>
      <c r="G1321" t="str">
        <f t="shared" si="20"/>
        <v>AKMAP_J201299</v>
      </c>
      <c r="H1321">
        <v>71.319999999999993</v>
      </c>
      <c r="I1321">
        <v>-158.08799999999999</v>
      </c>
      <c r="J1321" s="3">
        <v>20120813</v>
      </c>
      <c r="K1321">
        <v>2012</v>
      </c>
      <c r="L1321">
        <v>7.4315499999999997</v>
      </c>
      <c r="M1321">
        <v>4.1768099999999997</v>
      </c>
      <c r="N1321">
        <v>1.0865499999999999</v>
      </c>
      <c r="O1321">
        <v>2.52E-2</v>
      </c>
      <c r="P1321">
        <v>4.2000000000000002E-4</v>
      </c>
      <c r="Q1321">
        <v>0</v>
      </c>
      <c r="R1321">
        <v>0.13857</v>
      </c>
      <c r="S1321">
        <v>0.13103999999999999</v>
      </c>
      <c r="T1321">
        <v>7.2539999999999993E-2</v>
      </c>
      <c r="U1321">
        <v>0.78310999999999997</v>
      </c>
      <c r="V1321">
        <v>13.845789999999999</v>
      </c>
      <c r="W1321" t="s">
        <v>9</v>
      </c>
      <c r="X1321">
        <v>106.57</v>
      </c>
      <c r="Y1321">
        <v>221.98</v>
      </c>
      <c r="Z1321">
        <v>14.695</v>
      </c>
      <c r="AA1321">
        <v>0.56000000000000005</v>
      </c>
      <c r="AB1321">
        <v>0.03</v>
      </c>
      <c r="AC1321">
        <v>0</v>
      </c>
      <c r="AD1321">
        <v>2.4300000000000002</v>
      </c>
      <c r="AE1321">
        <v>9.36</v>
      </c>
      <c r="AF1321">
        <v>0.78</v>
      </c>
      <c r="AG1321">
        <v>44.27</v>
      </c>
      <c r="AH1321">
        <v>400.67500000000001</v>
      </c>
      <c r="AI1321" t="s">
        <v>22</v>
      </c>
      <c r="AJ1321">
        <v>3450</v>
      </c>
      <c r="AK1321">
        <v>2490</v>
      </c>
      <c r="AL1321">
        <v>6860</v>
      </c>
      <c r="AM1321">
        <v>50</v>
      </c>
      <c r="AN1321">
        <v>0</v>
      </c>
      <c r="AO1321">
        <v>0</v>
      </c>
      <c r="AP1321">
        <v>80</v>
      </c>
      <c r="AQ1321">
        <v>40</v>
      </c>
      <c r="AR1321">
        <v>100</v>
      </c>
      <c r="AS1321">
        <v>240</v>
      </c>
      <c r="AT1321">
        <v>13310</v>
      </c>
      <c r="AU1321" t="s">
        <v>35</v>
      </c>
    </row>
    <row r="1322" spans="1:47" x14ac:dyDescent="0.2">
      <c r="A1322">
        <v>1974</v>
      </c>
      <c r="B1322" t="s">
        <v>754</v>
      </c>
      <c r="C1322" t="s">
        <v>755</v>
      </c>
      <c r="D1322" t="s">
        <v>756</v>
      </c>
      <c r="G1322" t="str">
        <f t="shared" si="20"/>
        <v>AKMAP_J2012DF1DF001</v>
      </c>
      <c r="H1322">
        <v>70.495999999999995</v>
      </c>
      <c r="I1322">
        <v>-160.624</v>
      </c>
      <c r="J1322" s="3">
        <v>20120814</v>
      </c>
      <c r="K1322">
        <v>2012</v>
      </c>
      <c r="L1322">
        <v>10.30363</v>
      </c>
      <c r="M1322">
        <v>2.7530800000000002</v>
      </c>
      <c r="N1322">
        <v>2.5695199999999998</v>
      </c>
      <c r="O1322">
        <v>0</v>
      </c>
      <c r="P1322">
        <v>7.9380000000000006E-2</v>
      </c>
      <c r="Q1322">
        <v>0</v>
      </c>
      <c r="R1322">
        <v>0</v>
      </c>
      <c r="S1322">
        <v>0</v>
      </c>
      <c r="T1322">
        <v>1.116E-2</v>
      </c>
      <c r="U1322">
        <v>0</v>
      </c>
      <c r="V1322">
        <v>15.71677</v>
      </c>
      <c r="W1322" t="s">
        <v>9</v>
      </c>
      <c r="X1322">
        <v>140.49</v>
      </c>
      <c r="Y1322">
        <v>159.37</v>
      </c>
      <c r="Z1322">
        <v>37.020000000000003</v>
      </c>
      <c r="AA1322">
        <v>0</v>
      </c>
      <c r="AB1322">
        <v>5.67</v>
      </c>
      <c r="AC1322">
        <v>0</v>
      </c>
      <c r="AD1322">
        <v>0</v>
      </c>
      <c r="AE1322">
        <v>0</v>
      </c>
      <c r="AF1322">
        <v>0.12</v>
      </c>
      <c r="AG1322">
        <v>0</v>
      </c>
      <c r="AH1322">
        <v>342.67</v>
      </c>
      <c r="AI1322" t="s">
        <v>22</v>
      </c>
      <c r="AJ1322">
        <v>1670</v>
      </c>
      <c r="AK1322">
        <v>170</v>
      </c>
      <c r="AL1322">
        <v>1390</v>
      </c>
      <c r="AM1322">
        <v>0</v>
      </c>
      <c r="AN1322">
        <v>90</v>
      </c>
      <c r="AO1322">
        <v>0</v>
      </c>
      <c r="AP1322">
        <v>0</v>
      </c>
      <c r="AQ1322">
        <v>0</v>
      </c>
      <c r="AR1322">
        <v>60</v>
      </c>
      <c r="AS1322">
        <v>0</v>
      </c>
      <c r="AT1322">
        <v>3380</v>
      </c>
      <c r="AU1322" t="s">
        <v>33</v>
      </c>
    </row>
    <row r="1323" spans="1:47" x14ac:dyDescent="0.2">
      <c r="A1323">
        <v>1975</v>
      </c>
      <c r="B1323" t="s">
        <v>754</v>
      </c>
      <c r="C1323" t="s">
        <v>757</v>
      </c>
      <c r="D1323" t="s">
        <v>758</v>
      </c>
      <c r="G1323" t="str">
        <f t="shared" si="20"/>
        <v>AKMAP_J2012DF3DF003</v>
      </c>
      <c r="H1323">
        <v>70.709999999999994</v>
      </c>
      <c r="I1323">
        <v>-161.18799999999999</v>
      </c>
      <c r="J1323" s="3">
        <v>20120814</v>
      </c>
      <c r="K1323">
        <v>2012</v>
      </c>
      <c r="L1323">
        <v>5.4911000000000003</v>
      </c>
      <c r="M1323">
        <v>5.6025900000000002</v>
      </c>
      <c r="N1323">
        <v>2.4885799999999998</v>
      </c>
      <c r="O1323">
        <v>2.2499999999999998E-3</v>
      </c>
      <c r="P1323">
        <v>6.9999999999999999E-4</v>
      </c>
      <c r="Q1323">
        <v>0</v>
      </c>
      <c r="R1323">
        <v>0</v>
      </c>
      <c r="S1323">
        <v>2.632E-2</v>
      </c>
      <c r="T1323">
        <v>3.9059999999999997E-2</v>
      </c>
      <c r="U1323">
        <v>1.48106</v>
      </c>
      <c r="V1323">
        <v>15.13166</v>
      </c>
      <c r="W1323" t="s">
        <v>10</v>
      </c>
      <c r="X1323">
        <v>79.78</v>
      </c>
      <c r="Y1323">
        <v>312.52999999999997</v>
      </c>
      <c r="Z1323">
        <v>33.4</v>
      </c>
      <c r="AA1323">
        <v>0.05</v>
      </c>
      <c r="AB1323">
        <v>0.05</v>
      </c>
      <c r="AC1323">
        <v>0</v>
      </c>
      <c r="AD1323">
        <v>0</v>
      </c>
      <c r="AE1323">
        <v>1.88</v>
      </c>
      <c r="AF1323">
        <v>0.42</v>
      </c>
      <c r="AG1323">
        <v>82.564999999999998</v>
      </c>
      <c r="AH1323">
        <v>510.67500000000001</v>
      </c>
      <c r="AI1323" t="s">
        <v>22</v>
      </c>
      <c r="AJ1323">
        <v>2960</v>
      </c>
      <c r="AK1323">
        <v>1100</v>
      </c>
      <c r="AL1323">
        <v>4250</v>
      </c>
      <c r="AM1323">
        <v>30</v>
      </c>
      <c r="AN1323">
        <v>30</v>
      </c>
      <c r="AO1323">
        <v>0</v>
      </c>
      <c r="AP1323">
        <v>0</v>
      </c>
      <c r="AQ1323">
        <v>40</v>
      </c>
      <c r="AR1323">
        <v>90</v>
      </c>
      <c r="AS1323">
        <v>150</v>
      </c>
      <c r="AT1323">
        <v>8650</v>
      </c>
      <c r="AU1323" t="s">
        <v>35</v>
      </c>
    </row>
    <row r="1324" spans="1:47" x14ac:dyDescent="0.2">
      <c r="A1324">
        <v>1976</v>
      </c>
      <c r="B1324" t="s">
        <v>754</v>
      </c>
      <c r="C1324" t="s">
        <v>759</v>
      </c>
      <c r="D1324" s="4" t="s">
        <v>785</v>
      </c>
      <c r="E1324" s="4" t="s">
        <v>785</v>
      </c>
      <c r="F1324" s="4" t="s">
        <v>760</v>
      </c>
      <c r="G1324" t="str">
        <f t="shared" si="20"/>
        <v>AKMAP_J2012DF5DBO4.1</v>
      </c>
      <c r="H1324">
        <v>70.974999999999994</v>
      </c>
      <c r="I1324">
        <v>-161.89500000000001</v>
      </c>
      <c r="J1324" s="3">
        <v>20120814</v>
      </c>
      <c r="K1324">
        <v>2012</v>
      </c>
      <c r="L1324">
        <v>6.2736099999999997</v>
      </c>
      <c r="M1324">
        <v>2.36883</v>
      </c>
      <c r="N1324">
        <v>2.7724199999999999</v>
      </c>
      <c r="O1324">
        <v>0.2034</v>
      </c>
      <c r="P1324">
        <v>0.38597999999999999</v>
      </c>
      <c r="Q1324">
        <v>0</v>
      </c>
      <c r="R1324">
        <v>0.37209999999999999</v>
      </c>
      <c r="S1324">
        <v>1.204E-2</v>
      </c>
      <c r="T1324">
        <v>0.50034000000000001</v>
      </c>
      <c r="U1324">
        <v>1.31E-3</v>
      </c>
      <c r="V1324">
        <v>12.890029999999999</v>
      </c>
      <c r="W1324" t="s">
        <v>9</v>
      </c>
      <c r="X1324">
        <v>89.944999999999993</v>
      </c>
      <c r="Y1324">
        <v>82.9</v>
      </c>
      <c r="Z1324">
        <v>40.164999999999999</v>
      </c>
      <c r="AA1324">
        <v>4.5199999999999996</v>
      </c>
      <c r="AB1324">
        <v>27.57</v>
      </c>
      <c r="AC1324">
        <v>0</v>
      </c>
      <c r="AD1324">
        <v>6.1</v>
      </c>
      <c r="AE1324">
        <v>0.86</v>
      </c>
      <c r="AF1324">
        <v>5.38</v>
      </c>
      <c r="AG1324">
        <v>0.05</v>
      </c>
      <c r="AH1324">
        <v>257.49</v>
      </c>
      <c r="AI1324" t="s">
        <v>21</v>
      </c>
      <c r="AJ1324">
        <v>1990</v>
      </c>
      <c r="AK1324">
        <v>630</v>
      </c>
      <c r="AL1324">
        <v>9050</v>
      </c>
      <c r="AM1324">
        <v>210</v>
      </c>
      <c r="AN1324">
        <v>80</v>
      </c>
      <c r="AO1324">
        <v>0</v>
      </c>
      <c r="AP1324">
        <v>50</v>
      </c>
      <c r="AQ1324">
        <v>10</v>
      </c>
      <c r="AR1324">
        <v>70</v>
      </c>
      <c r="AS1324">
        <v>40</v>
      </c>
      <c r="AT1324">
        <v>12130</v>
      </c>
      <c r="AU1324" t="s">
        <v>35</v>
      </c>
    </row>
    <row r="1325" spans="1:47" x14ac:dyDescent="0.2">
      <c r="A1325">
        <v>1977</v>
      </c>
      <c r="B1325" t="s">
        <v>761</v>
      </c>
      <c r="C1325">
        <v>2</v>
      </c>
      <c r="D1325" t="s">
        <v>140</v>
      </c>
      <c r="G1325" t="str">
        <f t="shared" si="20"/>
        <v>HLY13012CBL11</v>
      </c>
      <c r="H1325">
        <v>72.102999999999994</v>
      </c>
      <c r="I1325">
        <v>-165.45599999999999</v>
      </c>
      <c r="J1325" s="3">
        <v>20130802</v>
      </c>
      <c r="K1325">
        <v>2013</v>
      </c>
      <c r="L1325">
        <v>1.9303399999999999</v>
      </c>
      <c r="M1325">
        <v>4.7465799999999998</v>
      </c>
      <c r="N1325">
        <v>1.18452</v>
      </c>
      <c r="O1325">
        <v>3.3029099999999998</v>
      </c>
      <c r="P1325">
        <v>1.1999999999999999E-3</v>
      </c>
      <c r="Q1325">
        <v>0</v>
      </c>
      <c r="R1325">
        <v>0</v>
      </c>
      <c r="S1325">
        <v>0</v>
      </c>
      <c r="T1325">
        <v>0.13913</v>
      </c>
      <c r="U1325">
        <v>5.8220000000000001E-2</v>
      </c>
      <c r="V1325">
        <v>11.3629</v>
      </c>
      <c r="W1325" t="s">
        <v>10</v>
      </c>
      <c r="X1325">
        <v>29.06</v>
      </c>
      <c r="Y1325">
        <v>197.52799999999999</v>
      </c>
      <c r="Z1325">
        <v>16.196000000000002</v>
      </c>
      <c r="AA1325">
        <v>73.397999999999996</v>
      </c>
      <c r="AB1325">
        <v>8.5999999999999993E-2</v>
      </c>
      <c r="AC1325">
        <v>0</v>
      </c>
      <c r="AD1325">
        <v>0</v>
      </c>
      <c r="AE1325">
        <v>0</v>
      </c>
      <c r="AF1325">
        <v>1.496</v>
      </c>
      <c r="AG1325">
        <v>1.155</v>
      </c>
      <c r="AH1325">
        <v>318.91899999999998</v>
      </c>
      <c r="AI1325" t="s">
        <v>22</v>
      </c>
      <c r="AJ1325">
        <v>415</v>
      </c>
      <c r="AK1325">
        <v>1265</v>
      </c>
      <c r="AL1325">
        <v>252.5</v>
      </c>
      <c r="AM1325">
        <v>10</v>
      </c>
      <c r="AN1325">
        <v>15</v>
      </c>
      <c r="AO1325">
        <v>0</v>
      </c>
      <c r="AP1325">
        <v>0</v>
      </c>
      <c r="AQ1325">
        <v>0</v>
      </c>
      <c r="AR1325">
        <v>10</v>
      </c>
      <c r="AS1325">
        <v>155</v>
      </c>
      <c r="AT1325">
        <v>2122.5</v>
      </c>
      <c r="AU1325" t="s">
        <v>34</v>
      </c>
    </row>
    <row r="1326" spans="1:47" x14ac:dyDescent="0.2">
      <c r="A1326">
        <v>1978</v>
      </c>
      <c r="B1326" t="s">
        <v>761</v>
      </c>
      <c r="C1326">
        <v>3</v>
      </c>
      <c r="D1326" t="s">
        <v>762</v>
      </c>
      <c r="G1326" t="str">
        <f t="shared" si="20"/>
        <v>HLY13013H112</v>
      </c>
      <c r="H1326">
        <v>72.793999999999997</v>
      </c>
      <c r="I1326">
        <v>-164.898</v>
      </c>
      <c r="J1326" s="3">
        <v>20130802</v>
      </c>
      <c r="K1326">
        <v>2013</v>
      </c>
      <c r="L1326">
        <v>1.25387</v>
      </c>
      <c r="M1326">
        <v>1.31413</v>
      </c>
      <c r="N1326">
        <v>2.6440000000000002E-2</v>
      </c>
      <c r="O1326">
        <v>9.5590799999999998</v>
      </c>
      <c r="P1326">
        <v>0.35861999999999999</v>
      </c>
      <c r="Q1326">
        <v>0</v>
      </c>
      <c r="R1326">
        <v>0</v>
      </c>
      <c r="S1326">
        <v>0.55081999999999998</v>
      </c>
      <c r="T1326">
        <v>4.1009999999999998E-2</v>
      </c>
      <c r="U1326">
        <v>4.7050000000000002E-2</v>
      </c>
      <c r="V1326">
        <v>13.151020000000001</v>
      </c>
      <c r="W1326" t="s">
        <v>12</v>
      </c>
      <c r="X1326">
        <v>17.722000000000001</v>
      </c>
      <c r="Y1326">
        <v>39.183</v>
      </c>
      <c r="Z1326">
        <v>0.33200000000000002</v>
      </c>
      <c r="AA1326">
        <v>212.42400000000001</v>
      </c>
      <c r="AB1326">
        <v>25.616</v>
      </c>
      <c r="AC1326">
        <v>0</v>
      </c>
      <c r="AD1326">
        <v>0</v>
      </c>
      <c r="AE1326">
        <v>39.344000000000001</v>
      </c>
      <c r="AF1326">
        <v>0.441</v>
      </c>
      <c r="AG1326">
        <v>0.95</v>
      </c>
      <c r="AH1326">
        <v>336.012</v>
      </c>
      <c r="AI1326" t="s">
        <v>24</v>
      </c>
      <c r="AJ1326">
        <v>682.5</v>
      </c>
      <c r="AK1326">
        <v>1230</v>
      </c>
      <c r="AL1326">
        <v>37.5</v>
      </c>
      <c r="AM1326">
        <v>12.5</v>
      </c>
      <c r="AN1326">
        <v>12.5</v>
      </c>
      <c r="AO1326">
        <v>0</v>
      </c>
      <c r="AP1326">
        <v>0</v>
      </c>
      <c r="AQ1326">
        <v>2.5</v>
      </c>
      <c r="AR1326">
        <v>42.5</v>
      </c>
      <c r="AS1326">
        <v>82.5</v>
      </c>
      <c r="AT1326">
        <v>2102.5</v>
      </c>
      <c r="AU1326" t="s">
        <v>34</v>
      </c>
    </row>
    <row r="1327" spans="1:47" x14ac:dyDescent="0.2">
      <c r="A1327">
        <v>1979</v>
      </c>
      <c r="B1327" t="s">
        <v>761</v>
      </c>
      <c r="C1327">
        <v>12</v>
      </c>
      <c r="D1327" t="s">
        <v>144</v>
      </c>
      <c r="G1327" t="str">
        <f t="shared" si="20"/>
        <v>HLY130112UTX1</v>
      </c>
      <c r="H1327">
        <v>72.061999999999998</v>
      </c>
      <c r="I1327">
        <v>-164.131</v>
      </c>
      <c r="J1327" s="3">
        <v>20130804</v>
      </c>
      <c r="K1327">
        <v>2013</v>
      </c>
      <c r="L1327">
        <v>4.3159599999999996</v>
      </c>
      <c r="M1327">
        <v>0.53676999999999997</v>
      </c>
      <c r="N1327">
        <v>0.67171000000000003</v>
      </c>
      <c r="O1327">
        <v>9.5899999999999999E-2</v>
      </c>
      <c r="P1327">
        <v>4.2000000000000002E-4</v>
      </c>
      <c r="Q1327">
        <v>0</v>
      </c>
      <c r="R1327">
        <v>0</v>
      </c>
      <c r="S1327">
        <v>0</v>
      </c>
      <c r="T1327">
        <v>1.311E-2</v>
      </c>
      <c r="U1327">
        <v>3.0179999999999998E-2</v>
      </c>
      <c r="V1327">
        <v>5.6640499999999996</v>
      </c>
      <c r="W1327" t="s">
        <v>9</v>
      </c>
      <c r="X1327">
        <v>54.725000000000001</v>
      </c>
      <c r="Y1327">
        <v>19.167999999999999</v>
      </c>
      <c r="Z1327">
        <v>9.2349999999999994</v>
      </c>
      <c r="AA1327">
        <v>2.1309999999999998</v>
      </c>
      <c r="AB1327">
        <v>0.03</v>
      </c>
      <c r="AC1327">
        <v>0</v>
      </c>
      <c r="AD1327">
        <v>0</v>
      </c>
      <c r="AE1327">
        <v>0</v>
      </c>
      <c r="AF1327">
        <v>0.14099999999999999</v>
      </c>
      <c r="AG1327">
        <v>2.7309999999999999</v>
      </c>
      <c r="AH1327">
        <v>88.161000000000001</v>
      </c>
      <c r="AI1327" t="s">
        <v>21</v>
      </c>
      <c r="AJ1327">
        <v>460</v>
      </c>
      <c r="AK1327">
        <v>880</v>
      </c>
      <c r="AL1327">
        <v>530</v>
      </c>
      <c r="AM1327">
        <v>10</v>
      </c>
      <c r="AN1327">
        <v>10</v>
      </c>
      <c r="AO1327">
        <v>0</v>
      </c>
      <c r="AP1327">
        <v>0</v>
      </c>
      <c r="AQ1327">
        <v>0</v>
      </c>
      <c r="AR1327">
        <v>20</v>
      </c>
      <c r="AS1327">
        <v>10</v>
      </c>
      <c r="AT1327">
        <v>1920</v>
      </c>
      <c r="AU1327" t="s">
        <v>34</v>
      </c>
    </row>
    <row r="1328" spans="1:47" x14ac:dyDescent="0.2">
      <c r="A1328">
        <v>1980</v>
      </c>
      <c r="B1328" t="s">
        <v>761</v>
      </c>
      <c r="C1328">
        <v>14</v>
      </c>
      <c r="D1328" t="s">
        <v>763</v>
      </c>
      <c r="G1328" t="str">
        <f t="shared" si="20"/>
        <v>HLY130114H7</v>
      </c>
      <c r="H1328">
        <v>72.114999999999995</v>
      </c>
      <c r="I1328">
        <v>-162.72399999999999</v>
      </c>
      <c r="J1328" s="3">
        <v>20130804</v>
      </c>
      <c r="K1328">
        <v>2013</v>
      </c>
      <c r="L1328">
        <v>4.3561800000000002</v>
      </c>
      <c r="M1328">
        <v>10.34116</v>
      </c>
      <c r="N1328">
        <v>0.58564000000000005</v>
      </c>
      <c r="O1328">
        <v>0.52978999999999998</v>
      </c>
      <c r="P1328">
        <v>0.22147</v>
      </c>
      <c r="Q1328">
        <v>0</v>
      </c>
      <c r="R1328">
        <v>0.68984999999999996</v>
      </c>
      <c r="S1328">
        <v>0.27222000000000002</v>
      </c>
      <c r="T1328">
        <v>9.0950000000000003E-2</v>
      </c>
      <c r="U1328">
        <v>4.6120000000000001E-2</v>
      </c>
      <c r="V1328">
        <v>17.133379999999999</v>
      </c>
      <c r="W1328" t="s">
        <v>10</v>
      </c>
      <c r="X1328">
        <v>61.722999999999999</v>
      </c>
      <c r="Y1328">
        <v>349.95600000000002</v>
      </c>
      <c r="Z1328">
        <v>8.41</v>
      </c>
      <c r="AA1328">
        <v>11.773</v>
      </c>
      <c r="AB1328">
        <v>15.819000000000001</v>
      </c>
      <c r="AC1328">
        <v>0</v>
      </c>
      <c r="AD1328">
        <v>11.308999999999999</v>
      </c>
      <c r="AE1328">
        <v>18.582000000000001</v>
      </c>
      <c r="AF1328">
        <v>0.97799999999999998</v>
      </c>
      <c r="AG1328">
        <v>1.2410000000000001</v>
      </c>
      <c r="AH1328">
        <v>479.791</v>
      </c>
      <c r="AI1328" t="s">
        <v>22</v>
      </c>
      <c r="AJ1328">
        <v>2222.5</v>
      </c>
      <c r="AK1328">
        <v>1452.5</v>
      </c>
      <c r="AL1328">
        <v>465</v>
      </c>
      <c r="AM1328">
        <v>45</v>
      </c>
      <c r="AN1328">
        <v>15</v>
      </c>
      <c r="AO1328">
        <v>0</v>
      </c>
      <c r="AP1328">
        <v>30</v>
      </c>
      <c r="AQ1328">
        <v>47.5</v>
      </c>
      <c r="AR1328">
        <v>35</v>
      </c>
      <c r="AS1328">
        <v>60</v>
      </c>
      <c r="AT1328">
        <v>4372.5</v>
      </c>
      <c r="AU1328" t="s">
        <v>33</v>
      </c>
    </row>
    <row r="1329" spans="1:47" x14ac:dyDescent="0.2">
      <c r="A1329">
        <v>1981</v>
      </c>
      <c r="B1329" t="s">
        <v>761</v>
      </c>
      <c r="C1329">
        <v>15</v>
      </c>
      <c r="D1329" t="s">
        <v>764</v>
      </c>
      <c r="G1329" t="str">
        <f t="shared" si="20"/>
        <v>HLY130115H17</v>
      </c>
      <c r="H1329">
        <v>71.991</v>
      </c>
      <c r="I1329">
        <v>-163.38300000000001</v>
      </c>
      <c r="J1329" s="3">
        <v>20130804</v>
      </c>
      <c r="K1329">
        <v>2013</v>
      </c>
      <c r="L1329">
        <v>2.1562600000000001</v>
      </c>
      <c r="M1329">
        <v>4.7476200000000004</v>
      </c>
      <c r="N1329">
        <v>0.27311000000000002</v>
      </c>
      <c r="O1329">
        <v>4.3996500000000003</v>
      </c>
      <c r="P1329">
        <v>1.0499999999999999E-3</v>
      </c>
      <c r="Q1329">
        <v>0</v>
      </c>
      <c r="R1329">
        <v>0</v>
      </c>
      <c r="S1329">
        <v>0.18720999999999999</v>
      </c>
      <c r="T1329">
        <v>0.28542000000000001</v>
      </c>
      <c r="U1329">
        <v>3.5749999999999997E-2</v>
      </c>
      <c r="V1329">
        <v>12.086069999999999</v>
      </c>
      <c r="W1329" t="s">
        <v>10</v>
      </c>
      <c r="X1329">
        <v>31.152000000000001</v>
      </c>
      <c r="Y1329">
        <v>220.38300000000001</v>
      </c>
      <c r="Z1329">
        <v>3.919</v>
      </c>
      <c r="AA1329">
        <v>97.77</v>
      </c>
      <c r="AB1329">
        <v>7.4999999999999997E-2</v>
      </c>
      <c r="AC1329">
        <v>0</v>
      </c>
      <c r="AD1329">
        <v>0</v>
      </c>
      <c r="AE1329">
        <v>6.5309999999999997</v>
      </c>
      <c r="AF1329">
        <v>3.069</v>
      </c>
      <c r="AG1329">
        <v>1.589</v>
      </c>
      <c r="AH1329">
        <v>364.488</v>
      </c>
      <c r="AI1329" t="s">
        <v>22</v>
      </c>
      <c r="AJ1329">
        <v>1277.5</v>
      </c>
      <c r="AK1329">
        <v>1960</v>
      </c>
      <c r="AL1329">
        <v>157.5</v>
      </c>
      <c r="AM1329">
        <v>62.5</v>
      </c>
      <c r="AN1329">
        <v>17.5</v>
      </c>
      <c r="AO1329">
        <v>0</v>
      </c>
      <c r="AP1329">
        <v>0</v>
      </c>
      <c r="AQ1329">
        <v>82.5</v>
      </c>
      <c r="AR1329">
        <v>15</v>
      </c>
      <c r="AS1329">
        <v>112.5</v>
      </c>
      <c r="AT1329">
        <v>3685</v>
      </c>
      <c r="AU1329" t="s">
        <v>34</v>
      </c>
    </row>
    <row r="1330" spans="1:47" x14ac:dyDescent="0.2">
      <c r="A1330">
        <v>1982</v>
      </c>
      <c r="B1330" t="s">
        <v>761</v>
      </c>
      <c r="C1330">
        <v>17</v>
      </c>
      <c r="D1330" t="s">
        <v>765</v>
      </c>
      <c r="G1330" t="str">
        <f t="shared" si="20"/>
        <v>HLY130117HS3</v>
      </c>
      <c r="H1330">
        <v>71.933000000000007</v>
      </c>
      <c r="I1330">
        <v>-162.66800000000001</v>
      </c>
      <c r="J1330" s="3">
        <v>20130805</v>
      </c>
      <c r="K1330">
        <v>2013</v>
      </c>
      <c r="L1330">
        <v>1.87205</v>
      </c>
      <c r="M1330">
        <v>14.225669999999999</v>
      </c>
      <c r="N1330">
        <v>0.17091999999999999</v>
      </c>
      <c r="O1330">
        <v>1.0665500000000001</v>
      </c>
      <c r="P1330">
        <v>0.13716</v>
      </c>
      <c r="Q1330">
        <v>0</v>
      </c>
      <c r="R1330">
        <v>0</v>
      </c>
      <c r="S1330">
        <v>2.0379999999999999E-2</v>
      </c>
      <c r="T1330">
        <v>7.9890000000000003E-2</v>
      </c>
      <c r="U1330">
        <v>0.19364000000000001</v>
      </c>
      <c r="V1330">
        <v>17.766259999999999</v>
      </c>
      <c r="W1330" t="s">
        <v>10</v>
      </c>
      <c r="X1330">
        <v>27.771999999999998</v>
      </c>
      <c r="Y1330">
        <v>395.55500000000001</v>
      </c>
      <c r="Z1330">
        <v>2.4239999999999999</v>
      </c>
      <c r="AA1330">
        <v>23.701000000000001</v>
      </c>
      <c r="AB1330">
        <v>9.7970000000000006</v>
      </c>
      <c r="AC1330">
        <v>0</v>
      </c>
      <c r="AD1330">
        <v>0</v>
      </c>
      <c r="AE1330">
        <v>1.456</v>
      </c>
      <c r="AF1330">
        <v>0.85899999999999999</v>
      </c>
      <c r="AG1330">
        <v>4.468</v>
      </c>
      <c r="AH1330">
        <v>466.03199999999998</v>
      </c>
      <c r="AI1330" t="s">
        <v>22</v>
      </c>
      <c r="AJ1330">
        <v>2150</v>
      </c>
      <c r="AK1330">
        <v>1597.5</v>
      </c>
      <c r="AL1330">
        <v>165</v>
      </c>
      <c r="AM1330">
        <v>10</v>
      </c>
      <c r="AN1330">
        <v>5</v>
      </c>
      <c r="AO1330">
        <v>0</v>
      </c>
      <c r="AP1330">
        <v>0</v>
      </c>
      <c r="AQ1330">
        <v>10</v>
      </c>
      <c r="AR1330">
        <v>30</v>
      </c>
      <c r="AS1330">
        <v>42.5</v>
      </c>
      <c r="AT1330">
        <v>4010</v>
      </c>
      <c r="AU1330" t="s">
        <v>33</v>
      </c>
    </row>
    <row r="1331" spans="1:47" x14ac:dyDescent="0.2">
      <c r="A1331">
        <v>1983</v>
      </c>
      <c r="B1331" t="s">
        <v>761</v>
      </c>
      <c r="C1331">
        <v>18</v>
      </c>
      <c r="D1331" t="s">
        <v>143</v>
      </c>
      <c r="G1331" t="str">
        <f t="shared" si="20"/>
        <v>HLY130118UTX8</v>
      </c>
      <c r="H1331">
        <v>71.725999999999999</v>
      </c>
      <c r="I1331">
        <v>-163.45599999999999</v>
      </c>
      <c r="J1331" s="3">
        <v>20130805</v>
      </c>
      <c r="K1331">
        <v>2013</v>
      </c>
      <c r="L1331">
        <v>2.70004</v>
      </c>
      <c r="M1331">
        <v>6.6499699999999997</v>
      </c>
      <c r="N1331">
        <v>0.30786999999999998</v>
      </c>
      <c r="O1331">
        <v>0</v>
      </c>
      <c r="P1331">
        <v>0.19711999999999999</v>
      </c>
      <c r="Q1331">
        <v>0</v>
      </c>
      <c r="R1331">
        <v>0</v>
      </c>
      <c r="S1331">
        <v>0.73051999999999995</v>
      </c>
      <c r="T1331">
        <v>4.6000000000000001E-4</v>
      </c>
      <c r="U1331">
        <v>2.6661199999999998</v>
      </c>
      <c r="V1331">
        <v>13.2521</v>
      </c>
      <c r="W1331" t="s">
        <v>10</v>
      </c>
      <c r="X1331">
        <v>39.749000000000002</v>
      </c>
      <c r="Y1331">
        <v>207.11</v>
      </c>
      <c r="Z1331">
        <v>4.3129999999999997</v>
      </c>
      <c r="AA1331">
        <v>0</v>
      </c>
      <c r="AB1331">
        <v>14.08</v>
      </c>
      <c r="AC1331">
        <v>0</v>
      </c>
      <c r="AD1331">
        <v>0</v>
      </c>
      <c r="AE1331">
        <v>22.01</v>
      </c>
      <c r="AF1331">
        <v>5.0000000000000001E-3</v>
      </c>
      <c r="AG1331">
        <v>66.018000000000001</v>
      </c>
      <c r="AH1331">
        <v>353.28500000000003</v>
      </c>
      <c r="AI1331" t="s">
        <v>22</v>
      </c>
      <c r="AJ1331">
        <v>1392.5</v>
      </c>
      <c r="AK1331">
        <v>2100</v>
      </c>
      <c r="AL1331">
        <v>380</v>
      </c>
      <c r="AM1331">
        <v>0</v>
      </c>
      <c r="AN1331">
        <v>37.5</v>
      </c>
      <c r="AO1331">
        <v>0</v>
      </c>
      <c r="AP1331">
        <v>0</v>
      </c>
      <c r="AQ1331">
        <v>257.5</v>
      </c>
      <c r="AR1331">
        <v>2.5</v>
      </c>
      <c r="AS1331">
        <v>165</v>
      </c>
      <c r="AT1331">
        <v>4335</v>
      </c>
      <c r="AU1331" t="s">
        <v>34</v>
      </c>
    </row>
    <row r="1332" spans="1:47" x14ac:dyDescent="0.2">
      <c r="A1332">
        <v>1984</v>
      </c>
      <c r="B1332" t="s">
        <v>761</v>
      </c>
      <c r="C1332">
        <v>19</v>
      </c>
      <c r="D1332" t="s">
        <v>137</v>
      </c>
      <c r="G1332" t="str">
        <f t="shared" si="20"/>
        <v>HLY130119UTX11</v>
      </c>
      <c r="H1332">
        <v>71.453000000000003</v>
      </c>
      <c r="I1332">
        <v>-162.61099999999999</v>
      </c>
      <c r="J1332" s="3">
        <v>20130805</v>
      </c>
      <c r="K1332">
        <v>2013</v>
      </c>
      <c r="L1332">
        <v>4.8224900000000002</v>
      </c>
      <c r="M1332">
        <v>6.9681699999999998</v>
      </c>
      <c r="N1332">
        <v>0.40806999999999999</v>
      </c>
      <c r="O1332">
        <v>0.10715</v>
      </c>
      <c r="P1332">
        <v>0.45788000000000001</v>
      </c>
      <c r="Q1332">
        <v>0</v>
      </c>
      <c r="R1332">
        <v>0</v>
      </c>
      <c r="S1332">
        <v>0</v>
      </c>
      <c r="T1332">
        <v>0.26068000000000002</v>
      </c>
      <c r="U1332">
        <v>7.9500000000000001E-2</v>
      </c>
      <c r="V1332">
        <v>13.10394</v>
      </c>
      <c r="W1332" t="s">
        <v>10</v>
      </c>
      <c r="X1332">
        <v>71.399000000000001</v>
      </c>
      <c r="Y1332">
        <v>193.74799999999999</v>
      </c>
      <c r="Z1332">
        <v>5.7610000000000001</v>
      </c>
      <c r="AA1332">
        <v>2.3809999999999998</v>
      </c>
      <c r="AB1332">
        <v>32.706000000000003</v>
      </c>
      <c r="AC1332">
        <v>0</v>
      </c>
      <c r="AD1332">
        <v>0</v>
      </c>
      <c r="AE1332">
        <v>0</v>
      </c>
      <c r="AF1332">
        <v>2.8029999999999999</v>
      </c>
      <c r="AG1332">
        <v>2.8069999999999999</v>
      </c>
      <c r="AH1332">
        <v>311.60500000000002</v>
      </c>
      <c r="AI1332" t="s">
        <v>22</v>
      </c>
      <c r="AJ1332">
        <v>3812.5</v>
      </c>
      <c r="AK1332">
        <v>1137.5</v>
      </c>
      <c r="AL1332">
        <v>1032.5</v>
      </c>
      <c r="AM1332">
        <v>20</v>
      </c>
      <c r="AN1332">
        <v>27.5</v>
      </c>
      <c r="AO1332">
        <v>0</v>
      </c>
      <c r="AP1332">
        <v>0</v>
      </c>
      <c r="AQ1332">
        <v>0</v>
      </c>
      <c r="AR1332">
        <v>27.5</v>
      </c>
      <c r="AS1332">
        <v>82.5</v>
      </c>
      <c r="AT1332">
        <v>6140</v>
      </c>
      <c r="AU1332" t="s">
        <v>33</v>
      </c>
    </row>
    <row r="1333" spans="1:47" x14ac:dyDescent="0.2">
      <c r="A1333">
        <v>1985</v>
      </c>
      <c r="B1333" t="s">
        <v>761</v>
      </c>
      <c r="C1333">
        <v>25</v>
      </c>
      <c r="D1333" t="s">
        <v>135</v>
      </c>
      <c r="G1333" t="str">
        <f t="shared" si="20"/>
        <v>HLY130125CBL13</v>
      </c>
      <c r="H1333">
        <v>71.298000000000002</v>
      </c>
      <c r="I1333">
        <v>-161.68899999999999</v>
      </c>
      <c r="J1333" s="3">
        <v>20130806</v>
      </c>
      <c r="K1333">
        <v>2013</v>
      </c>
      <c r="L1333">
        <v>13.33915</v>
      </c>
      <c r="M1333">
        <v>3.5760299999999998</v>
      </c>
      <c r="N1333">
        <v>2.7308300000000001</v>
      </c>
      <c r="O1333">
        <v>7.8978099999999998</v>
      </c>
      <c r="P1333">
        <v>0.64924999999999999</v>
      </c>
      <c r="Q1333">
        <v>0</v>
      </c>
      <c r="R1333">
        <v>0.32794000000000001</v>
      </c>
      <c r="S1333">
        <v>1.7180000000000001E-2</v>
      </c>
      <c r="T1333">
        <v>0.42165999999999998</v>
      </c>
      <c r="U1333">
        <v>3.9419999999999997E-2</v>
      </c>
      <c r="V1333">
        <v>28.999269999999999</v>
      </c>
      <c r="W1333" t="s">
        <v>9</v>
      </c>
      <c r="X1333">
        <v>189.364</v>
      </c>
      <c r="Y1333">
        <v>114.107</v>
      </c>
      <c r="Z1333">
        <v>38.847999999999999</v>
      </c>
      <c r="AA1333">
        <v>175.50700000000001</v>
      </c>
      <c r="AB1333">
        <v>46.375</v>
      </c>
      <c r="AC1333">
        <v>0</v>
      </c>
      <c r="AD1333">
        <v>5.3760000000000003</v>
      </c>
      <c r="AE1333">
        <v>0.41899999999999998</v>
      </c>
      <c r="AF1333">
        <v>4.5339999999999998</v>
      </c>
      <c r="AG1333">
        <v>0.77</v>
      </c>
      <c r="AH1333">
        <v>575.29999999999995</v>
      </c>
      <c r="AI1333" t="s">
        <v>21</v>
      </c>
      <c r="AJ1333">
        <v>9152.5</v>
      </c>
      <c r="AK1333">
        <v>1102.5</v>
      </c>
      <c r="AL1333">
        <v>4277.5</v>
      </c>
      <c r="AM1333">
        <v>27.5</v>
      </c>
      <c r="AN1333">
        <v>107.5</v>
      </c>
      <c r="AO1333">
        <v>0</v>
      </c>
      <c r="AP1333">
        <v>2.5</v>
      </c>
      <c r="AQ1333">
        <v>2.5</v>
      </c>
      <c r="AR1333">
        <v>37.5</v>
      </c>
      <c r="AS1333">
        <v>37.5</v>
      </c>
      <c r="AT1333">
        <v>14747.5</v>
      </c>
      <c r="AU1333" t="s">
        <v>33</v>
      </c>
    </row>
    <row r="1334" spans="1:47" x14ac:dyDescent="0.2">
      <c r="A1334">
        <v>1986</v>
      </c>
      <c r="B1334" t="s">
        <v>761</v>
      </c>
      <c r="C1334">
        <v>36</v>
      </c>
      <c r="D1334" t="s">
        <v>766</v>
      </c>
      <c r="G1334" t="str">
        <f t="shared" si="20"/>
        <v>HLY130136H111</v>
      </c>
      <c r="H1334">
        <v>71.242000000000004</v>
      </c>
      <c r="I1334">
        <v>-158.89099999999999</v>
      </c>
      <c r="J1334" s="3">
        <v>20130807</v>
      </c>
      <c r="K1334">
        <v>2013</v>
      </c>
      <c r="L1334">
        <v>2.0532400000000002</v>
      </c>
      <c r="M1334">
        <v>4.7638999999999996</v>
      </c>
      <c r="N1334">
        <v>0.11065999999999999</v>
      </c>
      <c r="O1334">
        <v>5.7345300000000003</v>
      </c>
      <c r="P1334">
        <v>0.13930999999999999</v>
      </c>
      <c r="Q1334">
        <v>0</v>
      </c>
      <c r="R1334">
        <v>11.749980000000001</v>
      </c>
      <c r="S1334">
        <v>0</v>
      </c>
      <c r="T1334">
        <v>0</v>
      </c>
      <c r="U1334">
        <v>0.69893000000000005</v>
      </c>
      <c r="V1334">
        <v>25.25055</v>
      </c>
      <c r="W1334" t="s">
        <v>15</v>
      </c>
      <c r="X1334">
        <v>31.484999999999999</v>
      </c>
      <c r="Y1334">
        <v>164.78200000000001</v>
      </c>
      <c r="Z1334">
        <v>1.456</v>
      </c>
      <c r="AA1334">
        <v>127.434</v>
      </c>
      <c r="AB1334">
        <v>9.9510000000000005</v>
      </c>
      <c r="AC1334">
        <v>0</v>
      </c>
      <c r="AD1334">
        <v>211.90299999999999</v>
      </c>
      <c r="AE1334">
        <v>0</v>
      </c>
      <c r="AF1334">
        <v>0</v>
      </c>
      <c r="AG1334">
        <v>55.209000000000003</v>
      </c>
      <c r="AH1334">
        <v>602.22</v>
      </c>
      <c r="AI1334" t="s">
        <v>27</v>
      </c>
      <c r="AJ1334">
        <v>517.5</v>
      </c>
      <c r="AK1334">
        <v>425</v>
      </c>
      <c r="AL1334">
        <v>235</v>
      </c>
      <c r="AM1334">
        <v>90</v>
      </c>
      <c r="AN1334">
        <v>30</v>
      </c>
      <c r="AO1334">
        <v>0</v>
      </c>
      <c r="AP1334">
        <v>7.5</v>
      </c>
      <c r="AQ1334">
        <v>0</v>
      </c>
      <c r="AR1334">
        <v>0</v>
      </c>
      <c r="AS1334">
        <v>7.5</v>
      </c>
      <c r="AT1334">
        <v>1312.5</v>
      </c>
      <c r="AU1334" t="s">
        <v>33</v>
      </c>
    </row>
    <row r="1335" spans="1:47" x14ac:dyDescent="0.2">
      <c r="A1335">
        <v>1987</v>
      </c>
      <c r="B1335" t="s">
        <v>761</v>
      </c>
      <c r="C1335">
        <v>37</v>
      </c>
      <c r="D1335" t="s">
        <v>767</v>
      </c>
      <c r="G1335" t="str">
        <f t="shared" si="20"/>
        <v>HLY130137H109</v>
      </c>
      <c r="H1335">
        <v>71.5</v>
      </c>
      <c r="I1335">
        <v>-159.512</v>
      </c>
      <c r="J1335" s="3">
        <v>20130807</v>
      </c>
      <c r="K1335">
        <v>2013</v>
      </c>
      <c r="L1335">
        <v>1.5146299999999999</v>
      </c>
      <c r="M1335">
        <v>14.35065</v>
      </c>
      <c r="N1335">
        <v>1.2168099999999999</v>
      </c>
      <c r="O1335">
        <v>0</v>
      </c>
      <c r="P1335">
        <v>0.10023</v>
      </c>
      <c r="Q1335">
        <v>0</v>
      </c>
      <c r="R1335">
        <v>3.8190000000000002E-2</v>
      </c>
      <c r="S1335">
        <v>2.5500000000000002E-3</v>
      </c>
      <c r="T1335">
        <v>0.22040999999999999</v>
      </c>
      <c r="U1335">
        <v>6.3869999999999996E-2</v>
      </c>
      <c r="V1335">
        <v>17.507339999999999</v>
      </c>
      <c r="W1335" t="s">
        <v>10</v>
      </c>
      <c r="X1335">
        <v>21.213999999999999</v>
      </c>
      <c r="Y1335">
        <v>413.75599999999997</v>
      </c>
      <c r="Z1335">
        <v>16.663</v>
      </c>
      <c r="AA1335">
        <v>0</v>
      </c>
      <c r="AB1335">
        <v>7.1589999999999998</v>
      </c>
      <c r="AC1335">
        <v>0</v>
      </c>
      <c r="AD1335">
        <v>0.626</v>
      </c>
      <c r="AE1335">
        <v>0.182</v>
      </c>
      <c r="AF1335">
        <v>2.37</v>
      </c>
      <c r="AG1335">
        <v>1.6319999999999999</v>
      </c>
      <c r="AH1335">
        <v>463.60199999999998</v>
      </c>
      <c r="AI1335" t="s">
        <v>22</v>
      </c>
      <c r="AJ1335">
        <v>810</v>
      </c>
      <c r="AK1335">
        <v>725</v>
      </c>
      <c r="AL1335">
        <v>107.5</v>
      </c>
      <c r="AM1335">
        <v>0</v>
      </c>
      <c r="AN1335">
        <v>10</v>
      </c>
      <c r="AO1335">
        <v>0</v>
      </c>
      <c r="AP1335">
        <v>5</v>
      </c>
      <c r="AQ1335">
        <v>2.5</v>
      </c>
      <c r="AR1335">
        <v>42.5</v>
      </c>
      <c r="AS1335">
        <v>65</v>
      </c>
      <c r="AT1335">
        <v>1767.5</v>
      </c>
      <c r="AU1335" t="s">
        <v>33</v>
      </c>
    </row>
    <row r="1336" spans="1:47" x14ac:dyDescent="0.2">
      <c r="A1336">
        <v>1988</v>
      </c>
      <c r="B1336" t="s">
        <v>761</v>
      </c>
      <c r="C1336">
        <v>38</v>
      </c>
      <c r="D1336" t="s">
        <v>768</v>
      </c>
      <c r="G1336" t="str">
        <f t="shared" si="20"/>
        <v>HLY130138H108</v>
      </c>
      <c r="H1336">
        <v>71.611000000000004</v>
      </c>
      <c r="I1336">
        <v>-159.37799999999999</v>
      </c>
      <c r="J1336" s="3">
        <v>20130807</v>
      </c>
      <c r="K1336">
        <v>2013</v>
      </c>
      <c r="L1336">
        <v>1.21739</v>
      </c>
      <c r="M1336">
        <v>12.339790000000001</v>
      </c>
      <c r="N1336">
        <v>5.892E-2</v>
      </c>
      <c r="O1336">
        <v>8.0999999999999996E-4</v>
      </c>
      <c r="P1336">
        <v>0.2319</v>
      </c>
      <c r="Q1336">
        <v>0</v>
      </c>
      <c r="R1336">
        <v>2.7507600000000001</v>
      </c>
      <c r="S1336">
        <v>0</v>
      </c>
      <c r="T1336">
        <v>7.8490000000000004E-2</v>
      </c>
      <c r="U1336">
        <v>0.70833000000000002</v>
      </c>
      <c r="V1336">
        <v>17.386389999999999</v>
      </c>
      <c r="W1336" t="s">
        <v>10</v>
      </c>
      <c r="X1336">
        <v>19.998000000000001</v>
      </c>
      <c r="Y1336">
        <v>345.92399999999998</v>
      </c>
      <c r="Z1336">
        <v>0.85</v>
      </c>
      <c r="AA1336">
        <v>1.7999999999999999E-2</v>
      </c>
      <c r="AB1336">
        <v>16.564</v>
      </c>
      <c r="AC1336">
        <v>0</v>
      </c>
      <c r="AD1336">
        <v>65.998999999999995</v>
      </c>
      <c r="AE1336">
        <v>0</v>
      </c>
      <c r="AF1336">
        <v>0.84399999999999997</v>
      </c>
      <c r="AG1336">
        <v>15.804</v>
      </c>
      <c r="AH1336">
        <v>466.00099999999998</v>
      </c>
      <c r="AI1336" t="s">
        <v>22</v>
      </c>
      <c r="AJ1336">
        <v>1147.5</v>
      </c>
      <c r="AK1336">
        <v>1122.5</v>
      </c>
      <c r="AL1336">
        <v>52.5</v>
      </c>
      <c r="AM1336">
        <v>5</v>
      </c>
      <c r="AN1336">
        <v>5</v>
      </c>
      <c r="AO1336">
        <v>0</v>
      </c>
      <c r="AP1336">
        <v>2.5</v>
      </c>
      <c r="AQ1336">
        <v>0</v>
      </c>
      <c r="AR1336">
        <v>12.5</v>
      </c>
      <c r="AS1336">
        <v>77.5</v>
      </c>
      <c r="AT1336">
        <v>2425</v>
      </c>
      <c r="AU1336" t="s">
        <v>33</v>
      </c>
    </row>
    <row r="1337" spans="1:47" x14ac:dyDescent="0.2">
      <c r="A1337">
        <v>1989</v>
      </c>
      <c r="B1337" t="s">
        <v>761</v>
      </c>
      <c r="C1337">
        <v>39</v>
      </c>
      <c r="D1337" t="s">
        <v>371</v>
      </c>
      <c r="G1337" t="str">
        <f t="shared" si="20"/>
        <v>HLY130139BarC1</v>
      </c>
      <c r="H1337">
        <v>71.25</v>
      </c>
      <c r="I1337">
        <v>-157.16900000000001</v>
      </c>
      <c r="J1337" s="3">
        <v>20130808</v>
      </c>
      <c r="K1337">
        <v>2013</v>
      </c>
      <c r="L1337">
        <v>3.2913899999999998</v>
      </c>
      <c r="M1337">
        <v>0.10133</v>
      </c>
      <c r="N1337">
        <v>5.5254399999999997</v>
      </c>
      <c r="O1337">
        <v>9.5990000000000006E-2</v>
      </c>
      <c r="P1337">
        <v>0</v>
      </c>
      <c r="Q1337">
        <v>0</v>
      </c>
      <c r="R1337">
        <v>0</v>
      </c>
      <c r="S1337">
        <v>1.8610000000000002E-2</v>
      </c>
      <c r="T1337">
        <v>1.256E-2</v>
      </c>
      <c r="U1337">
        <v>0</v>
      </c>
      <c r="V1337">
        <v>9.0453200000000002</v>
      </c>
      <c r="W1337" t="s">
        <v>11</v>
      </c>
      <c r="X1337">
        <v>45.698</v>
      </c>
      <c r="Y1337">
        <v>3.8170000000000002</v>
      </c>
      <c r="Z1337">
        <v>79.484999999999999</v>
      </c>
      <c r="AA1337">
        <v>2.133</v>
      </c>
      <c r="AB1337">
        <v>0</v>
      </c>
      <c r="AC1337">
        <v>0</v>
      </c>
      <c r="AD1337">
        <v>0</v>
      </c>
      <c r="AE1337">
        <v>0.45400000000000001</v>
      </c>
      <c r="AF1337">
        <v>0.13500000000000001</v>
      </c>
      <c r="AG1337">
        <v>0</v>
      </c>
      <c r="AH1337">
        <v>131.72200000000001</v>
      </c>
      <c r="AI1337" t="s">
        <v>23</v>
      </c>
      <c r="AJ1337">
        <v>1180</v>
      </c>
      <c r="AK1337">
        <v>780</v>
      </c>
      <c r="AL1337">
        <v>3190</v>
      </c>
      <c r="AM1337">
        <v>30</v>
      </c>
      <c r="AN1337">
        <v>0</v>
      </c>
      <c r="AO1337">
        <v>0</v>
      </c>
      <c r="AP1337">
        <v>0</v>
      </c>
      <c r="AQ1337">
        <v>10</v>
      </c>
      <c r="AR1337">
        <v>80</v>
      </c>
      <c r="AS1337">
        <v>0</v>
      </c>
      <c r="AT1337">
        <v>5270</v>
      </c>
      <c r="AU1337" t="s">
        <v>35</v>
      </c>
    </row>
    <row r="1338" spans="1:47" x14ac:dyDescent="0.2">
      <c r="A1338">
        <v>1990</v>
      </c>
      <c r="B1338" t="s">
        <v>761</v>
      </c>
      <c r="C1338">
        <v>40</v>
      </c>
      <c r="D1338" t="s">
        <v>372</v>
      </c>
      <c r="G1338" t="str">
        <f t="shared" si="20"/>
        <v>HLY130140BarC2</v>
      </c>
      <c r="H1338">
        <v>71.290000000000006</v>
      </c>
      <c r="I1338">
        <v>-157.24799999999999</v>
      </c>
      <c r="J1338" s="3">
        <v>20130808</v>
      </c>
      <c r="K1338">
        <v>2013</v>
      </c>
      <c r="L1338">
        <v>1.74766</v>
      </c>
      <c r="M1338">
        <v>9.7512899999999991</v>
      </c>
      <c r="N1338">
        <v>0.25808999999999999</v>
      </c>
      <c r="O1338">
        <v>0.53586</v>
      </c>
      <c r="P1338">
        <v>2.2000000000000001E-4</v>
      </c>
      <c r="Q1338">
        <v>0</v>
      </c>
      <c r="R1338">
        <v>0</v>
      </c>
      <c r="S1338">
        <v>5.3099999999999996E-3</v>
      </c>
      <c r="T1338">
        <v>5.7570000000000003E-2</v>
      </c>
      <c r="U1338">
        <v>1.5259999999999999E-2</v>
      </c>
      <c r="V1338">
        <v>12.371259999999999</v>
      </c>
      <c r="W1338" t="s">
        <v>10</v>
      </c>
      <c r="X1338">
        <v>27.847000000000001</v>
      </c>
      <c r="Y1338">
        <v>265.959</v>
      </c>
      <c r="Z1338">
        <v>3.7440000000000002</v>
      </c>
      <c r="AA1338">
        <v>11.907999999999999</v>
      </c>
      <c r="AB1338">
        <v>1.6E-2</v>
      </c>
      <c r="AC1338">
        <v>0</v>
      </c>
      <c r="AD1338">
        <v>0</v>
      </c>
      <c r="AE1338">
        <v>0.379</v>
      </c>
      <c r="AF1338">
        <v>0.61899999999999999</v>
      </c>
      <c r="AG1338">
        <v>0.33900000000000002</v>
      </c>
      <c r="AH1338">
        <v>310.81099999999998</v>
      </c>
      <c r="AI1338" t="s">
        <v>22</v>
      </c>
      <c r="AJ1338">
        <v>2670</v>
      </c>
      <c r="AK1338">
        <v>2540</v>
      </c>
      <c r="AL1338">
        <v>100</v>
      </c>
      <c r="AM1338">
        <v>10</v>
      </c>
      <c r="AN1338">
        <v>10</v>
      </c>
      <c r="AO1338">
        <v>0</v>
      </c>
      <c r="AP1338">
        <v>0</v>
      </c>
      <c r="AQ1338">
        <v>30</v>
      </c>
      <c r="AR1338">
        <v>40</v>
      </c>
      <c r="AS1338">
        <v>30</v>
      </c>
      <c r="AT1338">
        <v>5430</v>
      </c>
      <c r="AU1338" t="s">
        <v>33</v>
      </c>
    </row>
    <row r="1339" spans="1:47" x14ac:dyDescent="0.2">
      <c r="A1339">
        <v>1991</v>
      </c>
      <c r="B1339" t="s">
        <v>761</v>
      </c>
      <c r="C1339">
        <v>41</v>
      </c>
      <c r="D1339" t="s">
        <v>373</v>
      </c>
      <c r="G1339" t="str">
        <f t="shared" si="20"/>
        <v>HLY130141BarC3</v>
      </c>
      <c r="H1339">
        <v>71.33</v>
      </c>
      <c r="I1339">
        <v>-157.32900000000001</v>
      </c>
      <c r="J1339" s="3">
        <v>20130808</v>
      </c>
      <c r="K1339">
        <v>2013</v>
      </c>
      <c r="L1339">
        <v>0.77729000000000004</v>
      </c>
      <c r="M1339">
        <v>1.50119</v>
      </c>
      <c r="N1339">
        <v>1.0445899999999999</v>
      </c>
      <c r="O1339">
        <v>2.606E-2</v>
      </c>
      <c r="P1339">
        <v>0.67962</v>
      </c>
      <c r="Q1339">
        <v>0</v>
      </c>
      <c r="R1339">
        <v>0</v>
      </c>
      <c r="S1339">
        <v>0</v>
      </c>
      <c r="T1339">
        <v>1.8509999999999999E-2</v>
      </c>
      <c r="U1339">
        <v>14.575609999999999</v>
      </c>
      <c r="V1339">
        <v>18.622869999999999</v>
      </c>
      <c r="W1339" t="s">
        <v>18</v>
      </c>
      <c r="X1339">
        <v>10.657</v>
      </c>
      <c r="Y1339">
        <v>51.707999999999998</v>
      </c>
      <c r="Z1339">
        <v>14.084</v>
      </c>
      <c r="AA1339">
        <v>0.57899999999999996</v>
      </c>
      <c r="AB1339">
        <v>48.543999999999997</v>
      </c>
      <c r="AC1339">
        <v>0</v>
      </c>
      <c r="AD1339">
        <v>0</v>
      </c>
      <c r="AE1339">
        <v>0</v>
      </c>
      <c r="AF1339">
        <v>0.19900000000000001</v>
      </c>
      <c r="AG1339">
        <v>628.35599999999999</v>
      </c>
      <c r="AH1339">
        <v>754.12699999999995</v>
      </c>
      <c r="AI1339" t="s">
        <v>30</v>
      </c>
      <c r="AJ1339">
        <v>810</v>
      </c>
      <c r="AK1339">
        <v>160</v>
      </c>
      <c r="AL1339">
        <v>2380</v>
      </c>
      <c r="AM1339">
        <v>20</v>
      </c>
      <c r="AN1339">
        <v>70</v>
      </c>
      <c r="AO1339">
        <v>0</v>
      </c>
      <c r="AP1339">
        <v>0</v>
      </c>
      <c r="AQ1339">
        <v>0</v>
      </c>
      <c r="AR1339">
        <v>70</v>
      </c>
      <c r="AS1339">
        <v>1560</v>
      </c>
      <c r="AT1339">
        <v>5070</v>
      </c>
      <c r="AU1339" t="s">
        <v>35</v>
      </c>
    </row>
    <row r="1340" spans="1:47" x14ac:dyDescent="0.2">
      <c r="A1340">
        <v>1992</v>
      </c>
      <c r="B1340" t="s">
        <v>761</v>
      </c>
      <c r="C1340">
        <v>42</v>
      </c>
      <c r="D1340" t="s">
        <v>374</v>
      </c>
      <c r="G1340" t="str">
        <f t="shared" si="20"/>
        <v>HLY130142BarC4</v>
      </c>
      <c r="H1340">
        <v>71.37</v>
      </c>
      <c r="I1340">
        <v>-157.41900000000001</v>
      </c>
      <c r="J1340" s="3">
        <v>20130808</v>
      </c>
      <c r="K1340">
        <v>2013</v>
      </c>
      <c r="L1340">
        <v>5.81914</v>
      </c>
      <c r="M1340">
        <v>14.98485</v>
      </c>
      <c r="N1340">
        <v>1.80121</v>
      </c>
      <c r="O1340">
        <v>6.5790000000000001E-2</v>
      </c>
      <c r="P1340">
        <v>0.49718000000000001</v>
      </c>
      <c r="Q1340">
        <v>0</v>
      </c>
      <c r="R1340">
        <v>7.1986100000000004</v>
      </c>
      <c r="S1340">
        <v>8.9389999999999997E-2</v>
      </c>
      <c r="T1340">
        <v>0</v>
      </c>
      <c r="U1340">
        <v>14.701090000000001</v>
      </c>
      <c r="V1340">
        <v>45.157260000000001</v>
      </c>
      <c r="W1340" t="s">
        <v>10</v>
      </c>
      <c r="X1340">
        <v>95.76</v>
      </c>
      <c r="Y1340">
        <v>574.35</v>
      </c>
      <c r="Z1340">
        <v>23.45</v>
      </c>
      <c r="AA1340">
        <v>1.462</v>
      </c>
      <c r="AB1340">
        <v>35.512999999999998</v>
      </c>
      <c r="AC1340">
        <v>0</v>
      </c>
      <c r="AD1340">
        <v>118.01</v>
      </c>
      <c r="AE1340">
        <v>6.3849999999999998</v>
      </c>
      <c r="AF1340">
        <v>0</v>
      </c>
      <c r="AG1340">
        <v>704.423</v>
      </c>
      <c r="AH1340">
        <v>1559.3530000000001</v>
      </c>
      <c r="AI1340" t="s">
        <v>30</v>
      </c>
      <c r="AJ1340">
        <v>770</v>
      </c>
      <c r="AK1340">
        <v>1940</v>
      </c>
      <c r="AL1340">
        <v>1600</v>
      </c>
      <c r="AM1340">
        <v>30</v>
      </c>
      <c r="AN1340">
        <v>40</v>
      </c>
      <c r="AO1340">
        <v>0</v>
      </c>
      <c r="AP1340">
        <v>20</v>
      </c>
      <c r="AQ1340">
        <v>10</v>
      </c>
      <c r="AR1340">
        <v>0</v>
      </c>
      <c r="AS1340">
        <v>40</v>
      </c>
      <c r="AT1340">
        <v>4450</v>
      </c>
      <c r="AU1340" t="s">
        <v>34</v>
      </c>
    </row>
    <row r="1341" spans="1:47" x14ac:dyDescent="0.2">
      <c r="A1341">
        <v>1993</v>
      </c>
      <c r="B1341" t="s">
        <v>761</v>
      </c>
      <c r="C1341">
        <v>43</v>
      </c>
      <c r="D1341" t="s">
        <v>375</v>
      </c>
      <c r="G1341" t="str">
        <f t="shared" si="20"/>
        <v>HLY130143BarC5</v>
      </c>
      <c r="H1341">
        <v>71.412999999999997</v>
      </c>
      <c r="I1341">
        <v>-157.49799999999999</v>
      </c>
      <c r="J1341" s="3">
        <v>20130808</v>
      </c>
      <c r="K1341">
        <v>2013</v>
      </c>
      <c r="L1341">
        <v>7.8936099999999998</v>
      </c>
      <c r="M1341">
        <v>102.26907</v>
      </c>
      <c r="N1341">
        <v>2.77799</v>
      </c>
      <c r="O1341">
        <v>33.027700000000003</v>
      </c>
      <c r="P1341">
        <v>2.5321500000000001</v>
      </c>
      <c r="Q1341">
        <v>8.0000000000000007E-5</v>
      </c>
      <c r="R1341">
        <v>0.24540000000000001</v>
      </c>
      <c r="S1341">
        <v>0.19786999999999999</v>
      </c>
      <c r="T1341">
        <v>0.25407999999999997</v>
      </c>
      <c r="U1341">
        <v>1.5379400000000001</v>
      </c>
      <c r="V1341">
        <v>150.73589000000001</v>
      </c>
      <c r="W1341" t="s">
        <v>10</v>
      </c>
      <c r="X1341">
        <v>126.172</v>
      </c>
      <c r="Y1341">
        <v>3599.5720000000001</v>
      </c>
      <c r="Z1341">
        <v>37.543999999999997</v>
      </c>
      <c r="AA1341">
        <v>733.94899999999996</v>
      </c>
      <c r="AB1341">
        <v>180.86799999999999</v>
      </c>
      <c r="AC1341">
        <v>7.0000000000000001E-3</v>
      </c>
      <c r="AD1341">
        <v>4.0229999999999997</v>
      </c>
      <c r="AE1341">
        <v>13.916</v>
      </c>
      <c r="AF1341">
        <v>2.7320000000000002</v>
      </c>
      <c r="AG1341">
        <v>56.795999999999999</v>
      </c>
      <c r="AH1341">
        <v>4755.5789999999997</v>
      </c>
      <c r="AI1341" t="s">
        <v>22</v>
      </c>
      <c r="AJ1341">
        <v>8525</v>
      </c>
      <c r="AK1341">
        <v>6590</v>
      </c>
      <c r="AL1341">
        <v>7442.5</v>
      </c>
      <c r="AM1341">
        <v>1497.5</v>
      </c>
      <c r="AN1341">
        <v>262.5</v>
      </c>
      <c r="AO1341">
        <v>2.5</v>
      </c>
      <c r="AP1341">
        <v>0</v>
      </c>
      <c r="AQ1341">
        <v>10</v>
      </c>
      <c r="AR1341">
        <v>87.5</v>
      </c>
      <c r="AS1341">
        <v>95</v>
      </c>
      <c r="AT1341">
        <v>24512.5</v>
      </c>
      <c r="AU1341" t="s">
        <v>33</v>
      </c>
    </row>
    <row r="1342" spans="1:47" x14ac:dyDescent="0.2">
      <c r="A1342">
        <v>1994</v>
      </c>
      <c r="B1342" t="s">
        <v>761</v>
      </c>
      <c r="C1342">
        <v>44</v>
      </c>
      <c r="D1342" t="s">
        <v>376</v>
      </c>
      <c r="G1342" t="str">
        <f t="shared" si="20"/>
        <v>HLY130144BarC6</v>
      </c>
      <c r="H1342">
        <v>71.459999999999994</v>
      </c>
      <c r="I1342">
        <v>-157.583</v>
      </c>
      <c r="J1342" s="3">
        <v>20130808</v>
      </c>
      <c r="K1342">
        <v>2013</v>
      </c>
      <c r="L1342">
        <v>37.730089999999997</v>
      </c>
      <c r="M1342">
        <v>3.6295799999999998</v>
      </c>
      <c r="N1342">
        <v>4.2176299999999998</v>
      </c>
      <c r="O1342">
        <v>1.6920000000000001E-2</v>
      </c>
      <c r="P1342">
        <v>0.31635999999999997</v>
      </c>
      <c r="Q1342">
        <v>0</v>
      </c>
      <c r="R1342">
        <v>1.65E-3</v>
      </c>
      <c r="S1342">
        <v>1.46E-2</v>
      </c>
      <c r="T1342">
        <v>2.0376300000000001</v>
      </c>
      <c r="U1342">
        <v>0.13428000000000001</v>
      </c>
      <c r="V1342">
        <v>48.098739999999999</v>
      </c>
      <c r="W1342" t="s">
        <v>9</v>
      </c>
      <c r="X1342">
        <v>538.27800000000002</v>
      </c>
      <c r="Y1342">
        <v>213.727</v>
      </c>
      <c r="Z1342">
        <v>59.747</v>
      </c>
      <c r="AA1342">
        <v>0.376</v>
      </c>
      <c r="AB1342">
        <v>22.597000000000001</v>
      </c>
      <c r="AC1342">
        <v>0</v>
      </c>
      <c r="AD1342">
        <v>2.7E-2</v>
      </c>
      <c r="AE1342">
        <v>0.35599999999999998</v>
      </c>
      <c r="AF1342">
        <v>21.91</v>
      </c>
      <c r="AG1342">
        <v>5.1449999999999996</v>
      </c>
      <c r="AH1342">
        <v>862.16300000000001</v>
      </c>
      <c r="AI1342" t="s">
        <v>21</v>
      </c>
      <c r="AJ1342">
        <v>20400</v>
      </c>
      <c r="AK1342">
        <v>480</v>
      </c>
      <c r="AL1342">
        <v>10960</v>
      </c>
      <c r="AM1342">
        <v>70</v>
      </c>
      <c r="AN1342">
        <v>40</v>
      </c>
      <c r="AO1342">
        <v>0</v>
      </c>
      <c r="AP1342">
        <v>10</v>
      </c>
      <c r="AQ1342">
        <v>10</v>
      </c>
      <c r="AR1342">
        <v>30</v>
      </c>
      <c r="AS1342">
        <v>120</v>
      </c>
      <c r="AT1342">
        <v>32120</v>
      </c>
      <c r="AU1342" t="s">
        <v>33</v>
      </c>
    </row>
    <row r="1343" spans="1:47" x14ac:dyDescent="0.2">
      <c r="A1343">
        <v>1995</v>
      </c>
      <c r="B1343" t="s">
        <v>761</v>
      </c>
      <c r="C1343">
        <v>45</v>
      </c>
      <c r="D1343" t="s">
        <v>377</v>
      </c>
      <c r="G1343" t="str">
        <f t="shared" si="20"/>
        <v>HLY130145BarC7</v>
      </c>
      <c r="H1343">
        <v>71.5</v>
      </c>
      <c r="I1343">
        <v>-157.66</v>
      </c>
      <c r="J1343" s="3">
        <v>20130808</v>
      </c>
      <c r="K1343">
        <v>2013</v>
      </c>
      <c r="L1343">
        <v>13.109019999999999</v>
      </c>
      <c r="M1343">
        <v>6.37303</v>
      </c>
      <c r="N1343">
        <v>2.3010600000000001</v>
      </c>
      <c r="O1343">
        <v>26.937270000000002</v>
      </c>
      <c r="P1343">
        <v>0.62614000000000003</v>
      </c>
      <c r="Q1343">
        <v>0</v>
      </c>
      <c r="R1343">
        <v>0</v>
      </c>
      <c r="S1343">
        <v>0</v>
      </c>
      <c r="T1343">
        <v>0</v>
      </c>
      <c r="U1343">
        <v>1.9477</v>
      </c>
      <c r="V1343">
        <v>51.294220000000003</v>
      </c>
      <c r="W1343" t="s">
        <v>12</v>
      </c>
      <c r="X1343">
        <v>184.82900000000001</v>
      </c>
      <c r="Y1343">
        <v>251.81700000000001</v>
      </c>
      <c r="Z1343">
        <v>31.805</v>
      </c>
      <c r="AA1343">
        <v>598.60599999999999</v>
      </c>
      <c r="AB1343">
        <v>44.723999999999997</v>
      </c>
      <c r="AC1343">
        <v>0</v>
      </c>
      <c r="AD1343">
        <v>0</v>
      </c>
      <c r="AE1343">
        <v>0</v>
      </c>
      <c r="AF1343">
        <v>0</v>
      </c>
      <c r="AG1343">
        <v>94.647999999999996</v>
      </c>
      <c r="AH1343">
        <v>1206.4290000000001</v>
      </c>
      <c r="AI1343" t="s">
        <v>24</v>
      </c>
      <c r="AJ1343">
        <v>9230</v>
      </c>
      <c r="AK1343">
        <v>360</v>
      </c>
      <c r="AL1343">
        <v>3550</v>
      </c>
      <c r="AM1343">
        <v>130</v>
      </c>
      <c r="AN1343">
        <v>100</v>
      </c>
      <c r="AO1343">
        <v>0</v>
      </c>
      <c r="AP1343">
        <v>0</v>
      </c>
      <c r="AQ1343">
        <v>0</v>
      </c>
      <c r="AR1343">
        <v>0</v>
      </c>
      <c r="AS1343">
        <v>70</v>
      </c>
      <c r="AT1343">
        <v>13440</v>
      </c>
      <c r="AU1343" t="s">
        <v>33</v>
      </c>
    </row>
    <row r="1344" spans="1:47" x14ac:dyDescent="0.2">
      <c r="A1344">
        <v>1996</v>
      </c>
      <c r="B1344" t="s">
        <v>761</v>
      </c>
      <c r="C1344">
        <v>46</v>
      </c>
      <c r="D1344" t="s">
        <v>379</v>
      </c>
      <c r="G1344" t="str">
        <f t="shared" si="20"/>
        <v>HLY130146BarC8</v>
      </c>
      <c r="H1344">
        <v>71.540000000000006</v>
      </c>
      <c r="I1344">
        <v>-157.749</v>
      </c>
      <c r="J1344" s="3">
        <v>20130808</v>
      </c>
      <c r="K1344">
        <v>2013</v>
      </c>
      <c r="L1344">
        <v>2.0971000000000002</v>
      </c>
      <c r="M1344">
        <v>1.4102399999999999</v>
      </c>
      <c r="N1344">
        <v>0.34982999999999997</v>
      </c>
      <c r="O1344">
        <v>3.12052</v>
      </c>
      <c r="P1344">
        <v>0.2084</v>
      </c>
      <c r="Q1344">
        <v>0</v>
      </c>
      <c r="R1344">
        <v>0</v>
      </c>
      <c r="S1344">
        <v>0</v>
      </c>
      <c r="T1344">
        <v>2.8639999999999999E-2</v>
      </c>
      <c r="U1344">
        <v>0.25659999999999999</v>
      </c>
      <c r="V1344">
        <v>7.47133</v>
      </c>
      <c r="W1344" t="s">
        <v>12</v>
      </c>
      <c r="X1344">
        <v>30.16</v>
      </c>
      <c r="Y1344">
        <v>63.847000000000001</v>
      </c>
      <c r="Z1344">
        <v>4.4160000000000004</v>
      </c>
      <c r="AA1344">
        <v>69.344999999999999</v>
      </c>
      <c r="AB1344">
        <v>14.885999999999999</v>
      </c>
      <c r="AC1344">
        <v>0</v>
      </c>
      <c r="AD1344">
        <v>0</v>
      </c>
      <c r="AE1344">
        <v>0</v>
      </c>
      <c r="AF1344">
        <v>0.308</v>
      </c>
      <c r="AG1344">
        <v>13.146000000000001</v>
      </c>
      <c r="AH1344">
        <v>196.108</v>
      </c>
      <c r="AI1344" t="s">
        <v>24</v>
      </c>
      <c r="AJ1344">
        <v>2600</v>
      </c>
      <c r="AK1344">
        <v>470</v>
      </c>
      <c r="AL1344">
        <v>650</v>
      </c>
      <c r="AM1344">
        <v>120</v>
      </c>
      <c r="AN1344">
        <v>40</v>
      </c>
      <c r="AO1344">
        <v>0</v>
      </c>
      <c r="AP1344">
        <v>0</v>
      </c>
      <c r="AQ1344">
        <v>0</v>
      </c>
      <c r="AR1344">
        <v>30</v>
      </c>
      <c r="AS1344">
        <v>130</v>
      </c>
      <c r="AT1344">
        <v>4040</v>
      </c>
      <c r="AU1344" t="s">
        <v>33</v>
      </c>
    </row>
    <row r="1345" spans="1:47" x14ac:dyDescent="0.2">
      <c r="A1345">
        <v>1997</v>
      </c>
      <c r="B1345" t="s">
        <v>761</v>
      </c>
      <c r="C1345">
        <v>47</v>
      </c>
      <c r="D1345" t="s">
        <v>380</v>
      </c>
      <c r="G1345" t="str">
        <f t="shared" si="20"/>
        <v>HLY130147BarC9</v>
      </c>
      <c r="H1345">
        <v>71.58</v>
      </c>
      <c r="I1345">
        <v>-157.84100000000001</v>
      </c>
      <c r="J1345" s="3">
        <v>20130808</v>
      </c>
      <c r="K1345">
        <v>2013</v>
      </c>
      <c r="L1345">
        <v>0.54056999999999999</v>
      </c>
      <c r="M1345">
        <v>3.3936999999999999</v>
      </c>
      <c r="N1345">
        <v>8.3690000000000001E-2</v>
      </c>
      <c r="O1345">
        <v>8.4379999999999997E-2</v>
      </c>
      <c r="P1345">
        <v>0.24804000000000001</v>
      </c>
      <c r="Q1345">
        <v>0</v>
      </c>
      <c r="R1345">
        <v>0</v>
      </c>
      <c r="S1345">
        <v>0</v>
      </c>
      <c r="T1345">
        <v>4.129E-2</v>
      </c>
      <c r="U1345">
        <v>4.1950000000000001E-2</v>
      </c>
      <c r="V1345">
        <v>4.4336200000000003</v>
      </c>
      <c r="W1345" t="s">
        <v>10</v>
      </c>
      <c r="X1345">
        <v>7.157</v>
      </c>
      <c r="Y1345">
        <v>84.114000000000004</v>
      </c>
      <c r="Z1345">
        <v>1.143</v>
      </c>
      <c r="AA1345">
        <v>1.875</v>
      </c>
      <c r="AB1345">
        <v>17.716999999999999</v>
      </c>
      <c r="AC1345">
        <v>0</v>
      </c>
      <c r="AD1345">
        <v>0</v>
      </c>
      <c r="AE1345">
        <v>0</v>
      </c>
      <c r="AF1345">
        <v>0.44400000000000001</v>
      </c>
      <c r="AG1345">
        <v>0.85499999999999998</v>
      </c>
      <c r="AH1345">
        <v>113.30500000000001</v>
      </c>
      <c r="AI1345" t="s">
        <v>22</v>
      </c>
      <c r="AJ1345">
        <v>670</v>
      </c>
      <c r="AK1345">
        <v>640</v>
      </c>
      <c r="AL1345">
        <v>180</v>
      </c>
      <c r="AM1345">
        <v>20</v>
      </c>
      <c r="AN1345">
        <v>10</v>
      </c>
      <c r="AO1345">
        <v>0</v>
      </c>
      <c r="AP1345">
        <v>0</v>
      </c>
      <c r="AQ1345">
        <v>0</v>
      </c>
      <c r="AR1345">
        <v>20</v>
      </c>
      <c r="AS1345">
        <v>170</v>
      </c>
      <c r="AT1345">
        <v>1710</v>
      </c>
      <c r="AU1345" t="s">
        <v>33</v>
      </c>
    </row>
    <row r="1346" spans="1:47" x14ac:dyDescent="0.2">
      <c r="A1346">
        <v>1998</v>
      </c>
      <c r="B1346" t="s">
        <v>761</v>
      </c>
      <c r="C1346">
        <v>48</v>
      </c>
      <c r="D1346" t="s">
        <v>381</v>
      </c>
      <c r="G1346" t="str">
        <f t="shared" si="20"/>
        <v>HLY130148BarC10</v>
      </c>
      <c r="H1346">
        <v>71.62</v>
      </c>
      <c r="I1346">
        <v>-157.93100000000001</v>
      </c>
      <c r="J1346" s="3">
        <v>20130809</v>
      </c>
      <c r="K1346">
        <v>2013</v>
      </c>
      <c r="L1346">
        <v>0.95860999999999996</v>
      </c>
      <c r="M1346">
        <v>2.6305900000000002</v>
      </c>
      <c r="N1346">
        <v>3.0620000000000001E-2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1.7763899999999999</v>
      </c>
      <c r="U1346">
        <v>0.50214000000000003</v>
      </c>
      <c r="V1346">
        <v>5.8983499999999998</v>
      </c>
      <c r="W1346" t="s">
        <v>10</v>
      </c>
      <c r="X1346">
        <v>15.957000000000001</v>
      </c>
      <c r="Y1346">
        <v>93.605000000000004</v>
      </c>
      <c r="Z1346">
        <v>0.41799999999999998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19.100999999999999</v>
      </c>
      <c r="AG1346">
        <v>48.774000000000001</v>
      </c>
      <c r="AH1346">
        <v>177.85499999999999</v>
      </c>
      <c r="AI1346" t="s">
        <v>22</v>
      </c>
      <c r="AJ1346">
        <v>610</v>
      </c>
      <c r="AK1346">
        <v>1070</v>
      </c>
      <c r="AL1346">
        <v>100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30</v>
      </c>
      <c r="AS1346">
        <v>100</v>
      </c>
      <c r="AT1346">
        <v>1910</v>
      </c>
      <c r="AU1346" t="s">
        <v>34</v>
      </c>
    </row>
    <row r="1347" spans="1:47" x14ac:dyDescent="0.2">
      <c r="A1347">
        <v>1999</v>
      </c>
      <c r="B1347" t="s">
        <v>761</v>
      </c>
      <c r="C1347">
        <v>52</v>
      </c>
      <c r="D1347" t="s">
        <v>769</v>
      </c>
      <c r="G1347" t="str">
        <f t="shared" ref="G1347:G1410" si="21">CONCATENATE(B1347,C1347,D1347)</f>
        <v>HLY130152H29</v>
      </c>
      <c r="H1347">
        <v>71.929000000000002</v>
      </c>
      <c r="I1347">
        <v>-158.328</v>
      </c>
      <c r="J1347" s="3">
        <v>20130809</v>
      </c>
      <c r="K1347">
        <v>2013</v>
      </c>
      <c r="L1347">
        <v>1.6858299999999999</v>
      </c>
      <c r="M1347">
        <v>0.88229999999999997</v>
      </c>
      <c r="N1347">
        <v>0.53910000000000002</v>
      </c>
      <c r="O1347">
        <v>4.8919999999999998E-2</v>
      </c>
      <c r="P1347">
        <v>1.264E-2</v>
      </c>
      <c r="Q1347">
        <v>0</v>
      </c>
      <c r="R1347">
        <v>0</v>
      </c>
      <c r="S1347">
        <v>0</v>
      </c>
      <c r="T1347">
        <v>3.3500000000000001E-3</v>
      </c>
      <c r="U1347">
        <v>4.6299999999999996E-3</v>
      </c>
      <c r="V1347">
        <v>3.1767699999999999</v>
      </c>
      <c r="W1347" t="s">
        <v>9</v>
      </c>
      <c r="X1347">
        <v>23.800999999999998</v>
      </c>
      <c r="Y1347">
        <v>28.977</v>
      </c>
      <c r="Z1347">
        <v>7.8410000000000002</v>
      </c>
      <c r="AA1347">
        <v>1.087</v>
      </c>
      <c r="AB1347">
        <v>0.90300000000000002</v>
      </c>
      <c r="AC1347">
        <v>0</v>
      </c>
      <c r="AD1347">
        <v>0</v>
      </c>
      <c r="AE1347">
        <v>0</v>
      </c>
      <c r="AF1347">
        <v>3.5999999999999997E-2</v>
      </c>
      <c r="AG1347">
        <v>0.109</v>
      </c>
      <c r="AH1347">
        <v>62.753999999999998</v>
      </c>
      <c r="AI1347" t="s">
        <v>22</v>
      </c>
      <c r="AJ1347">
        <v>290</v>
      </c>
      <c r="AK1347">
        <v>487.5</v>
      </c>
      <c r="AL1347">
        <v>187.5</v>
      </c>
      <c r="AM1347">
        <v>2.5</v>
      </c>
      <c r="AN1347">
        <v>2.5</v>
      </c>
      <c r="AO1347">
        <v>0</v>
      </c>
      <c r="AP1347">
        <v>0</v>
      </c>
      <c r="AQ1347">
        <v>0</v>
      </c>
      <c r="AR1347">
        <v>5</v>
      </c>
      <c r="AS1347">
        <v>17.5</v>
      </c>
      <c r="AT1347">
        <v>992.5</v>
      </c>
      <c r="AU1347" t="s">
        <v>34</v>
      </c>
    </row>
    <row r="1348" spans="1:47" x14ac:dyDescent="0.2">
      <c r="A1348">
        <v>2000</v>
      </c>
      <c r="B1348" t="s">
        <v>761</v>
      </c>
      <c r="C1348">
        <v>53</v>
      </c>
      <c r="D1348" t="s">
        <v>370</v>
      </c>
      <c r="G1348" t="str">
        <f t="shared" si="21"/>
        <v>HLY130153H32</v>
      </c>
      <c r="H1348">
        <v>71.777000000000001</v>
      </c>
      <c r="I1348">
        <v>-159.00700000000001</v>
      </c>
      <c r="J1348" s="3">
        <v>20130809</v>
      </c>
      <c r="K1348">
        <v>2013</v>
      </c>
      <c r="L1348">
        <v>0.43719999999999998</v>
      </c>
      <c r="M1348">
        <v>7.6329000000000002</v>
      </c>
      <c r="N1348">
        <v>0.13327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0.37944</v>
      </c>
      <c r="U1348">
        <v>3.9300000000000002E-2</v>
      </c>
      <c r="V1348">
        <v>8.6221099999999993</v>
      </c>
      <c r="W1348" t="s">
        <v>10</v>
      </c>
      <c r="X1348">
        <v>6.8460000000000001</v>
      </c>
      <c r="Y1348">
        <v>264.31400000000002</v>
      </c>
      <c r="Z1348">
        <v>1.958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4.08</v>
      </c>
      <c r="AG1348">
        <v>0.86599999999999999</v>
      </c>
      <c r="AH1348">
        <v>278.06400000000002</v>
      </c>
      <c r="AI1348" t="s">
        <v>22</v>
      </c>
      <c r="AJ1348">
        <v>200</v>
      </c>
      <c r="AK1348">
        <v>740</v>
      </c>
      <c r="AL1348">
        <v>50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20</v>
      </c>
      <c r="AS1348">
        <v>20</v>
      </c>
      <c r="AT1348">
        <v>1030</v>
      </c>
      <c r="AU1348" t="s">
        <v>34</v>
      </c>
    </row>
    <row r="1349" spans="1:47" x14ac:dyDescent="0.2">
      <c r="A1349">
        <v>2001</v>
      </c>
      <c r="B1349" t="s">
        <v>761</v>
      </c>
      <c r="C1349">
        <v>54</v>
      </c>
      <c r="D1349" t="s">
        <v>770</v>
      </c>
      <c r="G1349" t="str">
        <f t="shared" si="21"/>
        <v>HLY130154H106</v>
      </c>
      <c r="H1349">
        <v>71.759</v>
      </c>
      <c r="I1349">
        <v>-158.60300000000001</v>
      </c>
      <c r="J1349" s="3">
        <v>20130809</v>
      </c>
      <c r="K1349">
        <v>2013</v>
      </c>
      <c r="L1349">
        <v>2.6480199999999998</v>
      </c>
      <c r="M1349">
        <v>13.721590000000001</v>
      </c>
      <c r="N1349">
        <v>1.06067</v>
      </c>
      <c r="O1349">
        <v>9.0179999999999996E-2</v>
      </c>
      <c r="P1349">
        <v>0</v>
      </c>
      <c r="Q1349">
        <v>0</v>
      </c>
      <c r="R1349">
        <v>0.22545000000000001</v>
      </c>
      <c r="S1349">
        <v>2.8700000000000002E-3</v>
      </c>
      <c r="T1349">
        <v>0.11718000000000001</v>
      </c>
      <c r="U1349">
        <v>0.31417</v>
      </c>
      <c r="V1349">
        <v>18.180129999999998</v>
      </c>
      <c r="W1349" t="s">
        <v>10</v>
      </c>
      <c r="X1349">
        <v>37.475999999999999</v>
      </c>
      <c r="Y1349">
        <v>394.37599999999998</v>
      </c>
      <c r="Z1349">
        <v>14.404</v>
      </c>
      <c r="AA1349">
        <v>2.004</v>
      </c>
      <c r="AB1349">
        <v>0</v>
      </c>
      <c r="AC1349">
        <v>0</v>
      </c>
      <c r="AD1349">
        <v>3.6960000000000002</v>
      </c>
      <c r="AE1349">
        <v>0.20499999999999999</v>
      </c>
      <c r="AF1349">
        <v>1.26</v>
      </c>
      <c r="AG1349">
        <v>6.4359999999999999</v>
      </c>
      <c r="AH1349">
        <v>459.85700000000003</v>
      </c>
      <c r="AI1349" t="s">
        <v>22</v>
      </c>
      <c r="AJ1349">
        <v>1097.5</v>
      </c>
      <c r="AK1349">
        <v>1382.5</v>
      </c>
      <c r="AL1349">
        <v>67.5</v>
      </c>
      <c r="AM1349">
        <v>7.5</v>
      </c>
      <c r="AN1349">
        <v>0</v>
      </c>
      <c r="AO1349">
        <v>0</v>
      </c>
      <c r="AP1349">
        <v>5</v>
      </c>
      <c r="AQ1349">
        <v>2.5</v>
      </c>
      <c r="AR1349">
        <v>20</v>
      </c>
      <c r="AS1349">
        <v>97.5</v>
      </c>
      <c r="AT1349">
        <v>2680</v>
      </c>
      <c r="AU1349" t="s">
        <v>34</v>
      </c>
    </row>
    <row r="1350" spans="1:47" x14ac:dyDescent="0.2">
      <c r="A1350">
        <v>2002</v>
      </c>
      <c r="B1350" t="s">
        <v>761</v>
      </c>
      <c r="C1350">
        <v>57</v>
      </c>
      <c r="D1350" t="s">
        <v>771</v>
      </c>
      <c r="G1350" t="str">
        <f t="shared" si="21"/>
        <v>HLY130157H107</v>
      </c>
      <c r="H1350">
        <v>71.691000000000003</v>
      </c>
      <c r="I1350">
        <v>-159.87200000000001</v>
      </c>
      <c r="J1350" s="3">
        <v>20130810</v>
      </c>
      <c r="K1350">
        <v>2013</v>
      </c>
      <c r="L1350">
        <v>0.73751999999999995</v>
      </c>
      <c r="M1350">
        <v>19.223610000000001</v>
      </c>
      <c r="N1350">
        <v>0.22319</v>
      </c>
      <c r="O1350">
        <v>9.0500000000000008E-3</v>
      </c>
      <c r="P1350">
        <v>1.4400000000000001E-3</v>
      </c>
      <c r="Q1350">
        <v>0</v>
      </c>
      <c r="R1350">
        <v>2.332E-2</v>
      </c>
      <c r="S1350">
        <v>2.0400000000000001E-3</v>
      </c>
      <c r="T1350">
        <v>0.15754000000000001</v>
      </c>
      <c r="U1350">
        <v>0.62311000000000005</v>
      </c>
      <c r="V1350">
        <v>21.000820000000001</v>
      </c>
      <c r="W1350" t="s">
        <v>10</v>
      </c>
      <c r="X1350">
        <v>11.387</v>
      </c>
      <c r="Y1350">
        <v>648.96</v>
      </c>
      <c r="Z1350">
        <v>3.2389999999999999</v>
      </c>
      <c r="AA1350">
        <v>0.20100000000000001</v>
      </c>
      <c r="AB1350">
        <v>0.10299999999999999</v>
      </c>
      <c r="AC1350">
        <v>0</v>
      </c>
      <c r="AD1350">
        <v>0.55800000000000005</v>
      </c>
      <c r="AE1350">
        <v>0.14199999999999999</v>
      </c>
      <c r="AF1350">
        <v>1.694</v>
      </c>
      <c r="AG1350">
        <v>13.212999999999999</v>
      </c>
      <c r="AH1350">
        <v>679.49699999999996</v>
      </c>
      <c r="AI1350" t="s">
        <v>22</v>
      </c>
      <c r="AJ1350">
        <v>580</v>
      </c>
      <c r="AK1350">
        <v>1555</v>
      </c>
      <c r="AL1350">
        <v>70</v>
      </c>
      <c r="AM1350">
        <v>5</v>
      </c>
      <c r="AN1350">
        <v>2.5</v>
      </c>
      <c r="AO1350">
        <v>0</v>
      </c>
      <c r="AP1350">
        <v>7.5</v>
      </c>
      <c r="AQ1350">
        <v>5</v>
      </c>
      <c r="AR1350">
        <v>25</v>
      </c>
      <c r="AS1350">
        <v>112.5</v>
      </c>
      <c r="AT1350">
        <v>2362.5</v>
      </c>
      <c r="AU1350" t="s">
        <v>34</v>
      </c>
    </row>
    <row r="1351" spans="1:47" x14ac:dyDescent="0.2">
      <c r="A1351">
        <v>2003</v>
      </c>
      <c r="B1351" t="s">
        <v>761</v>
      </c>
      <c r="C1351">
        <v>58</v>
      </c>
      <c r="D1351" t="s">
        <v>772</v>
      </c>
      <c r="G1351" t="str">
        <f t="shared" si="21"/>
        <v>HLY130158H33</v>
      </c>
      <c r="H1351">
        <v>71.822999999999993</v>
      </c>
      <c r="I1351">
        <v>-159.77199999999999</v>
      </c>
      <c r="J1351" s="3">
        <v>20130810</v>
      </c>
      <c r="K1351">
        <v>2013</v>
      </c>
      <c r="L1351">
        <v>1.08507</v>
      </c>
      <c r="M1351">
        <v>20.57733</v>
      </c>
      <c r="N1351">
        <v>0.30680000000000002</v>
      </c>
      <c r="O1351">
        <v>0</v>
      </c>
      <c r="P1351">
        <v>0.12402000000000001</v>
      </c>
      <c r="Q1351">
        <v>0</v>
      </c>
      <c r="R1351">
        <v>0.47567999999999999</v>
      </c>
      <c r="S1351">
        <v>6.5599999999999999E-3</v>
      </c>
      <c r="T1351">
        <v>0.44677</v>
      </c>
      <c r="U1351">
        <v>0.16019</v>
      </c>
      <c r="V1351">
        <v>23.18242</v>
      </c>
      <c r="W1351" t="s">
        <v>10</v>
      </c>
      <c r="X1351">
        <v>16.134</v>
      </c>
      <c r="Y1351">
        <v>568.07600000000002</v>
      </c>
      <c r="Z1351">
        <v>4.4269999999999996</v>
      </c>
      <c r="AA1351">
        <v>0</v>
      </c>
      <c r="AB1351">
        <v>8.859</v>
      </c>
      <c r="AC1351">
        <v>0</v>
      </c>
      <c r="AD1351">
        <v>7.798</v>
      </c>
      <c r="AE1351">
        <v>0.16</v>
      </c>
      <c r="AF1351">
        <v>4.8040000000000003</v>
      </c>
      <c r="AG1351">
        <v>5.2939999999999996</v>
      </c>
      <c r="AH1351">
        <v>615.55200000000002</v>
      </c>
      <c r="AI1351" t="s">
        <v>22</v>
      </c>
      <c r="AJ1351">
        <v>532.5</v>
      </c>
      <c r="AK1351">
        <v>1550</v>
      </c>
      <c r="AL1351">
        <v>125</v>
      </c>
      <c r="AM1351">
        <v>0</v>
      </c>
      <c r="AN1351">
        <v>12.5</v>
      </c>
      <c r="AO1351">
        <v>0</v>
      </c>
      <c r="AP1351">
        <v>10</v>
      </c>
      <c r="AQ1351">
        <v>2.5</v>
      </c>
      <c r="AR1351">
        <v>25</v>
      </c>
      <c r="AS1351">
        <v>52.5</v>
      </c>
      <c r="AT1351">
        <v>2310</v>
      </c>
      <c r="AU1351" t="s">
        <v>34</v>
      </c>
    </row>
    <row r="1352" spans="1:47" x14ac:dyDescent="0.2">
      <c r="A1352">
        <v>2004</v>
      </c>
      <c r="B1352" t="s">
        <v>761</v>
      </c>
      <c r="C1352">
        <v>63</v>
      </c>
      <c r="D1352" t="s">
        <v>773</v>
      </c>
      <c r="G1352" t="str">
        <f t="shared" si="21"/>
        <v>HLY130163H28</v>
      </c>
      <c r="H1352">
        <v>72.400999999999996</v>
      </c>
      <c r="I1352">
        <v>-159.346</v>
      </c>
      <c r="J1352" s="3">
        <v>20130811</v>
      </c>
      <c r="K1352">
        <v>2013</v>
      </c>
      <c r="L1352">
        <v>0.52224999999999999</v>
      </c>
      <c r="M1352">
        <v>3.64906</v>
      </c>
      <c r="N1352">
        <v>0.63810999999999996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6.4200000000000004E-3</v>
      </c>
      <c r="U1352">
        <v>4.5879999999999997E-2</v>
      </c>
      <c r="V1352">
        <v>4.86172</v>
      </c>
      <c r="W1352" t="s">
        <v>10</v>
      </c>
      <c r="X1352">
        <v>8.0280000000000005</v>
      </c>
      <c r="Y1352">
        <v>107.697</v>
      </c>
      <c r="Z1352">
        <v>8.7279999999999998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6.9000000000000006E-2</v>
      </c>
      <c r="AG1352">
        <v>1.0149999999999999</v>
      </c>
      <c r="AH1352">
        <v>125.53700000000001</v>
      </c>
      <c r="AI1352" t="s">
        <v>22</v>
      </c>
      <c r="AJ1352">
        <v>182.5</v>
      </c>
      <c r="AK1352">
        <v>702.5</v>
      </c>
      <c r="AL1352">
        <v>20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5</v>
      </c>
      <c r="AS1352">
        <v>22.5</v>
      </c>
      <c r="AT1352">
        <v>932.5</v>
      </c>
      <c r="AU1352" t="s">
        <v>34</v>
      </c>
    </row>
    <row r="1353" spans="1:47" x14ac:dyDescent="0.2">
      <c r="A1353">
        <v>2005</v>
      </c>
      <c r="B1353" t="s">
        <v>761</v>
      </c>
      <c r="C1353">
        <v>64</v>
      </c>
      <c r="D1353" t="s">
        <v>774</v>
      </c>
      <c r="G1353" t="str">
        <f t="shared" si="21"/>
        <v>HLY130164H15</v>
      </c>
      <c r="H1353">
        <v>72.445999999999998</v>
      </c>
      <c r="I1353">
        <v>-160.37899999999999</v>
      </c>
      <c r="J1353" s="3">
        <v>20130811</v>
      </c>
      <c r="K1353">
        <v>2013</v>
      </c>
      <c r="L1353">
        <v>3.6279300000000001</v>
      </c>
      <c r="M1353">
        <v>4.0491999999999999</v>
      </c>
      <c r="N1353">
        <v>0.15021999999999999</v>
      </c>
      <c r="O1353">
        <v>0.43164999999999998</v>
      </c>
      <c r="P1353">
        <v>5.1880000000000003E-2</v>
      </c>
      <c r="Q1353">
        <v>0</v>
      </c>
      <c r="R1353">
        <v>0.17738999999999999</v>
      </c>
      <c r="S1353">
        <v>1.188E-2</v>
      </c>
      <c r="T1353">
        <v>0.52675000000000005</v>
      </c>
      <c r="U1353">
        <v>0.11265</v>
      </c>
      <c r="V1353">
        <v>9.1395499999999998</v>
      </c>
      <c r="W1353" t="s">
        <v>10</v>
      </c>
      <c r="X1353">
        <v>56.106999999999999</v>
      </c>
      <c r="Y1353">
        <v>149.14400000000001</v>
      </c>
      <c r="Z1353">
        <v>2.11</v>
      </c>
      <c r="AA1353">
        <v>9.5920000000000005</v>
      </c>
      <c r="AB1353">
        <v>3.706</v>
      </c>
      <c r="AC1353">
        <v>0</v>
      </c>
      <c r="AD1353">
        <v>2.9079999999999999</v>
      </c>
      <c r="AE1353">
        <v>0.32400000000000001</v>
      </c>
      <c r="AF1353">
        <v>5.6639999999999997</v>
      </c>
      <c r="AG1353">
        <v>2.1720000000000002</v>
      </c>
      <c r="AH1353">
        <v>231.727</v>
      </c>
      <c r="AI1353" t="s">
        <v>22</v>
      </c>
      <c r="AJ1353">
        <v>725</v>
      </c>
      <c r="AK1353">
        <v>1312.5</v>
      </c>
      <c r="AL1353">
        <v>82.5</v>
      </c>
      <c r="AM1353">
        <v>5</v>
      </c>
      <c r="AN1353">
        <v>25</v>
      </c>
      <c r="AO1353">
        <v>0</v>
      </c>
      <c r="AP1353">
        <v>7.5</v>
      </c>
      <c r="AQ1353">
        <v>7.5</v>
      </c>
      <c r="AR1353">
        <v>37.5</v>
      </c>
      <c r="AS1353">
        <v>120</v>
      </c>
      <c r="AT1353">
        <v>2322.5</v>
      </c>
      <c r="AU1353" t="s">
        <v>34</v>
      </c>
    </row>
    <row r="1354" spans="1:47" x14ac:dyDescent="0.2">
      <c r="A1354">
        <v>2006</v>
      </c>
      <c r="B1354" t="s">
        <v>761</v>
      </c>
      <c r="C1354">
        <v>65</v>
      </c>
      <c r="D1354" t="s">
        <v>775</v>
      </c>
      <c r="G1354" t="str">
        <f t="shared" si="21"/>
        <v>HLY130165H27</v>
      </c>
      <c r="H1354">
        <v>72.855000000000004</v>
      </c>
      <c r="I1354">
        <v>-161.21700000000001</v>
      </c>
      <c r="J1354" s="3">
        <v>20130811</v>
      </c>
      <c r="K1354">
        <v>2013</v>
      </c>
      <c r="L1354">
        <v>0.70157000000000003</v>
      </c>
      <c r="M1354">
        <v>4.92624</v>
      </c>
      <c r="N1354">
        <v>1.384E-2</v>
      </c>
      <c r="O1354">
        <v>0</v>
      </c>
      <c r="P1354">
        <v>0.43890000000000001</v>
      </c>
      <c r="Q1354">
        <v>0</v>
      </c>
      <c r="R1354">
        <v>9.8799999999999999E-3</v>
      </c>
      <c r="S1354">
        <v>0</v>
      </c>
      <c r="T1354">
        <v>1.9900000000000001E-2</v>
      </c>
      <c r="U1354">
        <v>8.4580000000000002E-2</v>
      </c>
      <c r="V1354">
        <v>6.1949100000000001</v>
      </c>
      <c r="W1354" t="s">
        <v>10</v>
      </c>
      <c r="X1354">
        <v>10.217000000000001</v>
      </c>
      <c r="Y1354">
        <v>182.58799999999999</v>
      </c>
      <c r="Z1354">
        <v>0.187</v>
      </c>
      <c r="AA1354">
        <v>0</v>
      </c>
      <c r="AB1354">
        <v>31.35</v>
      </c>
      <c r="AC1354">
        <v>0</v>
      </c>
      <c r="AD1354">
        <v>0.16200000000000001</v>
      </c>
      <c r="AE1354">
        <v>0</v>
      </c>
      <c r="AF1354">
        <v>0.214</v>
      </c>
      <c r="AG1354">
        <v>2.3340000000000001</v>
      </c>
      <c r="AH1354">
        <v>227.05199999999999</v>
      </c>
      <c r="AI1354" t="s">
        <v>22</v>
      </c>
      <c r="AJ1354">
        <v>472.5</v>
      </c>
      <c r="AK1354">
        <v>1622.5</v>
      </c>
      <c r="AL1354">
        <v>25</v>
      </c>
      <c r="AM1354">
        <v>0</v>
      </c>
      <c r="AN1354">
        <v>15</v>
      </c>
      <c r="AO1354">
        <v>0</v>
      </c>
      <c r="AP1354">
        <v>2.5</v>
      </c>
      <c r="AQ1354">
        <v>0</v>
      </c>
      <c r="AR1354">
        <v>17.5</v>
      </c>
      <c r="AS1354">
        <v>70</v>
      </c>
      <c r="AT1354">
        <v>2225</v>
      </c>
      <c r="AU1354" t="s">
        <v>34</v>
      </c>
    </row>
    <row r="1355" spans="1:47" x14ac:dyDescent="0.2">
      <c r="A1355">
        <v>2007</v>
      </c>
      <c r="B1355" t="s">
        <v>761</v>
      </c>
      <c r="C1355">
        <v>72</v>
      </c>
      <c r="D1355" t="s">
        <v>776</v>
      </c>
      <c r="G1355" t="str">
        <f t="shared" si="21"/>
        <v>HLY130172H9</v>
      </c>
      <c r="H1355">
        <v>72.218999999999994</v>
      </c>
      <c r="I1355">
        <v>-160.87299999999999</v>
      </c>
      <c r="J1355" s="3">
        <v>20130811</v>
      </c>
      <c r="K1355">
        <v>2013</v>
      </c>
      <c r="L1355">
        <v>3.8109299999999999</v>
      </c>
      <c r="M1355">
        <v>8.1831700000000005</v>
      </c>
      <c r="N1355">
        <v>0.38008999999999998</v>
      </c>
      <c r="O1355">
        <v>5.0899999999999999E-3</v>
      </c>
      <c r="P1355">
        <v>4.0000000000000003E-5</v>
      </c>
      <c r="Q1355">
        <v>0</v>
      </c>
      <c r="R1355">
        <v>0.67569000000000001</v>
      </c>
      <c r="S1355">
        <v>1.376E-2</v>
      </c>
      <c r="T1355">
        <v>1.8694900000000001</v>
      </c>
      <c r="U1355">
        <v>3.8640000000000001E-2</v>
      </c>
      <c r="V1355">
        <v>14.976900000000001</v>
      </c>
      <c r="W1355" t="s">
        <v>10</v>
      </c>
      <c r="X1355">
        <v>54.996000000000002</v>
      </c>
      <c r="Y1355">
        <v>248.495</v>
      </c>
      <c r="Z1355">
        <v>5.556</v>
      </c>
      <c r="AA1355">
        <v>0.113</v>
      </c>
      <c r="AB1355">
        <v>3.0000000000000001E-3</v>
      </c>
      <c r="AC1355">
        <v>0</v>
      </c>
      <c r="AD1355">
        <v>11.077</v>
      </c>
      <c r="AE1355">
        <v>0.95599999999999996</v>
      </c>
      <c r="AF1355">
        <v>20.102</v>
      </c>
      <c r="AG1355">
        <v>2.214</v>
      </c>
      <c r="AH1355">
        <v>343.512</v>
      </c>
      <c r="AI1355" t="s">
        <v>22</v>
      </c>
      <c r="AJ1355">
        <v>1605</v>
      </c>
      <c r="AK1355">
        <v>702.5</v>
      </c>
      <c r="AL1355">
        <v>287.5</v>
      </c>
      <c r="AM1355">
        <v>7.5</v>
      </c>
      <c r="AN1355">
        <v>2.5</v>
      </c>
      <c r="AO1355">
        <v>0</v>
      </c>
      <c r="AP1355">
        <v>22.5</v>
      </c>
      <c r="AQ1355">
        <v>17.5</v>
      </c>
      <c r="AR1355">
        <v>77.5</v>
      </c>
      <c r="AS1355">
        <v>47.5</v>
      </c>
      <c r="AT1355">
        <v>2770</v>
      </c>
      <c r="AU1355" t="s">
        <v>33</v>
      </c>
    </row>
    <row r="1356" spans="1:47" x14ac:dyDescent="0.2">
      <c r="A1356">
        <v>2008</v>
      </c>
      <c r="B1356" t="s">
        <v>761</v>
      </c>
      <c r="C1356">
        <v>73</v>
      </c>
      <c r="D1356" t="s">
        <v>777</v>
      </c>
      <c r="G1356" t="str">
        <f t="shared" si="21"/>
        <v>HLY130173H34</v>
      </c>
      <c r="H1356">
        <v>71.986999999999995</v>
      </c>
      <c r="I1356">
        <v>-160.404</v>
      </c>
      <c r="J1356" s="3">
        <v>20130811</v>
      </c>
      <c r="K1356">
        <v>2013</v>
      </c>
      <c r="L1356">
        <v>10.827019999999999</v>
      </c>
      <c r="M1356">
        <v>6.1925600000000003</v>
      </c>
      <c r="N1356">
        <v>0.70982000000000001</v>
      </c>
      <c r="O1356">
        <v>0.28143000000000001</v>
      </c>
      <c r="P1356">
        <v>9.8499999999999994E-3</v>
      </c>
      <c r="Q1356">
        <v>0</v>
      </c>
      <c r="R1356">
        <v>0.59975000000000001</v>
      </c>
      <c r="S1356">
        <v>0.64514000000000005</v>
      </c>
      <c r="T1356">
        <v>0.1196</v>
      </c>
      <c r="U1356">
        <v>4.8669999999999998E-2</v>
      </c>
      <c r="V1356">
        <v>19.43384</v>
      </c>
      <c r="W1356" t="s">
        <v>9</v>
      </c>
      <c r="X1356">
        <v>155.36099999999999</v>
      </c>
      <c r="Y1356">
        <v>222.411</v>
      </c>
      <c r="Z1356">
        <v>10.332000000000001</v>
      </c>
      <c r="AA1356">
        <v>6.2539999999999996</v>
      </c>
      <c r="AB1356">
        <v>0.70399999999999996</v>
      </c>
      <c r="AC1356">
        <v>0</v>
      </c>
      <c r="AD1356">
        <v>9.8320000000000007</v>
      </c>
      <c r="AE1356">
        <v>16.824999999999999</v>
      </c>
      <c r="AF1356">
        <v>1.286</v>
      </c>
      <c r="AG1356">
        <v>1.837</v>
      </c>
      <c r="AH1356">
        <v>424.84199999999998</v>
      </c>
      <c r="AI1356" t="s">
        <v>22</v>
      </c>
      <c r="AJ1356">
        <v>1442.5</v>
      </c>
      <c r="AK1356">
        <v>1095</v>
      </c>
      <c r="AL1356">
        <v>562.5</v>
      </c>
      <c r="AM1356">
        <v>27.5</v>
      </c>
      <c r="AN1356">
        <v>5</v>
      </c>
      <c r="AO1356">
        <v>0</v>
      </c>
      <c r="AP1356">
        <v>10</v>
      </c>
      <c r="AQ1356">
        <v>75</v>
      </c>
      <c r="AR1356">
        <v>40</v>
      </c>
      <c r="AS1356">
        <v>40</v>
      </c>
      <c r="AT1356">
        <v>3297.5</v>
      </c>
      <c r="AU1356" t="s">
        <v>33</v>
      </c>
    </row>
    <row r="1357" spans="1:47" x14ac:dyDescent="0.2">
      <c r="A1357">
        <v>2009</v>
      </c>
      <c r="B1357" t="s">
        <v>761</v>
      </c>
      <c r="C1357">
        <v>81</v>
      </c>
      <c r="D1357" t="s">
        <v>778</v>
      </c>
      <c r="G1357" t="str">
        <f t="shared" si="21"/>
        <v>HLY130181H102</v>
      </c>
      <c r="H1357">
        <v>72.203000000000003</v>
      </c>
      <c r="I1357">
        <v>-158.40899999999999</v>
      </c>
      <c r="J1357" s="3">
        <v>20130813</v>
      </c>
      <c r="K1357">
        <v>2013</v>
      </c>
      <c r="L1357">
        <v>1.2700100000000001</v>
      </c>
      <c r="M1357">
        <v>0.47066999999999998</v>
      </c>
      <c r="N1357">
        <v>0.30531999999999998</v>
      </c>
      <c r="O1357">
        <v>1.1440000000000001E-2</v>
      </c>
      <c r="P1357">
        <v>1.5399999999999999E-3</v>
      </c>
      <c r="Q1357">
        <v>0</v>
      </c>
      <c r="R1357">
        <v>4.2999999999999999E-4</v>
      </c>
      <c r="S1357">
        <v>2.31E-3</v>
      </c>
      <c r="T1357">
        <v>1.49E-3</v>
      </c>
      <c r="U1357">
        <v>2.792E-2</v>
      </c>
      <c r="V1357">
        <v>2.0911300000000002</v>
      </c>
      <c r="W1357" t="s">
        <v>9</v>
      </c>
      <c r="X1357">
        <v>18.175999999999998</v>
      </c>
      <c r="Y1357">
        <v>14.612</v>
      </c>
      <c r="Z1357">
        <v>4.4139999999999997</v>
      </c>
      <c r="AA1357">
        <v>0.254</v>
      </c>
      <c r="AB1357">
        <v>0.11</v>
      </c>
      <c r="AC1357">
        <v>0</v>
      </c>
      <c r="AD1357">
        <v>7.0000000000000001E-3</v>
      </c>
      <c r="AE1357">
        <v>0.16500000000000001</v>
      </c>
      <c r="AF1357">
        <v>1.6E-2</v>
      </c>
      <c r="AG1357">
        <v>0.59199999999999997</v>
      </c>
      <c r="AH1357">
        <v>38.345999999999997</v>
      </c>
      <c r="AI1357" t="s">
        <v>21</v>
      </c>
      <c r="AJ1357">
        <v>175</v>
      </c>
      <c r="AK1357">
        <v>232.5</v>
      </c>
      <c r="AL1357">
        <v>92.5</v>
      </c>
      <c r="AM1357">
        <v>15</v>
      </c>
      <c r="AN1357">
        <v>5</v>
      </c>
      <c r="AO1357">
        <v>0</v>
      </c>
      <c r="AP1357">
        <v>2.5</v>
      </c>
      <c r="AQ1357">
        <v>7.5</v>
      </c>
      <c r="AR1357">
        <v>2.5</v>
      </c>
      <c r="AS1357">
        <v>17.5</v>
      </c>
      <c r="AT1357">
        <v>550</v>
      </c>
      <c r="AU1357" t="s">
        <v>34</v>
      </c>
    </row>
    <row r="1358" spans="1:47" ht="16" x14ac:dyDescent="0.2">
      <c r="A1358">
        <v>2010</v>
      </c>
      <c r="B1358" t="s">
        <v>779</v>
      </c>
      <c r="C1358">
        <v>1</v>
      </c>
      <c r="D1358" t="s">
        <v>551</v>
      </c>
      <c r="E1358" s="6" t="s">
        <v>268</v>
      </c>
      <c r="F1358" s="4" t="s">
        <v>551</v>
      </c>
      <c r="G1358" t="str">
        <f t="shared" si="21"/>
        <v>SWL20131SLIP1</v>
      </c>
      <c r="H1358">
        <v>62.01</v>
      </c>
      <c r="I1358">
        <v>-175.05950000000001</v>
      </c>
      <c r="J1358" s="3">
        <v>20130713</v>
      </c>
      <c r="K1358">
        <v>2013</v>
      </c>
      <c r="L1358">
        <v>6.1662800000000004</v>
      </c>
      <c r="M1358">
        <v>2.60941</v>
      </c>
      <c r="N1358">
        <v>9.5149999999999998E-2</v>
      </c>
      <c r="O1358">
        <v>1.67E-3</v>
      </c>
      <c r="P1358">
        <v>1.2999999999999999E-4</v>
      </c>
      <c r="Q1358">
        <v>0</v>
      </c>
      <c r="R1358">
        <v>0</v>
      </c>
      <c r="S1358">
        <v>2.6110000000000001E-2</v>
      </c>
      <c r="T1358">
        <v>4.929E-2</v>
      </c>
      <c r="U1358">
        <v>6.7239999999999994E-2</v>
      </c>
      <c r="V1358">
        <v>9.0152800000000006</v>
      </c>
      <c r="W1358" t="s">
        <v>9</v>
      </c>
      <c r="X1358">
        <v>88.76</v>
      </c>
      <c r="Y1358">
        <v>99.582999999999998</v>
      </c>
      <c r="Z1358">
        <v>1.2310000000000001</v>
      </c>
      <c r="AA1358">
        <v>3.6999999999999998E-2</v>
      </c>
      <c r="AB1358">
        <v>8.9999999999999993E-3</v>
      </c>
      <c r="AC1358">
        <v>0</v>
      </c>
      <c r="AD1358">
        <v>0</v>
      </c>
      <c r="AE1358">
        <v>1.865</v>
      </c>
      <c r="AF1358">
        <v>0.53</v>
      </c>
      <c r="AG1358">
        <v>1.4330000000000001</v>
      </c>
      <c r="AH1358">
        <v>193.44800000000001</v>
      </c>
      <c r="AI1358" t="s">
        <v>22</v>
      </c>
      <c r="AJ1358">
        <v>847.5</v>
      </c>
      <c r="AK1358">
        <v>720</v>
      </c>
      <c r="AL1358">
        <v>92.5</v>
      </c>
      <c r="AM1358">
        <v>15</v>
      </c>
      <c r="AN1358">
        <v>7.5</v>
      </c>
      <c r="AO1358">
        <v>0</v>
      </c>
      <c r="AP1358">
        <v>0</v>
      </c>
      <c r="AQ1358">
        <v>2.5</v>
      </c>
      <c r="AR1358">
        <v>17.5</v>
      </c>
      <c r="AS1358">
        <v>102.5</v>
      </c>
      <c r="AT1358">
        <v>1805</v>
      </c>
      <c r="AU1358" t="s">
        <v>33</v>
      </c>
    </row>
    <row r="1359" spans="1:47" ht="16" x14ac:dyDescent="0.2">
      <c r="A1359">
        <v>2011</v>
      </c>
      <c r="B1359" t="s">
        <v>779</v>
      </c>
      <c r="C1359">
        <v>2</v>
      </c>
      <c r="D1359" t="s">
        <v>552</v>
      </c>
      <c r="E1359" s="6" t="s">
        <v>279</v>
      </c>
      <c r="F1359" s="4" t="s">
        <v>552</v>
      </c>
      <c r="G1359" t="str">
        <f t="shared" si="21"/>
        <v>SWL20132SLIP2</v>
      </c>
      <c r="H1359">
        <v>62.050166670000003</v>
      </c>
      <c r="I1359">
        <v>-175.2098833</v>
      </c>
      <c r="J1359" s="3">
        <v>20130713</v>
      </c>
      <c r="K1359">
        <v>2013</v>
      </c>
      <c r="L1359">
        <v>7.2258800000000001</v>
      </c>
      <c r="M1359">
        <v>0.67791000000000001</v>
      </c>
      <c r="N1359">
        <v>0.14466999999999999</v>
      </c>
      <c r="O1359">
        <v>3.5999999999999999E-3</v>
      </c>
      <c r="P1359">
        <v>4.7999999999999996E-3</v>
      </c>
      <c r="Q1359">
        <v>0</v>
      </c>
      <c r="R1359">
        <v>1.8000000000000001E-4</v>
      </c>
      <c r="S1359">
        <v>0</v>
      </c>
      <c r="T1359">
        <v>0.56042000000000003</v>
      </c>
      <c r="U1359">
        <v>2.8340000000000001E-2</v>
      </c>
      <c r="V1359">
        <v>8.6457999999999995</v>
      </c>
      <c r="W1359" t="s">
        <v>9</v>
      </c>
      <c r="X1359">
        <v>104.441</v>
      </c>
      <c r="Y1359">
        <v>19.303000000000001</v>
      </c>
      <c r="Z1359">
        <v>1.8580000000000001</v>
      </c>
      <c r="AA1359">
        <v>0.08</v>
      </c>
      <c r="AB1359">
        <v>0.34300000000000003</v>
      </c>
      <c r="AC1359">
        <v>0</v>
      </c>
      <c r="AD1359">
        <v>3.0000000000000001E-3</v>
      </c>
      <c r="AE1359">
        <v>0</v>
      </c>
      <c r="AF1359">
        <v>6.0259999999999998</v>
      </c>
      <c r="AG1359">
        <v>0.57599999999999996</v>
      </c>
      <c r="AH1359">
        <v>132.63</v>
      </c>
      <c r="AI1359" t="s">
        <v>21</v>
      </c>
      <c r="AJ1359">
        <v>1155</v>
      </c>
      <c r="AK1359">
        <v>587.5</v>
      </c>
      <c r="AL1359">
        <v>95</v>
      </c>
      <c r="AM1359">
        <v>12.5</v>
      </c>
      <c r="AN1359">
        <v>22.5</v>
      </c>
      <c r="AO1359">
        <v>0</v>
      </c>
      <c r="AP1359">
        <v>0</v>
      </c>
      <c r="AQ1359">
        <v>0</v>
      </c>
      <c r="AR1359">
        <v>42.5</v>
      </c>
      <c r="AS1359">
        <v>92.5</v>
      </c>
      <c r="AT1359">
        <v>2007.5</v>
      </c>
      <c r="AU1359" t="s">
        <v>33</v>
      </c>
    </row>
    <row r="1360" spans="1:47" ht="16" x14ac:dyDescent="0.2">
      <c r="A1360">
        <v>2012</v>
      </c>
      <c r="B1360" t="s">
        <v>779</v>
      </c>
      <c r="C1360">
        <v>3</v>
      </c>
      <c r="D1360" t="s">
        <v>553</v>
      </c>
      <c r="E1360" s="6" t="s">
        <v>301</v>
      </c>
      <c r="F1360" s="4" t="s">
        <v>553</v>
      </c>
      <c r="G1360" t="str">
        <f t="shared" si="21"/>
        <v>SWL20133SLIP3</v>
      </c>
      <c r="H1360">
        <v>62.390666670000002</v>
      </c>
      <c r="I1360">
        <v>-174.5705667</v>
      </c>
      <c r="J1360" s="3">
        <v>20130714</v>
      </c>
      <c r="K1360">
        <v>2013</v>
      </c>
      <c r="L1360">
        <v>3.9422700000000002</v>
      </c>
      <c r="M1360">
        <v>2.5034399999999999</v>
      </c>
      <c r="N1360">
        <v>0.64444000000000001</v>
      </c>
      <c r="O1360">
        <v>1.8000000000000001E-4</v>
      </c>
      <c r="P1360">
        <v>0.26916000000000001</v>
      </c>
      <c r="Q1360">
        <v>0</v>
      </c>
      <c r="R1360">
        <v>9.7999999999999997E-4</v>
      </c>
      <c r="S1360">
        <v>0.32734999999999997</v>
      </c>
      <c r="T1360">
        <v>0.11559999999999999</v>
      </c>
      <c r="U1360">
        <v>9.2619999999999994E-2</v>
      </c>
      <c r="V1360">
        <v>7.8960400000000002</v>
      </c>
      <c r="W1360" t="s">
        <v>9</v>
      </c>
      <c r="X1360">
        <v>56.027000000000001</v>
      </c>
      <c r="Y1360">
        <v>70.334999999999994</v>
      </c>
      <c r="Z1360">
        <v>7.9660000000000002</v>
      </c>
      <c r="AA1360">
        <v>4.0000000000000001E-3</v>
      </c>
      <c r="AB1360">
        <v>19.225999999999999</v>
      </c>
      <c r="AC1360">
        <v>0</v>
      </c>
      <c r="AD1360">
        <v>1.6E-2</v>
      </c>
      <c r="AE1360">
        <v>23.382000000000001</v>
      </c>
      <c r="AF1360">
        <v>1.2430000000000001</v>
      </c>
      <c r="AG1360">
        <v>2.0070000000000001</v>
      </c>
      <c r="AH1360">
        <v>180.20599999999999</v>
      </c>
      <c r="AI1360" t="s">
        <v>22</v>
      </c>
      <c r="AJ1360">
        <v>1137.5</v>
      </c>
      <c r="AK1360">
        <v>440</v>
      </c>
      <c r="AL1360">
        <v>297.5</v>
      </c>
      <c r="AM1360">
        <v>2.5</v>
      </c>
      <c r="AN1360">
        <v>15</v>
      </c>
      <c r="AO1360">
        <v>0</v>
      </c>
      <c r="AP1360">
        <v>0</v>
      </c>
      <c r="AQ1360">
        <v>5</v>
      </c>
      <c r="AR1360">
        <v>22.5</v>
      </c>
      <c r="AS1360">
        <v>70</v>
      </c>
      <c r="AT1360">
        <v>1990</v>
      </c>
      <c r="AU1360" t="s">
        <v>33</v>
      </c>
    </row>
    <row r="1361" spans="1:47" ht="16" x14ac:dyDescent="0.2">
      <c r="A1361">
        <v>2013</v>
      </c>
      <c r="B1361" t="s">
        <v>779</v>
      </c>
      <c r="C1361">
        <v>4</v>
      </c>
      <c r="D1361" t="s">
        <v>554</v>
      </c>
      <c r="E1361" s="6" t="s">
        <v>239</v>
      </c>
      <c r="F1361" s="4" t="s">
        <v>554</v>
      </c>
      <c r="G1361" t="str">
        <f t="shared" si="21"/>
        <v>SWL20134SLIP5</v>
      </c>
      <c r="H1361">
        <v>62.560116669999999</v>
      </c>
      <c r="I1361">
        <v>-173.54983329999999</v>
      </c>
      <c r="J1361" s="3">
        <v>20130714</v>
      </c>
      <c r="K1361">
        <v>2013</v>
      </c>
      <c r="L1361">
        <v>2.5081199999999999</v>
      </c>
      <c r="M1361">
        <v>13.06554</v>
      </c>
      <c r="N1361">
        <v>0.84091000000000005</v>
      </c>
      <c r="O1361">
        <v>1.3999999999999999E-4</v>
      </c>
      <c r="P1361">
        <v>0.3347</v>
      </c>
      <c r="Q1361">
        <v>0</v>
      </c>
      <c r="R1361">
        <v>1.65E-3</v>
      </c>
      <c r="S1361">
        <v>0</v>
      </c>
      <c r="T1361">
        <v>1.925E-2</v>
      </c>
      <c r="U1361">
        <v>3.6220000000000002E-2</v>
      </c>
      <c r="V1361">
        <v>16.806529999999999</v>
      </c>
      <c r="W1361" t="s">
        <v>10</v>
      </c>
      <c r="X1361">
        <v>39.054000000000002</v>
      </c>
      <c r="Y1361">
        <v>414.36900000000003</v>
      </c>
      <c r="Z1361">
        <v>9.8729999999999993</v>
      </c>
      <c r="AA1361">
        <v>3.0000000000000001E-3</v>
      </c>
      <c r="AB1361">
        <v>23.907</v>
      </c>
      <c r="AC1361">
        <v>0</v>
      </c>
      <c r="AD1361">
        <v>2.7E-2</v>
      </c>
      <c r="AE1361">
        <v>0</v>
      </c>
      <c r="AF1361">
        <v>0.20699999999999999</v>
      </c>
      <c r="AG1361">
        <v>0.78200000000000003</v>
      </c>
      <c r="AH1361">
        <v>488.22199999999998</v>
      </c>
      <c r="AI1361" t="s">
        <v>22</v>
      </c>
      <c r="AJ1361">
        <v>835</v>
      </c>
      <c r="AK1361">
        <v>680</v>
      </c>
      <c r="AL1361">
        <v>402.5</v>
      </c>
      <c r="AM1361">
        <v>27.5</v>
      </c>
      <c r="AN1361">
        <v>7.5</v>
      </c>
      <c r="AO1361">
        <v>0</v>
      </c>
      <c r="AP1361">
        <v>0</v>
      </c>
      <c r="AQ1361">
        <v>0</v>
      </c>
      <c r="AR1361">
        <v>55</v>
      </c>
      <c r="AS1361">
        <v>82.5</v>
      </c>
      <c r="AT1361">
        <v>2090</v>
      </c>
      <c r="AU1361" t="s">
        <v>33</v>
      </c>
    </row>
    <row r="1362" spans="1:47" ht="16" x14ac:dyDescent="0.2">
      <c r="A1362">
        <v>2014</v>
      </c>
      <c r="B1362" t="s">
        <v>779</v>
      </c>
      <c r="C1362">
        <v>8</v>
      </c>
      <c r="D1362" t="s">
        <v>555</v>
      </c>
      <c r="E1362" s="6" t="s">
        <v>246</v>
      </c>
      <c r="F1362" s="4" t="s">
        <v>555</v>
      </c>
      <c r="G1362" t="str">
        <f t="shared" si="21"/>
        <v>SWL20138SLIP4</v>
      </c>
      <c r="H1362">
        <v>63.0304</v>
      </c>
      <c r="I1362">
        <v>-173.45966670000001</v>
      </c>
      <c r="J1362" s="3">
        <v>20130714</v>
      </c>
      <c r="K1362">
        <v>2013</v>
      </c>
      <c r="L1362">
        <v>1.33151</v>
      </c>
      <c r="M1362">
        <v>10.87975</v>
      </c>
      <c r="N1362">
        <v>0.22552</v>
      </c>
      <c r="O1362">
        <v>0</v>
      </c>
      <c r="P1362">
        <v>0.20846000000000001</v>
      </c>
      <c r="Q1362">
        <v>0</v>
      </c>
      <c r="R1362">
        <v>6.0999999999999997E-4</v>
      </c>
      <c r="S1362">
        <v>0</v>
      </c>
      <c r="T1362">
        <v>1.0722</v>
      </c>
      <c r="U1362">
        <v>0.27518999999999999</v>
      </c>
      <c r="V1362">
        <v>13.99324</v>
      </c>
      <c r="W1362" t="s">
        <v>10</v>
      </c>
      <c r="X1362">
        <v>19.655000000000001</v>
      </c>
      <c r="Y1362">
        <v>394.15499999999997</v>
      </c>
      <c r="Z1362">
        <v>2.681</v>
      </c>
      <c r="AA1362">
        <v>0</v>
      </c>
      <c r="AB1362">
        <v>14.89</v>
      </c>
      <c r="AC1362">
        <v>0</v>
      </c>
      <c r="AD1362">
        <v>0.01</v>
      </c>
      <c r="AE1362">
        <v>0</v>
      </c>
      <c r="AF1362">
        <v>11.529</v>
      </c>
      <c r="AG1362">
        <v>5.3220000000000001</v>
      </c>
      <c r="AH1362">
        <v>448.24200000000002</v>
      </c>
      <c r="AI1362" t="s">
        <v>22</v>
      </c>
      <c r="AJ1362">
        <v>652.5</v>
      </c>
      <c r="AK1362">
        <v>1300</v>
      </c>
      <c r="AL1362">
        <v>97.5</v>
      </c>
      <c r="AM1362">
        <v>0</v>
      </c>
      <c r="AN1362">
        <v>7.5</v>
      </c>
      <c r="AO1362">
        <v>0</v>
      </c>
      <c r="AP1362">
        <v>0</v>
      </c>
      <c r="AQ1362">
        <v>0</v>
      </c>
      <c r="AR1362">
        <v>20</v>
      </c>
      <c r="AS1362">
        <v>145</v>
      </c>
      <c r="AT1362">
        <v>2222.5</v>
      </c>
      <c r="AU1362" t="s">
        <v>34</v>
      </c>
    </row>
    <row r="1363" spans="1:47" x14ac:dyDescent="0.2">
      <c r="A1363">
        <v>2015</v>
      </c>
      <c r="B1363" t="s">
        <v>779</v>
      </c>
      <c r="C1363">
        <v>14</v>
      </c>
      <c r="D1363" t="s">
        <v>556</v>
      </c>
      <c r="G1363" t="str">
        <f t="shared" si="21"/>
        <v>SWL201314UTBS5</v>
      </c>
      <c r="H1363">
        <v>64.670966669999999</v>
      </c>
      <c r="I1363">
        <v>-169.92088330000001</v>
      </c>
      <c r="J1363" s="3">
        <v>20130715</v>
      </c>
      <c r="K1363">
        <v>2013</v>
      </c>
      <c r="L1363">
        <v>7.8661599999999998</v>
      </c>
      <c r="M1363">
        <v>7.0281700000000003</v>
      </c>
      <c r="N1363">
        <v>0.10586</v>
      </c>
      <c r="O1363">
        <v>0.50224999999999997</v>
      </c>
      <c r="P1363">
        <v>0</v>
      </c>
      <c r="Q1363">
        <v>0</v>
      </c>
      <c r="R1363">
        <v>0.18024999999999999</v>
      </c>
      <c r="S1363">
        <v>0.19131000000000001</v>
      </c>
      <c r="T1363">
        <v>3.0130000000000001E-2</v>
      </c>
      <c r="U1363">
        <v>0</v>
      </c>
      <c r="V1363">
        <v>15.90413</v>
      </c>
      <c r="W1363" t="s">
        <v>9</v>
      </c>
      <c r="X1363">
        <v>113.15600000000001</v>
      </c>
      <c r="Y1363">
        <v>204.39500000000001</v>
      </c>
      <c r="Z1363">
        <v>1.498</v>
      </c>
      <c r="AA1363">
        <v>11.161</v>
      </c>
      <c r="AB1363">
        <v>0</v>
      </c>
      <c r="AC1363">
        <v>0</v>
      </c>
      <c r="AD1363">
        <v>2.9550000000000001</v>
      </c>
      <c r="AE1363">
        <v>13.664999999999999</v>
      </c>
      <c r="AF1363">
        <v>0.32400000000000001</v>
      </c>
      <c r="AG1363">
        <v>0</v>
      </c>
      <c r="AH1363">
        <v>347.154</v>
      </c>
      <c r="AI1363" t="s">
        <v>22</v>
      </c>
      <c r="AJ1363">
        <v>565</v>
      </c>
      <c r="AK1363">
        <v>545</v>
      </c>
      <c r="AL1363">
        <v>665</v>
      </c>
      <c r="AM1363">
        <v>32.5</v>
      </c>
      <c r="AN1363">
        <v>0</v>
      </c>
      <c r="AO1363">
        <v>0</v>
      </c>
      <c r="AP1363">
        <v>0</v>
      </c>
      <c r="AQ1363">
        <v>7.5</v>
      </c>
      <c r="AR1363">
        <v>2.5</v>
      </c>
      <c r="AS1363">
        <v>0</v>
      </c>
      <c r="AT1363">
        <v>1817.5</v>
      </c>
      <c r="AU1363" t="s">
        <v>35</v>
      </c>
    </row>
    <row r="1364" spans="1:47" x14ac:dyDescent="0.2">
      <c r="A1364">
        <v>2016</v>
      </c>
      <c r="B1364" t="s">
        <v>779</v>
      </c>
      <c r="C1364">
        <v>15</v>
      </c>
      <c r="D1364" t="s">
        <v>558</v>
      </c>
      <c r="G1364" t="str">
        <f t="shared" si="21"/>
        <v>SWL201315UTBS4</v>
      </c>
      <c r="H1364">
        <v>64.962599999999995</v>
      </c>
      <c r="I1364">
        <v>-169.8885167</v>
      </c>
      <c r="J1364" s="3">
        <v>20130715</v>
      </c>
      <c r="K1364">
        <v>2013</v>
      </c>
      <c r="L1364">
        <v>1.09073</v>
      </c>
      <c r="M1364">
        <v>2.2398799999999999</v>
      </c>
      <c r="N1364">
        <v>1.3655299999999999</v>
      </c>
      <c r="O1364">
        <v>0</v>
      </c>
      <c r="P1364">
        <v>0</v>
      </c>
      <c r="Q1364">
        <v>0</v>
      </c>
      <c r="R1364">
        <v>6.9499999999999996E-3</v>
      </c>
      <c r="S1364">
        <v>0</v>
      </c>
      <c r="T1364">
        <v>0</v>
      </c>
      <c r="U1364">
        <v>6.9999999999999994E-5</v>
      </c>
      <c r="V1364">
        <v>4.7031599999999996</v>
      </c>
      <c r="W1364" t="s">
        <v>10</v>
      </c>
      <c r="X1364">
        <v>15.157999999999999</v>
      </c>
      <c r="Y1364">
        <v>60.42</v>
      </c>
      <c r="Z1364">
        <v>20.07</v>
      </c>
      <c r="AA1364">
        <v>0</v>
      </c>
      <c r="AB1364">
        <v>0</v>
      </c>
      <c r="AC1364">
        <v>0</v>
      </c>
      <c r="AD1364">
        <v>0.114</v>
      </c>
      <c r="AE1364">
        <v>0</v>
      </c>
      <c r="AF1364">
        <v>0</v>
      </c>
      <c r="AG1364">
        <v>1E-3</v>
      </c>
      <c r="AH1364">
        <v>95.763000000000005</v>
      </c>
      <c r="AI1364" t="s">
        <v>22</v>
      </c>
      <c r="AJ1364">
        <v>190</v>
      </c>
      <c r="AK1364">
        <v>387.5</v>
      </c>
      <c r="AL1364">
        <v>910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2.5</v>
      </c>
      <c r="AT1364">
        <v>1490</v>
      </c>
      <c r="AU1364" t="s">
        <v>35</v>
      </c>
    </row>
    <row r="1365" spans="1:47" x14ac:dyDescent="0.2">
      <c r="A1365">
        <v>2017</v>
      </c>
      <c r="B1365" t="s">
        <v>779</v>
      </c>
      <c r="C1365">
        <v>16</v>
      </c>
      <c r="D1365" t="s">
        <v>557</v>
      </c>
      <c r="G1365" t="str">
        <f t="shared" si="21"/>
        <v>SWL201316UTBS2</v>
      </c>
      <c r="H1365">
        <v>64.682966669999999</v>
      </c>
      <c r="I1365">
        <v>-169.10461670000001</v>
      </c>
      <c r="J1365" s="3">
        <v>20130715</v>
      </c>
      <c r="K1365">
        <v>2013</v>
      </c>
      <c r="L1365">
        <v>4.5654000000000003</v>
      </c>
      <c r="M1365">
        <v>1.70496</v>
      </c>
      <c r="N1365">
        <v>4.0947800000000001</v>
      </c>
      <c r="O1365">
        <v>1.4400000000000001E-3</v>
      </c>
      <c r="P1365">
        <v>0</v>
      </c>
      <c r="Q1365">
        <v>0</v>
      </c>
      <c r="R1365">
        <v>0</v>
      </c>
      <c r="S1365">
        <v>6.1800000000000001E-2</v>
      </c>
      <c r="T1365">
        <v>2.2509999999999999E-2</v>
      </c>
      <c r="U1365">
        <v>2.0200000000000001E-3</v>
      </c>
      <c r="V1365">
        <v>10.452909999999999</v>
      </c>
      <c r="W1365" t="s">
        <v>9</v>
      </c>
      <c r="X1365">
        <v>65.965999999999994</v>
      </c>
      <c r="Y1365">
        <v>66.444000000000003</v>
      </c>
      <c r="Z1365">
        <v>59.951000000000001</v>
      </c>
      <c r="AA1365">
        <v>3.2000000000000001E-2</v>
      </c>
      <c r="AB1365">
        <v>0</v>
      </c>
      <c r="AC1365">
        <v>0</v>
      </c>
      <c r="AD1365">
        <v>0</v>
      </c>
      <c r="AE1365">
        <v>4.4139999999999997</v>
      </c>
      <c r="AF1365">
        <v>0.24199999999999999</v>
      </c>
      <c r="AG1365">
        <v>0.20200000000000001</v>
      </c>
      <c r="AH1365">
        <v>197.251</v>
      </c>
      <c r="AI1365" t="s">
        <v>22</v>
      </c>
      <c r="AJ1365">
        <v>352.5</v>
      </c>
      <c r="AK1365">
        <v>555</v>
      </c>
      <c r="AL1365">
        <v>3007.5</v>
      </c>
      <c r="AM1365">
        <v>10</v>
      </c>
      <c r="AN1365">
        <v>0</v>
      </c>
      <c r="AO1365">
        <v>0</v>
      </c>
      <c r="AP1365">
        <v>0</v>
      </c>
      <c r="AQ1365">
        <v>2.5</v>
      </c>
      <c r="AR1365">
        <v>37.5</v>
      </c>
      <c r="AS1365">
        <v>0</v>
      </c>
      <c r="AT1365">
        <v>3965</v>
      </c>
      <c r="AU1365" t="s">
        <v>35</v>
      </c>
    </row>
    <row r="1366" spans="1:47" x14ac:dyDescent="0.2">
      <c r="A1366">
        <v>2018</v>
      </c>
      <c r="B1366" t="s">
        <v>779</v>
      </c>
      <c r="C1366">
        <v>18</v>
      </c>
      <c r="D1366" t="s">
        <v>179</v>
      </c>
      <c r="G1366" t="str">
        <f t="shared" si="21"/>
        <v>SWL201318UTBS1</v>
      </c>
      <c r="H1366">
        <v>64.991833330000006</v>
      </c>
      <c r="I1366">
        <v>-169.13919999999999</v>
      </c>
      <c r="J1366" s="3">
        <v>20130715</v>
      </c>
      <c r="K1366">
        <v>2013</v>
      </c>
      <c r="L1366">
        <v>1.1143400000000001</v>
      </c>
      <c r="M1366">
        <v>2.36158</v>
      </c>
      <c r="N1366">
        <v>8.9266500000000004</v>
      </c>
      <c r="O1366">
        <v>0</v>
      </c>
      <c r="P1366">
        <v>0</v>
      </c>
      <c r="Q1366">
        <v>0</v>
      </c>
      <c r="R1366">
        <v>1.44E-2</v>
      </c>
      <c r="S1366">
        <v>7.8130000000000005E-2</v>
      </c>
      <c r="T1366">
        <v>4.7620000000000003E-2</v>
      </c>
      <c r="U1366">
        <v>2.5999999999999998E-4</v>
      </c>
      <c r="V1366">
        <v>12.54298</v>
      </c>
      <c r="W1366" t="s">
        <v>11</v>
      </c>
      <c r="X1366">
        <v>15.615</v>
      </c>
      <c r="Y1366">
        <v>83.441000000000003</v>
      </c>
      <c r="Z1366">
        <v>130.27699999999999</v>
      </c>
      <c r="AA1366">
        <v>0</v>
      </c>
      <c r="AB1366">
        <v>0</v>
      </c>
      <c r="AC1366">
        <v>0</v>
      </c>
      <c r="AD1366">
        <v>0.23599999999999999</v>
      </c>
      <c r="AE1366">
        <v>5.5810000000000004</v>
      </c>
      <c r="AF1366">
        <v>0.51200000000000001</v>
      </c>
      <c r="AG1366">
        <v>8.0000000000000002E-3</v>
      </c>
      <c r="AH1366">
        <v>235.67</v>
      </c>
      <c r="AI1366" t="s">
        <v>23</v>
      </c>
      <c r="AJ1366">
        <v>282.5</v>
      </c>
      <c r="AK1366">
        <v>362.5</v>
      </c>
      <c r="AL1366">
        <v>11320</v>
      </c>
      <c r="AM1366">
        <v>0</v>
      </c>
      <c r="AN1366">
        <v>0</v>
      </c>
      <c r="AO1366">
        <v>0</v>
      </c>
      <c r="AP1366">
        <v>0</v>
      </c>
      <c r="AQ1366">
        <v>5</v>
      </c>
      <c r="AR1366">
        <v>60</v>
      </c>
      <c r="AS1366">
        <v>0</v>
      </c>
      <c r="AT1366">
        <v>12030</v>
      </c>
      <c r="AU1366" t="s">
        <v>35</v>
      </c>
    </row>
    <row r="1367" spans="1:47" x14ac:dyDescent="0.2">
      <c r="A1367">
        <v>2019</v>
      </c>
      <c r="B1367" t="s">
        <v>779</v>
      </c>
      <c r="C1367">
        <v>21</v>
      </c>
      <c r="D1367" t="s">
        <v>559</v>
      </c>
      <c r="G1367" t="str">
        <f t="shared" si="21"/>
        <v>SWL201321UTN1</v>
      </c>
      <c r="H1367">
        <v>66.710899999999995</v>
      </c>
      <c r="I1367">
        <v>-168.39861669999999</v>
      </c>
      <c r="J1367" s="3">
        <v>20130719</v>
      </c>
      <c r="K1367">
        <v>2013</v>
      </c>
      <c r="L1367">
        <v>4.28111</v>
      </c>
      <c r="M1367">
        <v>0.63287000000000004</v>
      </c>
      <c r="N1367">
        <v>7.1169999999999997E-2</v>
      </c>
      <c r="O1367">
        <v>0</v>
      </c>
      <c r="P1367">
        <v>2.1000000000000001E-4</v>
      </c>
      <c r="Q1367">
        <v>11.06082</v>
      </c>
      <c r="R1367">
        <v>0.88438000000000005</v>
      </c>
      <c r="S1367">
        <v>1.0188900000000001</v>
      </c>
      <c r="T1367">
        <v>1.2821</v>
      </c>
      <c r="U1367">
        <v>0.53939000000000004</v>
      </c>
      <c r="V1367">
        <v>19.77094</v>
      </c>
      <c r="W1367" t="s">
        <v>14</v>
      </c>
      <c r="X1367">
        <v>63.784999999999997</v>
      </c>
      <c r="Y1367">
        <v>17.611999999999998</v>
      </c>
      <c r="Z1367">
        <v>0.98199999999999998</v>
      </c>
      <c r="AA1367">
        <v>0</v>
      </c>
      <c r="AB1367">
        <v>1.4999999999999999E-2</v>
      </c>
      <c r="AC1367">
        <v>1382.6020000000001</v>
      </c>
      <c r="AD1367">
        <v>14.497999999999999</v>
      </c>
      <c r="AE1367">
        <v>24.850999999999999</v>
      </c>
      <c r="AF1367">
        <v>13.786</v>
      </c>
      <c r="AG1367">
        <v>25.709</v>
      </c>
      <c r="AH1367">
        <v>1543.84</v>
      </c>
      <c r="AI1367" t="s">
        <v>26</v>
      </c>
      <c r="AJ1367">
        <v>1902.5</v>
      </c>
      <c r="AK1367">
        <v>387.5</v>
      </c>
      <c r="AL1367">
        <v>290</v>
      </c>
      <c r="AM1367">
        <v>0</v>
      </c>
      <c r="AN1367">
        <v>12.5</v>
      </c>
      <c r="AO1367">
        <v>162.5</v>
      </c>
      <c r="AP1367">
        <v>15</v>
      </c>
      <c r="AQ1367">
        <v>5</v>
      </c>
      <c r="AR1367">
        <v>2.5</v>
      </c>
      <c r="AS1367">
        <v>15</v>
      </c>
      <c r="AT1367">
        <v>2792.5</v>
      </c>
      <c r="AU1367" t="s">
        <v>33</v>
      </c>
    </row>
    <row r="1368" spans="1:47" x14ac:dyDescent="0.2">
      <c r="A1368">
        <v>2020</v>
      </c>
      <c r="B1368" t="s">
        <v>779</v>
      </c>
      <c r="C1368">
        <v>22</v>
      </c>
      <c r="D1368" t="s">
        <v>560</v>
      </c>
      <c r="G1368" t="str">
        <f t="shared" si="21"/>
        <v>SWL201322UTN2</v>
      </c>
      <c r="H1368">
        <v>67.050366670000003</v>
      </c>
      <c r="I1368">
        <v>-168.7286167</v>
      </c>
      <c r="J1368" s="3">
        <v>20130719</v>
      </c>
      <c r="K1368">
        <v>2013</v>
      </c>
      <c r="L1368">
        <v>15.481809999999999</v>
      </c>
      <c r="M1368">
        <v>88.91695</v>
      </c>
      <c r="N1368">
        <v>0.38868000000000003</v>
      </c>
      <c r="O1368">
        <v>0</v>
      </c>
      <c r="P1368">
        <v>0.49819999999999998</v>
      </c>
      <c r="Q1368">
        <v>0</v>
      </c>
      <c r="R1368">
        <v>0.57809999999999995</v>
      </c>
      <c r="S1368">
        <v>0.60687000000000002</v>
      </c>
      <c r="T1368">
        <v>0.20934</v>
      </c>
      <c r="U1368">
        <v>9.9049999999999999E-2</v>
      </c>
      <c r="V1368">
        <v>106.779</v>
      </c>
      <c r="W1368" t="s">
        <v>10</v>
      </c>
      <c r="X1368">
        <v>257.43299999999999</v>
      </c>
      <c r="Y1368">
        <v>3299.7550000000001</v>
      </c>
      <c r="Z1368">
        <v>4.5529999999999999</v>
      </c>
      <c r="AA1368">
        <v>0</v>
      </c>
      <c r="AB1368">
        <v>35.585999999999999</v>
      </c>
      <c r="AC1368">
        <v>0</v>
      </c>
      <c r="AD1368">
        <v>9.4770000000000003</v>
      </c>
      <c r="AE1368">
        <v>43.347999999999999</v>
      </c>
      <c r="AF1368">
        <v>2.2509999999999999</v>
      </c>
      <c r="AG1368">
        <v>2.1970000000000001</v>
      </c>
      <c r="AH1368">
        <v>3654.6</v>
      </c>
      <c r="AI1368" t="s">
        <v>22</v>
      </c>
      <c r="AJ1368">
        <v>2210</v>
      </c>
      <c r="AK1368">
        <v>8447.5</v>
      </c>
      <c r="AL1368">
        <v>835</v>
      </c>
      <c r="AM1368">
        <v>0</v>
      </c>
      <c r="AN1368">
        <v>20</v>
      </c>
      <c r="AO1368">
        <v>0</v>
      </c>
      <c r="AP1368">
        <v>12.5</v>
      </c>
      <c r="AQ1368">
        <v>45</v>
      </c>
      <c r="AR1368">
        <v>7.5</v>
      </c>
      <c r="AS1368">
        <v>15</v>
      </c>
      <c r="AT1368">
        <v>11592.5</v>
      </c>
      <c r="AU1368" t="s">
        <v>34</v>
      </c>
    </row>
    <row r="1369" spans="1:47" x14ac:dyDescent="0.2">
      <c r="A1369">
        <v>2021</v>
      </c>
      <c r="B1369" t="s">
        <v>779</v>
      </c>
      <c r="C1369">
        <v>23</v>
      </c>
      <c r="D1369" t="s">
        <v>561</v>
      </c>
      <c r="G1369" t="str">
        <f t="shared" si="21"/>
        <v>SWL201323UTN3</v>
      </c>
      <c r="H1369">
        <v>67.327783330000003</v>
      </c>
      <c r="I1369">
        <v>-168.9422333</v>
      </c>
      <c r="J1369" s="3">
        <v>20130719</v>
      </c>
      <c r="K1369">
        <v>2013</v>
      </c>
      <c r="L1369">
        <v>7.1476800000000003</v>
      </c>
      <c r="M1369">
        <v>82.648939999999996</v>
      </c>
      <c r="N1369">
        <v>0.28181</v>
      </c>
      <c r="O1369">
        <v>0</v>
      </c>
      <c r="P1369">
        <v>0</v>
      </c>
      <c r="Q1369">
        <v>0</v>
      </c>
      <c r="R1369">
        <v>1.0437700000000001</v>
      </c>
      <c r="S1369">
        <v>0</v>
      </c>
      <c r="T1369">
        <v>1.7860000000000001E-2</v>
      </c>
      <c r="U1369">
        <v>1.92E-3</v>
      </c>
      <c r="V1369">
        <v>91.141980000000004</v>
      </c>
      <c r="W1369" t="s">
        <v>10</v>
      </c>
      <c r="X1369">
        <v>115.932</v>
      </c>
      <c r="Y1369">
        <v>2523.652</v>
      </c>
      <c r="Z1369">
        <v>3.6509999999999998</v>
      </c>
      <c r="AA1369">
        <v>0</v>
      </c>
      <c r="AB1369">
        <v>0</v>
      </c>
      <c r="AC1369">
        <v>0</v>
      </c>
      <c r="AD1369">
        <v>17.111000000000001</v>
      </c>
      <c r="AE1369">
        <v>0</v>
      </c>
      <c r="AF1369">
        <v>0.192</v>
      </c>
      <c r="AG1369">
        <v>3.5999999999999997E-2</v>
      </c>
      <c r="AH1369">
        <v>2660.5740000000001</v>
      </c>
      <c r="AI1369" t="s">
        <v>22</v>
      </c>
      <c r="AJ1369">
        <v>2415</v>
      </c>
      <c r="AK1369">
        <v>7280</v>
      </c>
      <c r="AL1369">
        <v>1707.5</v>
      </c>
      <c r="AM1369">
        <v>0</v>
      </c>
      <c r="AN1369">
        <v>0</v>
      </c>
      <c r="AO1369">
        <v>0</v>
      </c>
      <c r="AP1369">
        <v>80</v>
      </c>
      <c r="AQ1369">
        <v>0</v>
      </c>
      <c r="AR1369">
        <v>5</v>
      </c>
      <c r="AS1369">
        <v>35</v>
      </c>
      <c r="AT1369">
        <v>11522.5</v>
      </c>
      <c r="AU1369" t="s">
        <v>34</v>
      </c>
    </row>
    <row r="1370" spans="1:47" x14ac:dyDescent="0.2">
      <c r="A1370">
        <v>2022</v>
      </c>
      <c r="B1370" t="s">
        <v>779</v>
      </c>
      <c r="C1370">
        <v>24</v>
      </c>
      <c r="D1370" t="s">
        <v>562</v>
      </c>
      <c r="G1370" t="str">
        <f t="shared" si="21"/>
        <v>SWL201324UTN4</v>
      </c>
      <c r="H1370">
        <v>67.499916670000005</v>
      </c>
      <c r="I1370">
        <v>-168.94326670000001</v>
      </c>
      <c r="J1370" s="3">
        <v>20130719</v>
      </c>
      <c r="K1370">
        <v>2013</v>
      </c>
      <c r="L1370">
        <v>9.1720100000000002</v>
      </c>
      <c r="M1370">
        <v>69.777469999999994</v>
      </c>
      <c r="N1370">
        <v>3.1299299999999999</v>
      </c>
      <c r="O1370">
        <v>0</v>
      </c>
      <c r="P1370">
        <v>0.17091000000000001</v>
      </c>
      <c r="Q1370">
        <v>0</v>
      </c>
      <c r="R1370">
        <v>1.1044700000000001</v>
      </c>
      <c r="S1370">
        <v>0.10655000000000001</v>
      </c>
      <c r="T1370">
        <v>0.11123</v>
      </c>
      <c r="U1370">
        <v>4.7299999999999998E-3</v>
      </c>
      <c r="V1370">
        <v>83.577299999999994</v>
      </c>
      <c r="W1370" t="s">
        <v>10</v>
      </c>
      <c r="X1370">
        <v>146.38900000000001</v>
      </c>
      <c r="Y1370">
        <v>2240.54</v>
      </c>
      <c r="Z1370">
        <v>34.610999999999997</v>
      </c>
      <c r="AA1370">
        <v>0</v>
      </c>
      <c r="AB1370">
        <v>12.208</v>
      </c>
      <c r="AC1370">
        <v>0</v>
      </c>
      <c r="AD1370">
        <v>18.106000000000002</v>
      </c>
      <c r="AE1370">
        <v>7.6109999999999998</v>
      </c>
      <c r="AF1370">
        <v>1.196</v>
      </c>
      <c r="AG1370">
        <v>7.0000000000000007E-2</v>
      </c>
      <c r="AH1370">
        <v>2460.7310000000002</v>
      </c>
      <c r="AI1370" t="s">
        <v>22</v>
      </c>
      <c r="AJ1370">
        <v>2472.5</v>
      </c>
      <c r="AK1370">
        <v>5920</v>
      </c>
      <c r="AL1370">
        <v>6747.5</v>
      </c>
      <c r="AM1370">
        <v>0</v>
      </c>
      <c r="AN1370">
        <v>35</v>
      </c>
      <c r="AO1370">
        <v>0</v>
      </c>
      <c r="AP1370">
        <v>65</v>
      </c>
      <c r="AQ1370">
        <v>15</v>
      </c>
      <c r="AR1370">
        <v>12.5</v>
      </c>
      <c r="AS1370">
        <v>57.5</v>
      </c>
      <c r="AT1370">
        <v>15325</v>
      </c>
      <c r="AU1370" t="s">
        <v>35</v>
      </c>
    </row>
    <row r="1371" spans="1:47" x14ac:dyDescent="0.2">
      <c r="A1371">
        <v>2023</v>
      </c>
      <c r="B1371" t="s">
        <v>779</v>
      </c>
      <c r="C1371">
        <v>25</v>
      </c>
      <c r="D1371" t="s">
        <v>306</v>
      </c>
      <c r="G1371" t="str">
        <f t="shared" si="21"/>
        <v>SWL201325UTN5=SEC1</v>
      </c>
      <c r="H1371">
        <v>67.670316670000005</v>
      </c>
      <c r="I1371">
        <v>-168.94308330000001</v>
      </c>
      <c r="J1371" s="3">
        <v>20130719</v>
      </c>
      <c r="K1371">
        <v>2013</v>
      </c>
      <c r="L1371">
        <v>3.39852</v>
      </c>
      <c r="M1371">
        <v>139.64062000000001</v>
      </c>
      <c r="N1371">
        <v>2.15455</v>
      </c>
      <c r="O1371">
        <v>3.9199999999999999E-3</v>
      </c>
      <c r="P1371">
        <v>4.6000000000000001E-4</v>
      </c>
      <c r="Q1371">
        <v>0</v>
      </c>
      <c r="R1371">
        <v>2.5133200000000002</v>
      </c>
      <c r="S1371">
        <v>3.9030000000000002E-2</v>
      </c>
      <c r="T1371">
        <v>4.4170000000000001E-2</v>
      </c>
      <c r="U1371">
        <v>0.16325000000000001</v>
      </c>
      <c r="V1371">
        <v>147.95784</v>
      </c>
      <c r="W1371" t="s">
        <v>10</v>
      </c>
      <c r="X1371">
        <v>56.969000000000001</v>
      </c>
      <c r="Y1371">
        <v>4191.3869999999997</v>
      </c>
      <c r="Z1371">
        <v>24.353000000000002</v>
      </c>
      <c r="AA1371">
        <v>8.6999999999999994E-2</v>
      </c>
      <c r="AB1371">
        <v>3.3000000000000002E-2</v>
      </c>
      <c r="AC1371">
        <v>0</v>
      </c>
      <c r="AD1371">
        <v>41.201999999999998</v>
      </c>
      <c r="AE1371">
        <v>2.7879999999999998</v>
      </c>
      <c r="AF1371">
        <v>0.47499999999999998</v>
      </c>
      <c r="AG1371">
        <v>3.6230000000000002</v>
      </c>
      <c r="AH1371">
        <v>4320.9170000000004</v>
      </c>
      <c r="AI1371" t="s">
        <v>22</v>
      </c>
      <c r="AJ1371">
        <v>1410</v>
      </c>
      <c r="AK1371">
        <v>2890</v>
      </c>
      <c r="AL1371">
        <v>5605</v>
      </c>
      <c r="AM1371">
        <v>20</v>
      </c>
      <c r="AN1371">
        <v>2.5</v>
      </c>
      <c r="AO1371">
        <v>0</v>
      </c>
      <c r="AP1371">
        <v>97.5</v>
      </c>
      <c r="AQ1371">
        <v>7.5</v>
      </c>
      <c r="AR1371">
        <v>15</v>
      </c>
      <c r="AS1371">
        <v>30</v>
      </c>
      <c r="AT1371">
        <v>10077.5</v>
      </c>
      <c r="AU1371" t="s">
        <v>35</v>
      </c>
    </row>
    <row r="1372" spans="1:47" x14ac:dyDescent="0.2">
      <c r="A1372">
        <v>2024</v>
      </c>
      <c r="B1372" t="s">
        <v>779</v>
      </c>
      <c r="C1372">
        <v>26</v>
      </c>
      <c r="D1372" t="s">
        <v>563</v>
      </c>
      <c r="G1372" t="str">
        <f t="shared" si="21"/>
        <v>SWL201326UTN6</v>
      </c>
      <c r="H1372">
        <v>67.741683330000001</v>
      </c>
      <c r="I1372">
        <v>-168.43513329999999</v>
      </c>
      <c r="J1372" s="3">
        <v>20130719</v>
      </c>
      <c r="K1372">
        <v>2013</v>
      </c>
      <c r="L1372">
        <v>7.3055500000000002</v>
      </c>
      <c r="M1372">
        <v>28.20947</v>
      </c>
      <c r="N1372">
        <v>6.8109799999999998</v>
      </c>
      <c r="O1372">
        <v>0</v>
      </c>
      <c r="P1372">
        <v>0</v>
      </c>
      <c r="Q1372">
        <v>0</v>
      </c>
      <c r="R1372">
        <v>3.77956</v>
      </c>
      <c r="S1372">
        <v>0</v>
      </c>
      <c r="T1372">
        <v>0.31518000000000002</v>
      </c>
      <c r="U1372">
        <v>8.7540000000000007E-2</v>
      </c>
      <c r="V1372">
        <v>46.508279999999999</v>
      </c>
      <c r="W1372" t="s">
        <v>10</v>
      </c>
      <c r="X1372">
        <v>117.098</v>
      </c>
      <c r="Y1372">
        <v>830.38599999999997</v>
      </c>
      <c r="Z1372">
        <v>74.599000000000004</v>
      </c>
      <c r="AA1372">
        <v>0</v>
      </c>
      <c r="AB1372">
        <v>0</v>
      </c>
      <c r="AC1372">
        <v>0</v>
      </c>
      <c r="AD1372">
        <v>61.96</v>
      </c>
      <c r="AE1372">
        <v>0</v>
      </c>
      <c r="AF1372">
        <v>3.3889999999999998</v>
      </c>
      <c r="AG1372">
        <v>1.9419999999999999</v>
      </c>
      <c r="AH1372">
        <v>1089.374</v>
      </c>
      <c r="AI1372" t="s">
        <v>22</v>
      </c>
      <c r="AJ1372">
        <v>1245</v>
      </c>
      <c r="AK1372">
        <v>1062.5</v>
      </c>
      <c r="AL1372">
        <v>10777.5</v>
      </c>
      <c r="AM1372">
        <v>0</v>
      </c>
      <c r="AN1372">
        <v>0</v>
      </c>
      <c r="AO1372">
        <v>0</v>
      </c>
      <c r="AP1372">
        <v>110</v>
      </c>
      <c r="AQ1372">
        <v>0</v>
      </c>
      <c r="AR1372">
        <v>7.5</v>
      </c>
      <c r="AS1372">
        <v>20</v>
      </c>
      <c r="AT1372">
        <v>13222.5</v>
      </c>
      <c r="AU1372" t="s">
        <v>35</v>
      </c>
    </row>
    <row r="1373" spans="1:47" x14ac:dyDescent="0.2">
      <c r="A1373">
        <v>2025</v>
      </c>
      <c r="B1373" t="s">
        <v>779</v>
      </c>
      <c r="C1373">
        <v>27</v>
      </c>
      <c r="D1373" t="s">
        <v>258</v>
      </c>
      <c r="G1373" t="str">
        <f t="shared" si="21"/>
        <v>SWL201327SEC2</v>
      </c>
      <c r="H1373">
        <v>67.779266669999998</v>
      </c>
      <c r="I1373">
        <v>-168.608</v>
      </c>
      <c r="J1373" s="3">
        <v>20130719</v>
      </c>
      <c r="K1373">
        <v>2013</v>
      </c>
      <c r="L1373">
        <v>6.4091399999999998</v>
      </c>
      <c r="M1373">
        <v>23.379190000000001</v>
      </c>
      <c r="N1373">
        <v>5.9690500000000002</v>
      </c>
      <c r="O1373">
        <v>0</v>
      </c>
      <c r="P1373">
        <v>5.1999999999999995E-4</v>
      </c>
      <c r="Q1373">
        <v>0</v>
      </c>
      <c r="R1373">
        <v>1.3440099999999999</v>
      </c>
      <c r="S1373">
        <v>0</v>
      </c>
      <c r="T1373">
        <v>1.172E-2</v>
      </c>
      <c r="U1373">
        <v>4.1000000000000003E-3</v>
      </c>
      <c r="V1373">
        <v>37.117730000000002</v>
      </c>
      <c r="W1373" t="s">
        <v>10</v>
      </c>
      <c r="X1373">
        <v>97.578999999999994</v>
      </c>
      <c r="Y1373">
        <v>738.66</v>
      </c>
      <c r="Z1373">
        <v>65.222999999999999</v>
      </c>
      <c r="AA1373">
        <v>0</v>
      </c>
      <c r="AB1373">
        <v>3.6999999999999998E-2</v>
      </c>
      <c r="AC1373">
        <v>0</v>
      </c>
      <c r="AD1373">
        <v>22.033000000000001</v>
      </c>
      <c r="AE1373">
        <v>0</v>
      </c>
      <c r="AF1373">
        <v>0.126</v>
      </c>
      <c r="AG1373">
        <v>5.8000000000000003E-2</v>
      </c>
      <c r="AH1373">
        <v>923.71600000000001</v>
      </c>
      <c r="AI1373" t="s">
        <v>22</v>
      </c>
      <c r="AJ1373">
        <v>1142.5</v>
      </c>
      <c r="AK1373">
        <v>1505</v>
      </c>
      <c r="AL1373">
        <v>9622.5</v>
      </c>
      <c r="AM1373">
        <v>0</v>
      </c>
      <c r="AN1373">
        <v>2.5</v>
      </c>
      <c r="AO1373">
        <v>0</v>
      </c>
      <c r="AP1373">
        <v>52.5</v>
      </c>
      <c r="AQ1373">
        <v>0</v>
      </c>
      <c r="AR1373">
        <v>12.5</v>
      </c>
      <c r="AS1373">
        <v>80</v>
      </c>
      <c r="AT1373">
        <v>12417.5</v>
      </c>
      <c r="AU1373" t="s">
        <v>35</v>
      </c>
    </row>
    <row r="1374" spans="1:47" x14ac:dyDescent="0.2">
      <c r="A1374">
        <v>2026</v>
      </c>
      <c r="B1374" t="s">
        <v>779</v>
      </c>
      <c r="C1374">
        <v>32</v>
      </c>
      <c r="D1374" t="s">
        <v>233</v>
      </c>
      <c r="G1374" t="str">
        <f t="shared" si="21"/>
        <v>SWL201332SEC4</v>
      </c>
      <c r="H1374">
        <v>68.013800000000003</v>
      </c>
      <c r="I1374">
        <v>-167.86779999999999</v>
      </c>
      <c r="J1374" s="3">
        <v>20130720</v>
      </c>
      <c r="K1374">
        <v>2013</v>
      </c>
      <c r="L1374">
        <v>5.6665599999999996</v>
      </c>
      <c r="M1374">
        <v>4.5879899999999996</v>
      </c>
      <c r="N1374">
        <v>0.26089000000000001</v>
      </c>
      <c r="O1374">
        <v>0</v>
      </c>
      <c r="P1374">
        <v>0</v>
      </c>
      <c r="Q1374">
        <v>4.0999999999999999E-4</v>
      </c>
      <c r="R1374">
        <v>9.2960000000000001E-2</v>
      </c>
      <c r="S1374">
        <v>4.548E-2</v>
      </c>
      <c r="T1374">
        <v>0</v>
      </c>
      <c r="U1374">
        <v>1.193E-2</v>
      </c>
      <c r="V1374">
        <v>10.666219999999999</v>
      </c>
      <c r="W1374" t="s">
        <v>9</v>
      </c>
      <c r="X1374">
        <v>81.736000000000004</v>
      </c>
      <c r="Y1374">
        <v>130.41300000000001</v>
      </c>
      <c r="Z1374">
        <v>3.5350000000000001</v>
      </c>
      <c r="AA1374">
        <v>0</v>
      </c>
      <c r="AB1374">
        <v>0</v>
      </c>
      <c r="AC1374">
        <v>3.6999999999999998E-2</v>
      </c>
      <c r="AD1374">
        <v>1.524</v>
      </c>
      <c r="AE1374">
        <v>1.673</v>
      </c>
      <c r="AF1374">
        <v>0</v>
      </c>
      <c r="AG1374">
        <v>0.40100000000000002</v>
      </c>
      <c r="AH1374">
        <v>219.31899999999999</v>
      </c>
      <c r="AI1374" t="s">
        <v>22</v>
      </c>
      <c r="AJ1374">
        <v>767.5</v>
      </c>
      <c r="AK1374">
        <v>897.5</v>
      </c>
      <c r="AL1374">
        <v>1017.5</v>
      </c>
      <c r="AM1374">
        <v>0</v>
      </c>
      <c r="AN1374">
        <v>2.5</v>
      </c>
      <c r="AO1374">
        <v>2.5</v>
      </c>
      <c r="AP1374">
        <v>2.5</v>
      </c>
      <c r="AQ1374">
        <v>2.5</v>
      </c>
      <c r="AR1374">
        <v>0</v>
      </c>
      <c r="AS1374">
        <v>35</v>
      </c>
      <c r="AT1374">
        <v>2727.5</v>
      </c>
      <c r="AU1374" t="s">
        <v>35</v>
      </c>
    </row>
    <row r="1375" spans="1:47" x14ac:dyDescent="0.2">
      <c r="A1375">
        <v>2027</v>
      </c>
      <c r="B1375" t="s">
        <v>779</v>
      </c>
      <c r="C1375">
        <v>33</v>
      </c>
      <c r="D1375" t="s">
        <v>254</v>
      </c>
      <c r="G1375" t="str">
        <f t="shared" si="21"/>
        <v>SWL201333SEC3</v>
      </c>
      <c r="H1375">
        <v>67.898183329999995</v>
      </c>
      <c r="I1375">
        <v>-168.2322667</v>
      </c>
      <c r="J1375" s="3">
        <v>20130720</v>
      </c>
      <c r="K1375">
        <v>2013</v>
      </c>
      <c r="L1375">
        <v>9.7085000000000008</v>
      </c>
      <c r="M1375">
        <v>9.0991900000000001</v>
      </c>
      <c r="N1375">
        <v>5.8691800000000001</v>
      </c>
      <c r="O1375">
        <v>0</v>
      </c>
      <c r="P1375">
        <v>0</v>
      </c>
      <c r="Q1375">
        <v>0</v>
      </c>
      <c r="R1375">
        <v>1.2475700000000001</v>
      </c>
      <c r="S1375">
        <v>9.325E-2</v>
      </c>
      <c r="T1375">
        <v>0</v>
      </c>
      <c r="U1375">
        <v>7.9990000000000006E-2</v>
      </c>
      <c r="V1375">
        <v>26.09768</v>
      </c>
      <c r="W1375" t="s">
        <v>9</v>
      </c>
      <c r="X1375">
        <v>192.38900000000001</v>
      </c>
      <c r="Y1375">
        <v>274.09100000000001</v>
      </c>
      <c r="Z1375">
        <v>63.97</v>
      </c>
      <c r="AA1375">
        <v>0</v>
      </c>
      <c r="AB1375">
        <v>0</v>
      </c>
      <c r="AC1375">
        <v>0</v>
      </c>
      <c r="AD1375">
        <v>20.452000000000002</v>
      </c>
      <c r="AE1375">
        <v>6.6609999999999996</v>
      </c>
      <c r="AF1375">
        <v>0</v>
      </c>
      <c r="AG1375">
        <v>1.782</v>
      </c>
      <c r="AH1375">
        <v>559.34500000000003</v>
      </c>
      <c r="AI1375" t="s">
        <v>22</v>
      </c>
      <c r="AJ1375">
        <v>1290</v>
      </c>
      <c r="AK1375">
        <v>565</v>
      </c>
      <c r="AL1375">
        <v>9145</v>
      </c>
      <c r="AM1375">
        <v>0</v>
      </c>
      <c r="AN1375">
        <v>0</v>
      </c>
      <c r="AO1375">
        <v>0</v>
      </c>
      <c r="AP1375">
        <v>22.5</v>
      </c>
      <c r="AQ1375">
        <v>2.5</v>
      </c>
      <c r="AR1375">
        <v>0</v>
      </c>
      <c r="AS1375">
        <v>5</v>
      </c>
      <c r="AT1375">
        <v>11030</v>
      </c>
      <c r="AU1375" t="s">
        <v>35</v>
      </c>
    </row>
    <row r="1376" spans="1:47" x14ac:dyDescent="0.2">
      <c r="A1376">
        <v>2028</v>
      </c>
      <c r="B1376" t="s">
        <v>779</v>
      </c>
      <c r="C1376">
        <v>34</v>
      </c>
      <c r="D1376" t="s">
        <v>564</v>
      </c>
      <c r="G1376" t="str">
        <f t="shared" si="21"/>
        <v>SWL201334UTN7</v>
      </c>
      <c r="H1376">
        <v>67.998733329999993</v>
      </c>
      <c r="I1376">
        <v>-168.94061669999999</v>
      </c>
      <c r="J1376" s="3">
        <v>20130720</v>
      </c>
      <c r="K1376">
        <v>2013</v>
      </c>
      <c r="L1376">
        <v>1.3825700000000001</v>
      </c>
      <c r="M1376">
        <v>14.46801</v>
      </c>
      <c r="N1376">
        <v>8.7994299999999992</v>
      </c>
      <c r="O1376">
        <v>0</v>
      </c>
      <c r="P1376">
        <v>0</v>
      </c>
      <c r="Q1376">
        <v>0</v>
      </c>
      <c r="R1376">
        <v>0.75066999999999995</v>
      </c>
      <c r="S1376">
        <v>0</v>
      </c>
      <c r="T1376">
        <v>0</v>
      </c>
      <c r="U1376">
        <v>8.2750000000000004E-2</v>
      </c>
      <c r="V1376">
        <v>25.483429999999998</v>
      </c>
      <c r="W1376" t="s">
        <v>10</v>
      </c>
      <c r="X1376">
        <v>19.870999999999999</v>
      </c>
      <c r="Y1376">
        <v>411.142</v>
      </c>
      <c r="Z1376">
        <v>95.93</v>
      </c>
      <c r="AA1376">
        <v>0</v>
      </c>
      <c r="AB1376">
        <v>0</v>
      </c>
      <c r="AC1376">
        <v>0</v>
      </c>
      <c r="AD1376">
        <v>12.305999999999999</v>
      </c>
      <c r="AE1376">
        <v>0</v>
      </c>
      <c r="AF1376">
        <v>0</v>
      </c>
      <c r="AG1376">
        <v>1.151</v>
      </c>
      <c r="AH1376">
        <v>540.4</v>
      </c>
      <c r="AI1376" t="s">
        <v>22</v>
      </c>
      <c r="AJ1376">
        <v>572.5</v>
      </c>
      <c r="AK1376">
        <v>470</v>
      </c>
      <c r="AL1376">
        <v>13052.5</v>
      </c>
      <c r="AM1376">
        <v>0</v>
      </c>
      <c r="AN1376">
        <v>0</v>
      </c>
      <c r="AO1376">
        <v>0</v>
      </c>
      <c r="AP1376">
        <v>17.5</v>
      </c>
      <c r="AQ1376">
        <v>0</v>
      </c>
      <c r="AR1376">
        <v>0</v>
      </c>
      <c r="AS1376">
        <v>1117.5</v>
      </c>
      <c r="AT1376">
        <v>15230</v>
      </c>
      <c r="AU1376" t="s">
        <v>35</v>
      </c>
    </row>
    <row r="1377" spans="1:47" x14ac:dyDescent="0.2">
      <c r="A1377">
        <v>2029</v>
      </c>
      <c r="B1377" t="s">
        <v>779</v>
      </c>
      <c r="C1377">
        <v>35</v>
      </c>
      <c r="D1377" t="s">
        <v>780</v>
      </c>
      <c r="G1377" t="str">
        <f t="shared" si="21"/>
        <v>SWL201335DBO4.6</v>
      </c>
      <c r="H1377">
        <v>71.614816669999996</v>
      </c>
      <c r="I1377">
        <v>-163.78496670000001</v>
      </c>
      <c r="J1377" s="3">
        <v>20130721</v>
      </c>
      <c r="K1377">
        <v>2013</v>
      </c>
      <c r="L1377">
        <v>7.4946999999999999</v>
      </c>
      <c r="M1377">
        <v>3.3299500000000002</v>
      </c>
      <c r="N1377">
        <v>0.23599000000000001</v>
      </c>
      <c r="O1377">
        <v>2.759E-2</v>
      </c>
      <c r="P1377">
        <v>0.35371999999999998</v>
      </c>
      <c r="Q1377">
        <v>0</v>
      </c>
      <c r="R1377">
        <v>0</v>
      </c>
      <c r="S1377">
        <v>6.8890000000000007E-2</v>
      </c>
      <c r="T1377">
        <v>0.17921000000000001</v>
      </c>
      <c r="U1377">
        <v>0.11963</v>
      </c>
      <c r="V1377">
        <v>11.80968</v>
      </c>
      <c r="W1377" t="s">
        <v>9</v>
      </c>
      <c r="X1377">
        <v>106.274</v>
      </c>
      <c r="Y1377">
        <v>93.543999999999997</v>
      </c>
      <c r="Z1377">
        <v>3.359</v>
      </c>
      <c r="AA1377">
        <v>0.61299999999999999</v>
      </c>
      <c r="AB1377">
        <v>25.265999999999998</v>
      </c>
      <c r="AC1377">
        <v>0</v>
      </c>
      <c r="AD1377">
        <v>0</v>
      </c>
      <c r="AE1377">
        <v>4.9210000000000003</v>
      </c>
      <c r="AF1377">
        <v>1.927</v>
      </c>
      <c r="AG1377">
        <v>2.714</v>
      </c>
      <c r="AH1377">
        <v>238.61799999999999</v>
      </c>
      <c r="AI1377" t="s">
        <v>21</v>
      </c>
      <c r="AJ1377">
        <v>1097.5</v>
      </c>
      <c r="AK1377">
        <v>610</v>
      </c>
      <c r="AL1377">
        <v>302.5</v>
      </c>
      <c r="AM1377">
        <v>10</v>
      </c>
      <c r="AN1377">
        <v>45</v>
      </c>
      <c r="AO1377">
        <v>0</v>
      </c>
      <c r="AP1377">
        <v>0</v>
      </c>
      <c r="AQ1377">
        <v>5</v>
      </c>
      <c r="AR1377">
        <v>20</v>
      </c>
      <c r="AS1377">
        <v>130</v>
      </c>
      <c r="AT1377">
        <v>2220</v>
      </c>
      <c r="AU1377" t="s">
        <v>33</v>
      </c>
    </row>
    <row r="1378" spans="1:47" x14ac:dyDescent="0.2">
      <c r="A1378">
        <v>2030</v>
      </c>
      <c r="B1378" t="s">
        <v>779</v>
      </c>
      <c r="C1378">
        <v>36</v>
      </c>
      <c r="D1378" t="s">
        <v>781</v>
      </c>
      <c r="G1378" t="str">
        <f t="shared" si="21"/>
        <v>SWL201336DBO4.5</v>
      </c>
      <c r="H1378">
        <v>71.491416670000007</v>
      </c>
      <c r="I1378">
        <v>-163.40558329999999</v>
      </c>
      <c r="J1378" s="3">
        <v>20130721</v>
      </c>
      <c r="K1378">
        <v>2013</v>
      </c>
      <c r="L1378">
        <v>4.6667500000000004</v>
      </c>
      <c r="M1378">
        <v>6.4634799999999997</v>
      </c>
      <c r="N1378">
        <v>0.38223000000000001</v>
      </c>
      <c r="O1378">
        <v>0.21226</v>
      </c>
      <c r="P1378">
        <v>0.53297000000000005</v>
      </c>
      <c r="Q1378">
        <v>0</v>
      </c>
      <c r="R1378">
        <v>4.3299999999999996E-3</v>
      </c>
      <c r="S1378">
        <v>5.015E-2</v>
      </c>
      <c r="T1378">
        <v>0.13625000000000001</v>
      </c>
      <c r="U1378">
        <v>0.18659000000000001</v>
      </c>
      <c r="V1378">
        <v>12.635009999999999</v>
      </c>
      <c r="W1378" t="s">
        <v>10</v>
      </c>
      <c r="X1378">
        <v>62.497</v>
      </c>
      <c r="Y1378">
        <v>304.62700000000001</v>
      </c>
      <c r="Z1378">
        <v>5.3079999999999998</v>
      </c>
      <c r="AA1378">
        <v>4.7169999999999996</v>
      </c>
      <c r="AB1378">
        <v>38.069000000000003</v>
      </c>
      <c r="AC1378">
        <v>0</v>
      </c>
      <c r="AD1378">
        <v>7.0999999999999994E-2</v>
      </c>
      <c r="AE1378">
        <v>3.5819999999999999</v>
      </c>
      <c r="AF1378">
        <v>1.4650000000000001</v>
      </c>
      <c r="AG1378">
        <v>5.9210000000000003</v>
      </c>
      <c r="AH1378">
        <v>426.25700000000001</v>
      </c>
      <c r="AI1378" t="s">
        <v>22</v>
      </c>
      <c r="AJ1378">
        <v>1482.5</v>
      </c>
      <c r="AK1378">
        <v>380</v>
      </c>
      <c r="AL1378">
        <v>1315</v>
      </c>
      <c r="AM1378">
        <v>42.5</v>
      </c>
      <c r="AN1378">
        <v>77.5</v>
      </c>
      <c r="AO1378">
        <v>0</v>
      </c>
      <c r="AP1378">
        <v>0</v>
      </c>
      <c r="AQ1378">
        <v>5</v>
      </c>
      <c r="AR1378">
        <v>20</v>
      </c>
      <c r="AS1378">
        <v>170</v>
      </c>
      <c r="AT1378">
        <v>3492.5</v>
      </c>
      <c r="AU1378" t="s">
        <v>33</v>
      </c>
    </row>
    <row r="1379" spans="1:47" x14ac:dyDescent="0.2">
      <c r="A1379">
        <v>2031</v>
      </c>
      <c r="B1379" t="s">
        <v>779</v>
      </c>
      <c r="C1379">
        <v>37</v>
      </c>
      <c r="D1379" t="s">
        <v>782</v>
      </c>
      <c r="G1379" t="str">
        <f t="shared" si="21"/>
        <v>SWL201337DBO4.4</v>
      </c>
      <c r="H1379">
        <v>71.360333330000003</v>
      </c>
      <c r="I1379">
        <v>-163.02781669999999</v>
      </c>
      <c r="J1379" s="3">
        <v>20130722</v>
      </c>
      <c r="K1379">
        <v>2013</v>
      </c>
      <c r="L1379">
        <v>9.2890700000000006</v>
      </c>
      <c r="M1379">
        <v>4.9311400000000001</v>
      </c>
      <c r="N1379">
        <v>0.67418</v>
      </c>
      <c r="O1379">
        <v>2.5533000000000001</v>
      </c>
      <c r="P1379">
        <v>0.44120999999999999</v>
      </c>
      <c r="Q1379">
        <v>0</v>
      </c>
      <c r="R1379">
        <v>2.7499999999999998E-3</v>
      </c>
      <c r="S1379">
        <v>0</v>
      </c>
      <c r="T1379">
        <v>0.30625000000000002</v>
      </c>
      <c r="U1379">
        <v>2.8750000000000001E-2</v>
      </c>
      <c r="V1379">
        <v>18.226649999999999</v>
      </c>
      <c r="W1379" t="s">
        <v>9</v>
      </c>
      <c r="X1379">
        <v>132.77000000000001</v>
      </c>
      <c r="Y1379">
        <v>143.345</v>
      </c>
      <c r="Z1379">
        <v>9.3230000000000004</v>
      </c>
      <c r="AA1379">
        <v>56.74</v>
      </c>
      <c r="AB1379">
        <v>31.515000000000001</v>
      </c>
      <c r="AC1379">
        <v>0</v>
      </c>
      <c r="AD1379">
        <v>4.4999999999999998E-2</v>
      </c>
      <c r="AE1379">
        <v>0</v>
      </c>
      <c r="AF1379">
        <v>3.2930000000000001</v>
      </c>
      <c r="AG1379">
        <v>0.58199999999999996</v>
      </c>
      <c r="AH1379">
        <v>377.613</v>
      </c>
      <c r="AI1379" t="s">
        <v>22</v>
      </c>
      <c r="AJ1379">
        <v>5252.5</v>
      </c>
      <c r="AK1379">
        <v>592.5</v>
      </c>
      <c r="AL1379">
        <v>2080</v>
      </c>
      <c r="AM1379">
        <v>25</v>
      </c>
      <c r="AN1379">
        <v>100</v>
      </c>
      <c r="AO1379">
        <v>0</v>
      </c>
      <c r="AP1379">
        <v>0</v>
      </c>
      <c r="AQ1379">
        <v>0</v>
      </c>
      <c r="AR1379">
        <v>42.5</v>
      </c>
      <c r="AS1379">
        <v>65</v>
      </c>
      <c r="AT1379">
        <v>8157.5</v>
      </c>
      <c r="AU1379" t="s">
        <v>33</v>
      </c>
    </row>
    <row r="1380" spans="1:47" x14ac:dyDescent="0.2">
      <c r="A1380">
        <v>2032</v>
      </c>
      <c r="B1380" t="s">
        <v>779</v>
      </c>
      <c r="C1380">
        <v>38</v>
      </c>
      <c r="D1380" t="s">
        <v>783</v>
      </c>
      <c r="G1380" t="str">
        <f t="shared" si="21"/>
        <v>SWL201338DBO4.3</v>
      </c>
      <c r="H1380">
        <v>71.232416670000006</v>
      </c>
      <c r="I1380">
        <v>-162.64026670000001</v>
      </c>
      <c r="J1380" s="3">
        <v>20130722</v>
      </c>
      <c r="K1380">
        <v>2013</v>
      </c>
      <c r="L1380">
        <v>2.09443</v>
      </c>
      <c r="M1380">
        <v>3.16988</v>
      </c>
      <c r="N1380">
        <v>0.36706</v>
      </c>
      <c r="O1380">
        <v>1.9967900000000001</v>
      </c>
      <c r="P1380">
        <v>0.50910999999999995</v>
      </c>
      <c r="Q1380">
        <v>0</v>
      </c>
      <c r="R1380">
        <v>0.12511</v>
      </c>
      <c r="S1380">
        <v>0</v>
      </c>
      <c r="T1380">
        <v>1.9619999999999999E-2</v>
      </c>
      <c r="U1380">
        <v>3.6555300000000002</v>
      </c>
      <c r="V1380">
        <v>11.937530000000001</v>
      </c>
      <c r="W1380" t="s">
        <v>18</v>
      </c>
      <c r="X1380">
        <v>28.22</v>
      </c>
      <c r="Y1380">
        <v>110.47</v>
      </c>
      <c r="Z1380">
        <v>5.0359999999999996</v>
      </c>
      <c r="AA1380">
        <v>44.372999999999998</v>
      </c>
      <c r="AB1380">
        <v>36.365000000000002</v>
      </c>
      <c r="AC1380">
        <v>0</v>
      </c>
      <c r="AD1380">
        <v>2.0510000000000002</v>
      </c>
      <c r="AE1380">
        <v>0</v>
      </c>
      <c r="AF1380">
        <v>0.21099999999999999</v>
      </c>
      <c r="AG1380">
        <v>151.70699999999999</v>
      </c>
      <c r="AH1380">
        <v>378.43299999999999</v>
      </c>
      <c r="AI1380" t="s">
        <v>30</v>
      </c>
      <c r="AJ1380">
        <v>710</v>
      </c>
      <c r="AK1380">
        <v>687.5</v>
      </c>
      <c r="AL1380">
        <v>2647.5</v>
      </c>
      <c r="AM1380">
        <v>42.5</v>
      </c>
      <c r="AN1380">
        <v>97.5</v>
      </c>
      <c r="AO1380">
        <v>0</v>
      </c>
      <c r="AP1380">
        <v>15</v>
      </c>
      <c r="AQ1380">
        <v>0</v>
      </c>
      <c r="AR1380">
        <v>10</v>
      </c>
      <c r="AS1380">
        <v>87.5</v>
      </c>
      <c r="AT1380">
        <v>4297.5</v>
      </c>
      <c r="AU1380" t="s">
        <v>35</v>
      </c>
    </row>
    <row r="1381" spans="1:47" x14ac:dyDescent="0.2">
      <c r="A1381">
        <v>2033</v>
      </c>
      <c r="B1381" t="s">
        <v>779</v>
      </c>
      <c r="C1381">
        <v>39</v>
      </c>
      <c r="D1381" t="s">
        <v>784</v>
      </c>
      <c r="G1381" t="str">
        <f t="shared" si="21"/>
        <v>SWL201339DBO4.2</v>
      </c>
      <c r="H1381">
        <v>71.102766669999994</v>
      </c>
      <c r="I1381">
        <v>-162.27653330000001</v>
      </c>
      <c r="J1381" s="3">
        <v>20130722</v>
      </c>
      <c r="K1381">
        <v>2013</v>
      </c>
      <c r="L1381">
        <v>7.9215999999999998</v>
      </c>
      <c r="M1381">
        <v>7.3683699999999996</v>
      </c>
      <c r="N1381">
        <v>0.43440000000000001</v>
      </c>
      <c r="O1381">
        <v>1.3600000000000001E-3</v>
      </c>
      <c r="P1381">
        <v>9.6350000000000005E-2</v>
      </c>
      <c r="Q1381">
        <v>0</v>
      </c>
      <c r="R1381">
        <v>0.18129000000000001</v>
      </c>
      <c r="S1381">
        <v>2.1000000000000001E-4</v>
      </c>
      <c r="T1381">
        <v>7.0309999999999997E-2</v>
      </c>
      <c r="U1381">
        <v>0.10919</v>
      </c>
      <c r="V1381">
        <v>16.18308</v>
      </c>
      <c r="W1381" t="s">
        <v>9</v>
      </c>
      <c r="X1381">
        <v>114.13800000000001</v>
      </c>
      <c r="Y1381">
        <v>389.57299999999998</v>
      </c>
      <c r="Z1381">
        <v>6.2039999999999997</v>
      </c>
      <c r="AA1381">
        <v>0.03</v>
      </c>
      <c r="AB1381">
        <v>6.8819999999999997</v>
      </c>
      <c r="AC1381">
        <v>0</v>
      </c>
      <c r="AD1381">
        <v>2.972</v>
      </c>
      <c r="AE1381">
        <v>5.0000000000000001E-3</v>
      </c>
      <c r="AF1381">
        <v>0.75600000000000001</v>
      </c>
      <c r="AG1381">
        <v>2.6840000000000002</v>
      </c>
      <c r="AH1381">
        <v>523.24400000000003</v>
      </c>
      <c r="AI1381" t="s">
        <v>22</v>
      </c>
      <c r="AJ1381">
        <v>1190</v>
      </c>
      <c r="AK1381">
        <v>843.33399999999995</v>
      </c>
      <c r="AL1381">
        <v>4723.3329999999996</v>
      </c>
      <c r="AM1381">
        <v>13.333</v>
      </c>
      <c r="AN1381">
        <v>83.332999999999998</v>
      </c>
      <c r="AO1381">
        <v>0</v>
      </c>
      <c r="AP1381">
        <v>3.3330000000000002</v>
      </c>
      <c r="AQ1381">
        <v>3.3330000000000002</v>
      </c>
      <c r="AR1381">
        <v>26.667000000000002</v>
      </c>
      <c r="AS1381">
        <v>209.999</v>
      </c>
      <c r="AT1381">
        <v>7096.665</v>
      </c>
      <c r="AU1381" t="s">
        <v>35</v>
      </c>
    </row>
    <row r="1382" spans="1:47" x14ac:dyDescent="0.2">
      <c r="A1382">
        <v>2034</v>
      </c>
      <c r="B1382" t="s">
        <v>779</v>
      </c>
      <c r="C1382">
        <v>40</v>
      </c>
      <c r="D1382" t="s">
        <v>785</v>
      </c>
      <c r="G1382" t="str">
        <f t="shared" si="21"/>
        <v>SWL201340DBO4.1</v>
      </c>
      <c r="H1382">
        <v>70.972783329999999</v>
      </c>
      <c r="I1382">
        <v>-161.8991833</v>
      </c>
      <c r="J1382" s="3">
        <v>20130722</v>
      </c>
      <c r="K1382">
        <v>2013</v>
      </c>
      <c r="L1382">
        <v>7.1504599999999998</v>
      </c>
      <c r="M1382">
        <v>7.3348399999999998</v>
      </c>
      <c r="N1382">
        <v>1.8438099999999999</v>
      </c>
      <c r="O1382">
        <v>2.06874</v>
      </c>
      <c r="P1382">
        <v>0.30225999999999997</v>
      </c>
      <c r="Q1382">
        <v>0</v>
      </c>
      <c r="R1382">
        <v>3.9219999999999998E-2</v>
      </c>
      <c r="S1382">
        <v>4.5500000000000002E-3</v>
      </c>
      <c r="T1382">
        <v>8.4820000000000007E-2</v>
      </c>
      <c r="U1382">
        <v>0.14307</v>
      </c>
      <c r="V1382">
        <v>18.971769999999999</v>
      </c>
      <c r="W1382" t="s">
        <v>10</v>
      </c>
      <c r="X1382">
        <v>100.364</v>
      </c>
      <c r="Y1382">
        <v>445.9</v>
      </c>
      <c r="Z1382">
        <v>26.135000000000002</v>
      </c>
      <c r="AA1382">
        <v>45.972000000000001</v>
      </c>
      <c r="AB1382">
        <v>21.59</v>
      </c>
      <c r="AC1382">
        <v>0</v>
      </c>
      <c r="AD1382">
        <v>0.64300000000000002</v>
      </c>
      <c r="AE1382">
        <v>0.32500000000000001</v>
      </c>
      <c r="AF1382">
        <v>0.91200000000000003</v>
      </c>
      <c r="AG1382">
        <v>13.657</v>
      </c>
      <c r="AH1382">
        <v>655.49800000000005</v>
      </c>
      <c r="AI1382" t="s">
        <v>22</v>
      </c>
      <c r="AJ1382">
        <v>1203.3330000000001</v>
      </c>
      <c r="AK1382">
        <v>746.66700000000003</v>
      </c>
      <c r="AL1382">
        <v>7373.3310000000001</v>
      </c>
      <c r="AM1382">
        <v>100</v>
      </c>
      <c r="AN1382">
        <v>36.665999999999997</v>
      </c>
      <c r="AO1382">
        <v>0</v>
      </c>
      <c r="AP1382">
        <v>3.3330000000000002</v>
      </c>
      <c r="AQ1382">
        <v>6.6669999999999998</v>
      </c>
      <c r="AR1382">
        <v>26.667000000000002</v>
      </c>
      <c r="AS1382">
        <v>26.664999999999999</v>
      </c>
      <c r="AT1382">
        <v>9523.3289999999997</v>
      </c>
      <c r="AU1382" t="s">
        <v>35</v>
      </c>
    </row>
    <row r="1383" spans="1:47" x14ac:dyDescent="0.2">
      <c r="A1383">
        <v>2035</v>
      </c>
      <c r="B1383" t="s">
        <v>779</v>
      </c>
      <c r="C1383">
        <v>41</v>
      </c>
      <c r="D1383" t="s">
        <v>372</v>
      </c>
      <c r="G1383" t="str">
        <f t="shared" si="21"/>
        <v>SWL201341BarC2</v>
      </c>
      <c r="H1383">
        <v>71.291383330000002</v>
      </c>
      <c r="I1383">
        <v>-157.23050000000001</v>
      </c>
      <c r="J1383" s="3">
        <v>20130722</v>
      </c>
      <c r="K1383">
        <v>2013</v>
      </c>
      <c r="L1383">
        <v>1.5889899999999999</v>
      </c>
      <c r="M1383">
        <v>3.8777900000000001</v>
      </c>
      <c r="N1383">
        <v>1.38381</v>
      </c>
      <c r="O1383">
        <v>0.33966000000000002</v>
      </c>
      <c r="P1383">
        <v>0</v>
      </c>
      <c r="Q1383">
        <v>0</v>
      </c>
      <c r="R1383">
        <v>4.3539899999999996</v>
      </c>
      <c r="S1383">
        <v>0.62151999999999996</v>
      </c>
      <c r="T1383">
        <v>0</v>
      </c>
      <c r="U1383">
        <v>2.7914500000000002</v>
      </c>
      <c r="V1383">
        <v>14.95721</v>
      </c>
      <c r="W1383" t="s">
        <v>15</v>
      </c>
      <c r="X1383">
        <v>22.492999999999999</v>
      </c>
      <c r="Y1383">
        <v>258.36</v>
      </c>
      <c r="Z1383">
        <v>20.271000000000001</v>
      </c>
      <c r="AA1383">
        <v>7.548</v>
      </c>
      <c r="AB1383">
        <v>0</v>
      </c>
      <c r="AC1383">
        <v>0</v>
      </c>
      <c r="AD1383">
        <v>71.376999999999995</v>
      </c>
      <c r="AE1383">
        <v>15.159000000000001</v>
      </c>
      <c r="AF1383">
        <v>0</v>
      </c>
      <c r="AG1383">
        <v>116.301</v>
      </c>
      <c r="AH1383">
        <v>511.50900000000001</v>
      </c>
      <c r="AI1383" t="s">
        <v>22</v>
      </c>
      <c r="AJ1383">
        <v>310</v>
      </c>
      <c r="AK1383">
        <v>80</v>
      </c>
      <c r="AL1383">
        <v>660</v>
      </c>
      <c r="AM1383">
        <v>20</v>
      </c>
      <c r="AN1383">
        <v>0</v>
      </c>
      <c r="AO1383">
        <v>0</v>
      </c>
      <c r="AP1383">
        <v>0</v>
      </c>
      <c r="AQ1383">
        <v>20</v>
      </c>
      <c r="AR1383">
        <v>0</v>
      </c>
      <c r="AS1383">
        <v>40</v>
      </c>
      <c r="AT1383">
        <v>1130</v>
      </c>
      <c r="AU1383" t="s">
        <v>35</v>
      </c>
    </row>
    <row r="1384" spans="1:47" x14ac:dyDescent="0.2">
      <c r="A1384">
        <v>2036</v>
      </c>
      <c r="B1384" t="s">
        <v>779</v>
      </c>
      <c r="C1384">
        <v>42</v>
      </c>
      <c r="D1384" t="s">
        <v>371</v>
      </c>
      <c r="G1384" t="str">
        <f t="shared" si="21"/>
        <v>SWL201342BarC1</v>
      </c>
      <c r="H1384">
        <v>71.244966669999997</v>
      </c>
      <c r="I1384">
        <v>-157.18548329999999</v>
      </c>
      <c r="J1384" s="3">
        <v>20130722</v>
      </c>
      <c r="K1384">
        <v>2013</v>
      </c>
      <c r="L1384">
        <v>9.0615900000000007</v>
      </c>
      <c r="M1384">
        <v>0.55554999999999999</v>
      </c>
      <c r="N1384">
        <v>20.372710000000001</v>
      </c>
      <c r="O1384">
        <v>3.3890000000000003E-2</v>
      </c>
      <c r="P1384">
        <v>0</v>
      </c>
      <c r="Q1384">
        <v>0</v>
      </c>
      <c r="R1384">
        <v>3.3364500000000001</v>
      </c>
      <c r="S1384">
        <v>0.54722999999999999</v>
      </c>
      <c r="T1384">
        <v>0.42537999999999998</v>
      </c>
      <c r="U1384">
        <v>0</v>
      </c>
      <c r="V1384">
        <v>34.332799999999999</v>
      </c>
      <c r="W1384" t="s">
        <v>11</v>
      </c>
      <c r="X1384">
        <v>126.271</v>
      </c>
      <c r="Y1384">
        <v>20.419</v>
      </c>
      <c r="Z1384">
        <v>297.74900000000002</v>
      </c>
      <c r="AA1384">
        <v>0.753</v>
      </c>
      <c r="AB1384">
        <v>0</v>
      </c>
      <c r="AC1384">
        <v>0</v>
      </c>
      <c r="AD1384">
        <v>54.695999999999998</v>
      </c>
      <c r="AE1384">
        <v>13.347</v>
      </c>
      <c r="AF1384">
        <v>4.5739999999999998</v>
      </c>
      <c r="AG1384">
        <v>0</v>
      </c>
      <c r="AH1384">
        <v>517.80899999999997</v>
      </c>
      <c r="AI1384" t="s">
        <v>23</v>
      </c>
      <c r="AJ1384">
        <v>2320</v>
      </c>
      <c r="AK1384">
        <v>700</v>
      </c>
      <c r="AL1384">
        <v>7730</v>
      </c>
      <c r="AM1384">
        <v>120</v>
      </c>
      <c r="AN1384">
        <v>0</v>
      </c>
      <c r="AO1384">
        <v>0</v>
      </c>
      <c r="AP1384">
        <v>20</v>
      </c>
      <c r="AQ1384">
        <v>50</v>
      </c>
      <c r="AR1384">
        <v>180</v>
      </c>
      <c r="AS1384">
        <v>0</v>
      </c>
      <c r="AT1384">
        <v>11120</v>
      </c>
      <c r="AU1384" t="s">
        <v>35</v>
      </c>
    </row>
    <row r="1385" spans="1:47" x14ac:dyDescent="0.2">
      <c r="A1385">
        <v>2037</v>
      </c>
      <c r="B1385" t="s">
        <v>779</v>
      </c>
      <c r="C1385">
        <v>43</v>
      </c>
      <c r="D1385" t="s">
        <v>373</v>
      </c>
      <c r="G1385" t="str">
        <f t="shared" si="21"/>
        <v>SWL201343BarC3</v>
      </c>
      <c r="H1385">
        <v>71.334833329999995</v>
      </c>
      <c r="I1385">
        <v>-157.2937167</v>
      </c>
      <c r="J1385" s="3">
        <v>20130723</v>
      </c>
      <c r="K1385">
        <v>2013</v>
      </c>
      <c r="L1385">
        <v>4.5771899999999999</v>
      </c>
      <c r="M1385">
        <v>4.2693099999999999</v>
      </c>
      <c r="N1385">
        <v>1.65781</v>
      </c>
      <c r="O1385">
        <v>5.2199999999999998E-3</v>
      </c>
      <c r="P1385">
        <v>7.62E-3</v>
      </c>
      <c r="Q1385">
        <v>0</v>
      </c>
      <c r="R1385">
        <v>3.3899499999999998</v>
      </c>
      <c r="S1385">
        <v>0</v>
      </c>
      <c r="T1385">
        <v>0</v>
      </c>
      <c r="U1385">
        <v>6.6E-4</v>
      </c>
      <c r="V1385">
        <v>13.90776</v>
      </c>
      <c r="W1385" t="s">
        <v>9</v>
      </c>
      <c r="X1385">
        <v>65.653000000000006</v>
      </c>
      <c r="Y1385">
        <v>283.39400000000001</v>
      </c>
      <c r="Z1385">
        <v>23.943999999999999</v>
      </c>
      <c r="AA1385">
        <v>0.11600000000000001</v>
      </c>
      <c r="AB1385">
        <v>0.54400000000000004</v>
      </c>
      <c r="AC1385">
        <v>0</v>
      </c>
      <c r="AD1385">
        <v>55.573</v>
      </c>
      <c r="AE1385">
        <v>0</v>
      </c>
      <c r="AF1385">
        <v>0</v>
      </c>
      <c r="AG1385">
        <v>2.1999999999999999E-2</v>
      </c>
      <c r="AH1385">
        <v>429.24599999999998</v>
      </c>
      <c r="AI1385" t="s">
        <v>22</v>
      </c>
      <c r="AJ1385">
        <v>990</v>
      </c>
      <c r="AK1385">
        <v>330</v>
      </c>
      <c r="AL1385">
        <v>1900</v>
      </c>
      <c r="AM1385">
        <v>30</v>
      </c>
      <c r="AN1385">
        <v>20</v>
      </c>
      <c r="AO1385">
        <v>0</v>
      </c>
      <c r="AP1385">
        <v>0</v>
      </c>
      <c r="AQ1385">
        <v>0</v>
      </c>
      <c r="AR1385">
        <v>0</v>
      </c>
      <c r="AS1385">
        <v>10</v>
      </c>
      <c r="AT1385">
        <v>3280</v>
      </c>
      <c r="AU1385" t="s">
        <v>35</v>
      </c>
    </row>
    <row r="1386" spans="1:47" x14ac:dyDescent="0.2">
      <c r="A1386">
        <v>2038</v>
      </c>
      <c r="B1386" t="s">
        <v>779</v>
      </c>
      <c r="C1386">
        <v>44</v>
      </c>
      <c r="D1386" t="s">
        <v>374</v>
      </c>
      <c r="G1386" t="str">
        <f t="shared" si="21"/>
        <v>SWL201344BarC4</v>
      </c>
      <c r="H1386">
        <v>71.372533329999996</v>
      </c>
      <c r="I1386">
        <v>-157.40466670000001</v>
      </c>
      <c r="J1386" s="3">
        <v>20130723</v>
      </c>
      <c r="K1386">
        <v>2013</v>
      </c>
      <c r="L1386">
        <v>0.40694999999999998</v>
      </c>
      <c r="M1386">
        <v>0.12006</v>
      </c>
      <c r="N1386">
        <v>0.28543000000000002</v>
      </c>
      <c r="O1386">
        <v>0</v>
      </c>
      <c r="P1386">
        <v>0.54749999999999999</v>
      </c>
      <c r="Q1386">
        <v>0</v>
      </c>
      <c r="R1386">
        <v>6.1000000000000004E-3</v>
      </c>
      <c r="S1386">
        <v>0</v>
      </c>
      <c r="T1386">
        <v>3.9100000000000003E-3</v>
      </c>
      <c r="U1386">
        <v>4.3213600000000003</v>
      </c>
      <c r="V1386">
        <v>5.6913099999999996</v>
      </c>
      <c r="W1386" t="s">
        <v>18</v>
      </c>
      <c r="X1386">
        <v>5.8150000000000004</v>
      </c>
      <c r="Y1386">
        <v>3.09</v>
      </c>
      <c r="Z1386">
        <v>3.919</v>
      </c>
      <c r="AA1386">
        <v>0</v>
      </c>
      <c r="AB1386">
        <v>39.106999999999999</v>
      </c>
      <c r="AC1386">
        <v>0</v>
      </c>
      <c r="AD1386">
        <v>0.1</v>
      </c>
      <c r="AE1386">
        <v>0</v>
      </c>
      <c r="AF1386">
        <v>4.2000000000000003E-2</v>
      </c>
      <c r="AG1386">
        <v>179.67099999999999</v>
      </c>
      <c r="AH1386">
        <v>231.744</v>
      </c>
      <c r="AI1386" t="s">
        <v>30</v>
      </c>
      <c r="AJ1386">
        <v>540</v>
      </c>
      <c r="AK1386">
        <v>60</v>
      </c>
      <c r="AL1386">
        <v>1600</v>
      </c>
      <c r="AM1386">
        <v>0</v>
      </c>
      <c r="AN1386">
        <v>20</v>
      </c>
      <c r="AO1386">
        <v>0</v>
      </c>
      <c r="AP1386">
        <v>0</v>
      </c>
      <c r="AQ1386">
        <v>0</v>
      </c>
      <c r="AR1386">
        <v>10</v>
      </c>
      <c r="AS1386">
        <v>30</v>
      </c>
      <c r="AT1386">
        <v>2260</v>
      </c>
      <c r="AU1386" t="s">
        <v>35</v>
      </c>
    </row>
    <row r="1387" spans="1:47" x14ac:dyDescent="0.2">
      <c r="A1387">
        <v>2039</v>
      </c>
      <c r="B1387" t="s">
        <v>779</v>
      </c>
      <c r="C1387">
        <v>45</v>
      </c>
      <c r="D1387" t="s">
        <v>375</v>
      </c>
      <c r="G1387" t="str">
        <f t="shared" si="21"/>
        <v>SWL201345BarC5</v>
      </c>
      <c r="H1387">
        <v>71.406616670000005</v>
      </c>
      <c r="I1387">
        <v>-157.4713667</v>
      </c>
      <c r="J1387" s="3">
        <v>20130723</v>
      </c>
      <c r="K1387">
        <v>2013</v>
      </c>
      <c r="L1387">
        <v>14.23663</v>
      </c>
      <c r="M1387">
        <v>1.5780099999999999</v>
      </c>
      <c r="N1387">
        <v>1.9678</v>
      </c>
      <c r="O1387">
        <v>0.10390000000000001</v>
      </c>
      <c r="P1387">
        <v>1.04349</v>
      </c>
      <c r="Q1387">
        <v>0</v>
      </c>
      <c r="R1387">
        <v>8.0460000000000004E-2</v>
      </c>
      <c r="S1387">
        <v>0.24421999999999999</v>
      </c>
      <c r="T1387">
        <v>0.65788000000000002</v>
      </c>
      <c r="U1387">
        <v>1.2399800000000001</v>
      </c>
      <c r="V1387">
        <v>21.152370000000001</v>
      </c>
      <c r="W1387" t="s">
        <v>9</v>
      </c>
      <c r="X1387">
        <v>223.35300000000001</v>
      </c>
      <c r="Y1387">
        <v>49.404000000000003</v>
      </c>
      <c r="Z1387">
        <v>25.135999999999999</v>
      </c>
      <c r="AA1387">
        <v>2.3090000000000002</v>
      </c>
      <c r="AB1387">
        <v>74.534999999999997</v>
      </c>
      <c r="AC1387">
        <v>0</v>
      </c>
      <c r="AD1387">
        <v>1.319</v>
      </c>
      <c r="AE1387">
        <v>7.2460000000000004</v>
      </c>
      <c r="AF1387">
        <v>7.0739999999999998</v>
      </c>
      <c r="AG1387">
        <v>85.75</v>
      </c>
      <c r="AH1387">
        <v>476.12599999999998</v>
      </c>
      <c r="AI1387" t="s">
        <v>21</v>
      </c>
      <c r="AJ1387">
        <v>3270</v>
      </c>
      <c r="AK1387">
        <v>6172.5</v>
      </c>
      <c r="AL1387">
        <v>12377.5</v>
      </c>
      <c r="AM1387">
        <v>217.5</v>
      </c>
      <c r="AN1387">
        <v>250</v>
      </c>
      <c r="AO1387">
        <v>0</v>
      </c>
      <c r="AP1387">
        <v>2.5</v>
      </c>
      <c r="AQ1387">
        <v>37.5</v>
      </c>
      <c r="AR1387">
        <v>112.5</v>
      </c>
      <c r="AS1387">
        <v>502.5</v>
      </c>
      <c r="AT1387">
        <v>22942.5</v>
      </c>
      <c r="AU1387" t="s">
        <v>35</v>
      </c>
    </row>
    <row r="1388" spans="1:47" x14ac:dyDescent="0.2">
      <c r="A1388">
        <v>2055</v>
      </c>
      <c r="B1388" t="s">
        <v>787</v>
      </c>
      <c r="C1388">
        <v>1</v>
      </c>
      <c r="D1388" t="s">
        <v>551</v>
      </c>
      <c r="G1388" t="str">
        <f t="shared" si="21"/>
        <v>SWL20141SLIP1</v>
      </c>
      <c r="H1388">
        <v>62.011299999999999</v>
      </c>
      <c r="I1388">
        <v>-175.0591833</v>
      </c>
      <c r="J1388" s="3">
        <v>20140714</v>
      </c>
      <c r="K1388">
        <v>2014</v>
      </c>
      <c r="L1388">
        <v>8.6113700000000009</v>
      </c>
      <c r="M1388">
        <v>2.6616300000000002</v>
      </c>
      <c r="N1388">
        <v>0.23149</v>
      </c>
      <c r="O1388">
        <v>2.1149999999999999E-2</v>
      </c>
      <c r="P1388">
        <v>2.66E-3</v>
      </c>
      <c r="Q1388">
        <v>0</v>
      </c>
      <c r="R1388">
        <v>0</v>
      </c>
      <c r="S1388">
        <v>8.0000000000000007E-5</v>
      </c>
      <c r="T1388">
        <v>0.10118000000000001</v>
      </c>
      <c r="U1388">
        <v>8.2089999999999996E-2</v>
      </c>
      <c r="V1388">
        <v>11.711650000000001</v>
      </c>
      <c r="W1388" t="s">
        <v>9</v>
      </c>
      <c r="X1388">
        <v>124.38500000000001</v>
      </c>
      <c r="Y1388">
        <v>88.001000000000005</v>
      </c>
      <c r="Z1388">
        <v>3.0369999999999999</v>
      </c>
      <c r="AA1388">
        <v>0.47</v>
      </c>
      <c r="AB1388">
        <v>0.19</v>
      </c>
      <c r="AC1388">
        <v>0</v>
      </c>
      <c r="AD1388">
        <v>0</v>
      </c>
      <c r="AE1388">
        <v>2E-3</v>
      </c>
      <c r="AF1388">
        <v>1.0880000000000001</v>
      </c>
      <c r="AG1388">
        <v>1.667</v>
      </c>
      <c r="AH1388">
        <v>218.84</v>
      </c>
      <c r="AI1388" t="s">
        <v>21</v>
      </c>
      <c r="AJ1388">
        <v>1772.5</v>
      </c>
      <c r="AK1388">
        <v>725</v>
      </c>
      <c r="AL1388">
        <v>147.5</v>
      </c>
      <c r="AM1388">
        <v>42.5</v>
      </c>
      <c r="AN1388">
        <v>12.5</v>
      </c>
      <c r="AO1388">
        <v>0</v>
      </c>
      <c r="AP1388">
        <v>0</v>
      </c>
      <c r="AQ1388">
        <v>2.5</v>
      </c>
      <c r="AR1388">
        <v>27.5</v>
      </c>
      <c r="AS1388">
        <v>172.5</v>
      </c>
      <c r="AT1388">
        <v>2902.5</v>
      </c>
      <c r="AU1388" t="s">
        <v>33</v>
      </c>
    </row>
    <row r="1389" spans="1:47" x14ac:dyDescent="0.2">
      <c r="A1389">
        <v>2056</v>
      </c>
      <c r="B1389" t="s">
        <v>787</v>
      </c>
      <c r="C1389">
        <v>2</v>
      </c>
      <c r="D1389" t="s">
        <v>552</v>
      </c>
      <c r="G1389" t="str">
        <f t="shared" si="21"/>
        <v>SWL20142SLIP2</v>
      </c>
      <c r="H1389">
        <v>62.049816669999998</v>
      </c>
      <c r="I1389">
        <v>-175.20859999999999</v>
      </c>
      <c r="J1389" s="3">
        <v>20140714</v>
      </c>
      <c r="K1389">
        <v>2014</v>
      </c>
      <c r="L1389">
        <v>5.9786099999999998</v>
      </c>
      <c r="M1389">
        <v>1.9593100000000001</v>
      </c>
      <c r="N1389">
        <v>0.10932</v>
      </c>
      <c r="O1389">
        <v>5.4000000000000001E-4</v>
      </c>
      <c r="P1389">
        <v>0.29702000000000001</v>
      </c>
      <c r="Q1389">
        <v>0</v>
      </c>
      <c r="R1389">
        <v>9.3900000000000008E-3</v>
      </c>
      <c r="S1389">
        <v>0</v>
      </c>
      <c r="T1389">
        <v>0.36651</v>
      </c>
      <c r="U1389">
        <v>2.53E-2</v>
      </c>
      <c r="V1389">
        <v>8.7460000000000004</v>
      </c>
      <c r="W1389" t="s">
        <v>9</v>
      </c>
      <c r="X1389">
        <v>85.308999999999997</v>
      </c>
      <c r="Y1389">
        <v>56.341000000000001</v>
      </c>
      <c r="Z1389">
        <v>1.399</v>
      </c>
      <c r="AA1389">
        <v>1.2E-2</v>
      </c>
      <c r="AB1389">
        <v>21.216000000000001</v>
      </c>
      <c r="AC1389">
        <v>0</v>
      </c>
      <c r="AD1389">
        <v>0.154</v>
      </c>
      <c r="AE1389">
        <v>0</v>
      </c>
      <c r="AF1389">
        <v>3.9409999999999998</v>
      </c>
      <c r="AG1389">
        <v>0.46899999999999997</v>
      </c>
      <c r="AH1389">
        <v>168.84100000000001</v>
      </c>
      <c r="AI1389" t="s">
        <v>21</v>
      </c>
      <c r="AJ1389">
        <v>1360</v>
      </c>
      <c r="AK1389">
        <v>875</v>
      </c>
      <c r="AL1389">
        <v>192.5</v>
      </c>
      <c r="AM1389">
        <v>5</v>
      </c>
      <c r="AN1389">
        <v>10</v>
      </c>
      <c r="AO1389">
        <v>0</v>
      </c>
      <c r="AP1389">
        <v>0</v>
      </c>
      <c r="AQ1389">
        <v>0</v>
      </c>
      <c r="AR1389">
        <v>40</v>
      </c>
      <c r="AS1389">
        <v>107.5</v>
      </c>
      <c r="AT1389">
        <v>2590</v>
      </c>
      <c r="AU1389" t="s">
        <v>33</v>
      </c>
    </row>
    <row r="1390" spans="1:47" x14ac:dyDescent="0.2">
      <c r="A1390">
        <v>2057</v>
      </c>
      <c r="B1390" t="s">
        <v>787</v>
      </c>
      <c r="C1390">
        <v>4</v>
      </c>
      <c r="D1390" t="s">
        <v>553</v>
      </c>
      <c r="G1390" t="str">
        <f t="shared" si="21"/>
        <v>SWL20144SLIP3</v>
      </c>
      <c r="H1390">
        <v>62.39041667</v>
      </c>
      <c r="I1390">
        <v>-174.5699333</v>
      </c>
      <c r="J1390" s="3">
        <v>20140714</v>
      </c>
      <c r="K1390">
        <v>2014</v>
      </c>
      <c r="L1390">
        <v>3.3385500000000001</v>
      </c>
      <c r="M1390">
        <v>2.3193999999999999</v>
      </c>
      <c r="N1390">
        <v>1.02159</v>
      </c>
      <c r="O1390">
        <v>6.3000000000000003E-4</v>
      </c>
      <c r="P1390">
        <v>0.37461</v>
      </c>
      <c r="Q1390">
        <v>0</v>
      </c>
      <c r="R1390">
        <v>0</v>
      </c>
      <c r="S1390">
        <v>0.31608999999999998</v>
      </c>
      <c r="T1390">
        <v>0.24579999999999999</v>
      </c>
      <c r="U1390">
        <v>0.12898999999999999</v>
      </c>
      <c r="V1390">
        <v>7.74566</v>
      </c>
      <c r="W1390" t="s">
        <v>9</v>
      </c>
      <c r="X1390">
        <v>49.755000000000003</v>
      </c>
      <c r="Y1390">
        <v>73.36</v>
      </c>
      <c r="Z1390">
        <v>12.958</v>
      </c>
      <c r="AA1390">
        <v>1.4E-2</v>
      </c>
      <c r="AB1390">
        <v>26.757999999999999</v>
      </c>
      <c r="AC1390">
        <v>0</v>
      </c>
      <c r="AD1390">
        <v>0</v>
      </c>
      <c r="AE1390">
        <v>22.577999999999999</v>
      </c>
      <c r="AF1390">
        <v>2.6429999999999998</v>
      </c>
      <c r="AG1390">
        <v>2.673</v>
      </c>
      <c r="AH1390">
        <v>190.739</v>
      </c>
      <c r="AI1390" t="s">
        <v>22</v>
      </c>
      <c r="AJ1390">
        <v>2065</v>
      </c>
      <c r="AK1390">
        <v>460</v>
      </c>
      <c r="AL1390">
        <v>535</v>
      </c>
      <c r="AM1390">
        <v>7.5</v>
      </c>
      <c r="AN1390">
        <v>25</v>
      </c>
      <c r="AO1390">
        <v>0</v>
      </c>
      <c r="AP1390">
        <v>0</v>
      </c>
      <c r="AQ1390">
        <v>2.5</v>
      </c>
      <c r="AR1390">
        <v>50</v>
      </c>
      <c r="AS1390">
        <v>167.5</v>
      </c>
      <c r="AT1390">
        <v>3312.5</v>
      </c>
      <c r="AU1390" t="s">
        <v>33</v>
      </c>
    </row>
    <row r="1391" spans="1:47" x14ac:dyDescent="0.2">
      <c r="A1391">
        <v>2058</v>
      </c>
      <c r="B1391" t="s">
        <v>787</v>
      </c>
      <c r="C1391">
        <v>6</v>
      </c>
      <c r="D1391" t="s">
        <v>554</v>
      </c>
      <c r="G1391" t="str">
        <f t="shared" si="21"/>
        <v>SWL20146SLIP5</v>
      </c>
      <c r="H1391">
        <v>62.560033330000003</v>
      </c>
      <c r="I1391">
        <v>-173.5492667</v>
      </c>
      <c r="J1391" s="3">
        <v>20140714</v>
      </c>
      <c r="K1391">
        <v>2014</v>
      </c>
      <c r="L1391">
        <v>3.5764499999999999</v>
      </c>
      <c r="M1391">
        <v>10.075419999999999</v>
      </c>
      <c r="N1391">
        <v>1.0545899999999999</v>
      </c>
      <c r="O1391">
        <v>0</v>
      </c>
      <c r="P1391">
        <v>0.36429</v>
      </c>
      <c r="Q1391">
        <v>0</v>
      </c>
      <c r="R1391">
        <v>0</v>
      </c>
      <c r="S1391">
        <v>0</v>
      </c>
      <c r="T1391">
        <v>0.70113000000000003</v>
      </c>
      <c r="U1391">
        <v>2.4459999999999999E-2</v>
      </c>
      <c r="V1391">
        <v>15.796340000000001</v>
      </c>
      <c r="W1391" t="s">
        <v>10</v>
      </c>
      <c r="X1391">
        <v>53.619</v>
      </c>
      <c r="Y1391">
        <v>293.51799999999997</v>
      </c>
      <c r="Z1391">
        <v>13.426</v>
      </c>
      <c r="AA1391">
        <v>0</v>
      </c>
      <c r="AB1391">
        <v>26.021000000000001</v>
      </c>
      <c r="AC1391">
        <v>0</v>
      </c>
      <c r="AD1391">
        <v>0</v>
      </c>
      <c r="AE1391">
        <v>0</v>
      </c>
      <c r="AF1391">
        <v>7.5389999999999997</v>
      </c>
      <c r="AG1391">
        <v>0.52200000000000002</v>
      </c>
      <c r="AH1391">
        <v>394.64499999999998</v>
      </c>
      <c r="AI1391" t="s">
        <v>22</v>
      </c>
      <c r="AJ1391">
        <v>890</v>
      </c>
      <c r="AK1391">
        <v>617.5</v>
      </c>
      <c r="AL1391">
        <v>495</v>
      </c>
      <c r="AM1391">
        <v>0</v>
      </c>
      <c r="AN1391">
        <v>5</v>
      </c>
      <c r="AO1391">
        <v>0</v>
      </c>
      <c r="AP1391">
        <v>0</v>
      </c>
      <c r="AQ1391">
        <v>0</v>
      </c>
      <c r="AR1391">
        <v>35</v>
      </c>
      <c r="AS1391">
        <v>67.5</v>
      </c>
      <c r="AT1391">
        <v>2110</v>
      </c>
      <c r="AU1391" t="s">
        <v>33</v>
      </c>
    </row>
    <row r="1392" spans="1:47" x14ac:dyDescent="0.2">
      <c r="A1392">
        <v>2059</v>
      </c>
      <c r="B1392" t="s">
        <v>787</v>
      </c>
      <c r="C1392">
        <v>8</v>
      </c>
      <c r="D1392" t="s">
        <v>555</v>
      </c>
      <c r="G1392" t="str">
        <f t="shared" si="21"/>
        <v>SWL20148SLIP4</v>
      </c>
      <c r="H1392">
        <v>63.030133329999998</v>
      </c>
      <c r="I1392">
        <v>-173.45951669999999</v>
      </c>
      <c r="J1392" s="3">
        <v>20140715</v>
      </c>
      <c r="K1392">
        <v>2014</v>
      </c>
      <c r="L1392">
        <v>1.01664</v>
      </c>
      <c r="M1392">
        <v>12.33001</v>
      </c>
      <c r="N1392">
        <v>0.96423999999999999</v>
      </c>
      <c r="O1392">
        <v>1.1353500000000001</v>
      </c>
      <c r="P1392">
        <v>0.16114000000000001</v>
      </c>
      <c r="Q1392">
        <v>0</v>
      </c>
      <c r="R1392">
        <v>5.4299999999999999E-3</v>
      </c>
      <c r="S1392">
        <v>0</v>
      </c>
      <c r="T1392">
        <v>0.48602000000000001</v>
      </c>
      <c r="U1392">
        <v>0.40703</v>
      </c>
      <c r="V1392">
        <v>16.505859999999998</v>
      </c>
      <c r="W1392" t="s">
        <v>10</v>
      </c>
      <c r="X1392">
        <v>16.603999999999999</v>
      </c>
      <c r="Y1392">
        <v>466.69900000000001</v>
      </c>
      <c r="Z1392">
        <v>12.73</v>
      </c>
      <c r="AA1392">
        <v>25.23</v>
      </c>
      <c r="AB1392">
        <v>11.51</v>
      </c>
      <c r="AC1392">
        <v>0</v>
      </c>
      <c r="AD1392">
        <v>8.8999999999999996E-2</v>
      </c>
      <c r="AE1392">
        <v>0</v>
      </c>
      <c r="AF1392">
        <v>5.226</v>
      </c>
      <c r="AG1392">
        <v>8.8369999999999997</v>
      </c>
      <c r="AH1392">
        <v>546.92499999999995</v>
      </c>
      <c r="AI1392" t="s">
        <v>22</v>
      </c>
      <c r="AJ1392">
        <v>1200</v>
      </c>
      <c r="AK1392">
        <v>1467.5</v>
      </c>
      <c r="AL1392">
        <v>140</v>
      </c>
      <c r="AM1392">
        <v>5</v>
      </c>
      <c r="AN1392">
        <v>10</v>
      </c>
      <c r="AO1392">
        <v>0</v>
      </c>
      <c r="AP1392">
        <v>0</v>
      </c>
      <c r="AQ1392">
        <v>0</v>
      </c>
      <c r="AR1392">
        <v>30</v>
      </c>
      <c r="AS1392">
        <v>137.5</v>
      </c>
      <c r="AT1392">
        <v>2990</v>
      </c>
      <c r="AU1392" t="s">
        <v>34</v>
      </c>
    </row>
    <row r="1393" spans="1:47" x14ac:dyDescent="0.2">
      <c r="A1393">
        <v>2060</v>
      </c>
      <c r="B1393" t="s">
        <v>787</v>
      </c>
      <c r="C1393">
        <v>14</v>
      </c>
      <c r="D1393" t="s">
        <v>556</v>
      </c>
      <c r="G1393" t="str">
        <f t="shared" si="21"/>
        <v>SWL201414UTBS5</v>
      </c>
      <c r="H1393">
        <v>64.670733330000004</v>
      </c>
      <c r="I1393">
        <v>-169.92023330000001</v>
      </c>
      <c r="J1393" s="3">
        <v>20140715</v>
      </c>
      <c r="K1393">
        <v>2014</v>
      </c>
      <c r="L1393">
        <v>10.53994</v>
      </c>
      <c r="M1393">
        <v>12.751440000000001</v>
      </c>
      <c r="N1393">
        <v>0.16544</v>
      </c>
      <c r="O1393">
        <v>0.14629</v>
      </c>
      <c r="P1393">
        <v>0</v>
      </c>
      <c r="Q1393">
        <v>0</v>
      </c>
      <c r="R1393">
        <v>0.47049000000000002</v>
      </c>
      <c r="S1393">
        <v>4.5469999999999997E-2</v>
      </c>
      <c r="T1393">
        <v>6.9800000000000001E-3</v>
      </c>
      <c r="U1393">
        <v>6.2599999999999999E-3</v>
      </c>
      <c r="V1393">
        <v>24.13231</v>
      </c>
      <c r="W1393" t="s">
        <v>10</v>
      </c>
      <c r="X1393">
        <v>152.16</v>
      </c>
      <c r="Y1393">
        <v>363.24200000000002</v>
      </c>
      <c r="Z1393">
        <v>2.3519999999999999</v>
      </c>
      <c r="AA1393">
        <v>3.2509999999999999</v>
      </c>
      <c r="AB1393">
        <v>0</v>
      </c>
      <c r="AC1393">
        <v>0</v>
      </c>
      <c r="AD1393">
        <v>7.7130000000000001</v>
      </c>
      <c r="AE1393">
        <v>3.2480000000000002</v>
      </c>
      <c r="AF1393">
        <v>7.4999999999999997E-2</v>
      </c>
      <c r="AG1393">
        <v>0.61599999999999999</v>
      </c>
      <c r="AH1393">
        <v>532.65700000000004</v>
      </c>
      <c r="AI1393" t="s">
        <v>22</v>
      </c>
      <c r="AJ1393">
        <v>742.5</v>
      </c>
      <c r="AK1393">
        <v>477.5</v>
      </c>
      <c r="AL1393">
        <v>845</v>
      </c>
      <c r="AM1393">
        <v>60</v>
      </c>
      <c r="AN1393">
        <v>0</v>
      </c>
      <c r="AO1393">
        <v>0</v>
      </c>
      <c r="AP1393">
        <v>0</v>
      </c>
      <c r="AQ1393">
        <v>2.5</v>
      </c>
      <c r="AR1393">
        <v>2.5</v>
      </c>
      <c r="AS1393">
        <v>2.5</v>
      </c>
      <c r="AT1393">
        <v>2132.5</v>
      </c>
      <c r="AU1393" t="s">
        <v>35</v>
      </c>
    </row>
    <row r="1394" spans="1:47" x14ac:dyDescent="0.2">
      <c r="A1394">
        <v>2061</v>
      </c>
      <c r="B1394" t="s">
        <v>787</v>
      </c>
      <c r="C1394">
        <v>15</v>
      </c>
      <c r="D1394" t="s">
        <v>557</v>
      </c>
      <c r="G1394" t="str">
        <f t="shared" si="21"/>
        <v>SWL201415UTBS2</v>
      </c>
      <c r="H1394">
        <v>64.681466670000006</v>
      </c>
      <c r="I1394">
        <v>-169.09998329999999</v>
      </c>
      <c r="J1394" s="3">
        <v>20140716</v>
      </c>
      <c r="K1394">
        <v>2014</v>
      </c>
      <c r="L1394">
        <v>2.44089</v>
      </c>
      <c r="M1394">
        <v>1.7650999999999999</v>
      </c>
      <c r="N1394">
        <v>6.1385899999999998</v>
      </c>
      <c r="O1394">
        <v>9.41E-3</v>
      </c>
      <c r="P1394">
        <v>0</v>
      </c>
      <c r="Q1394">
        <v>0</v>
      </c>
      <c r="R1394">
        <v>0.75724999999999998</v>
      </c>
      <c r="S1394">
        <v>0</v>
      </c>
      <c r="T1394">
        <v>3.0130000000000001E-2</v>
      </c>
      <c r="U1394">
        <v>7.0050000000000001E-2</v>
      </c>
      <c r="V1394">
        <v>11.21142</v>
      </c>
      <c r="W1394" t="s">
        <v>11</v>
      </c>
      <c r="X1394">
        <v>36.262999999999998</v>
      </c>
      <c r="Y1394">
        <v>112.425</v>
      </c>
      <c r="Z1394">
        <v>90.022000000000006</v>
      </c>
      <c r="AA1394">
        <v>0.20899999999999999</v>
      </c>
      <c r="AB1394">
        <v>0</v>
      </c>
      <c r="AC1394">
        <v>0</v>
      </c>
      <c r="AD1394">
        <v>12.414</v>
      </c>
      <c r="AE1394">
        <v>0</v>
      </c>
      <c r="AF1394">
        <v>0.32400000000000001</v>
      </c>
      <c r="AG1394">
        <v>3.42</v>
      </c>
      <c r="AH1394">
        <v>255.077</v>
      </c>
      <c r="AI1394" t="s">
        <v>22</v>
      </c>
      <c r="AJ1394">
        <v>1275</v>
      </c>
      <c r="AK1394">
        <v>475</v>
      </c>
      <c r="AL1394">
        <v>5547.5</v>
      </c>
      <c r="AM1394">
        <v>2.5</v>
      </c>
      <c r="AN1394">
        <v>0</v>
      </c>
      <c r="AO1394">
        <v>0</v>
      </c>
      <c r="AP1394">
        <v>0</v>
      </c>
      <c r="AQ1394">
        <v>0</v>
      </c>
      <c r="AR1394">
        <v>67.5</v>
      </c>
      <c r="AS1394">
        <v>10</v>
      </c>
      <c r="AT1394">
        <v>7377.5</v>
      </c>
      <c r="AU1394" t="s">
        <v>35</v>
      </c>
    </row>
    <row r="1395" spans="1:47" x14ac:dyDescent="0.2">
      <c r="A1395">
        <v>2062</v>
      </c>
      <c r="B1395" t="s">
        <v>787</v>
      </c>
      <c r="C1395">
        <v>17</v>
      </c>
      <c r="D1395" t="s">
        <v>558</v>
      </c>
      <c r="G1395" t="str">
        <f t="shared" si="21"/>
        <v>SWL201417UTBS4</v>
      </c>
      <c r="H1395">
        <v>64.960316669999997</v>
      </c>
      <c r="I1395">
        <v>-169.8908667</v>
      </c>
      <c r="J1395" s="3">
        <v>20140716</v>
      </c>
      <c r="K1395">
        <v>2014</v>
      </c>
      <c r="L1395">
        <v>1.11083</v>
      </c>
      <c r="M1395">
        <v>3.3845100000000001</v>
      </c>
      <c r="N1395">
        <v>1.4942299999999999</v>
      </c>
      <c r="O1395">
        <v>1.8000000000000001E-4</v>
      </c>
      <c r="P1395">
        <v>0</v>
      </c>
      <c r="Q1395">
        <v>0</v>
      </c>
      <c r="R1395">
        <v>0.26517000000000002</v>
      </c>
      <c r="S1395">
        <v>0</v>
      </c>
      <c r="T1395">
        <v>0</v>
      </c>
      <c r="U1395">
        <v>2.6199999999999999E-3</v>
      </c>
      <c r="V1395">
        <v>6.2575399999999997</v>
      </c>
      <c r="W1395" t="s">
        <v>10</v>
      </c>
      <c r="X1395">
        <v>15.355</v>
      </c>
      <c r="Y1395">
        <v>131.702</v>
      </c>
      <c r="Z1395">
        <v>21.954000000000001</v>
      </c>
      <c r="AA1395">
        <v>4.0000000000000001E-3</v>
      </c>
      <c r="AB1395">
        <v>0</v>
      </c>
      <c r="AC1395">
        <v>0</v>
      </c>
      <c r="AD1395">
        <v>4.3470000000000004</v>
      </c>
      <c r="AE1395">
        <v>0</v>
      </c>
      <c r="AF1395">
        <v>0</v>
      </c>
      <c r="AG1395">
        <v>0.26200000000000001</v>
      </c>
      <c r="AH1395">
        <v>173.624</v>
      </c>
      <c r="AI1395" t="s">
        <v>22</v>
      </c>
      <c r="AJ1395">
        <v>317.5</v>
      </c>
      <c r="AK1395">
        <v>175</v>
      </c>
      <c r="AL1395">
        <v>537.5</v>
      </c>
      <c r="AM1395">
        <v>2.5</v>
      </c>
      <c r="AN1395">
        <v>0</v>
      </c>
      <c r="AO1395">
        <v>0</v>
      </c>
      <c r="AP1395">
        <v>5</v>
      </c>
      <c r="AQ1395">
        <v>0</v>
      </c>
      <c r="AR1395">
        <v>0</v>
      </c>
      <c r="AS1395">
        <v>0</v>
      </c>
      <c r="AT1395">
        <v>1037.5</v>
      </c>
      <c r="AU1395" t="s">
        <v>35</v>
      </c>
    </row>
    <row r="1396" spans="1:47" x14ac:dyDescent="0.2">
      <c r="A1396">
        <v>2063</v>
      </c>
      <c r="B1396" t="s">
        <v>787</v>
      </c>
      <c r="C1396">
        <v>18</v>
      </c>
      <c r="D1396" t="s">
        <v>179</v>
      </c>
      <c r="G1396" t="str">
        <f t="shared" si="21"/>
        <v>SWL201418UTBS1</v>
      </c>
      <c r="H1396">
        <v>64.990600000000001</v>
      </c>
      <c r="I1396">
        <v>-169.14078330000001</v>
      </c>
      <c r="J1396" s="3">
        <v>20140716</v>
      </c>
      <c r="K1396">
        <v>2014</v>
      </c>
      <c r="L1396">
        <v>4.8507300000000004</v>
      </c>
      <c r="M1396">
        <v>2.0068299999999999</v>
      </c>
      <c r="N1396">
        <v>14.5092</v>
      </c>
      <c r="O1396">
        <v>0</v>
      </c>
      <c r="P1396">
        <v>0</v>
      </c>
      <c r="Q1396">
        <v>0</v>
      </c>
      <c r="R1396">
        <v>0.1303</v>
      </c>
      <c r="S1396">
        <v>0.12243999999999999</v>
      </c>
      <c r="T1396">
        <v>5.534E-2</v>
      </c>
      <c r="U1396">
        <v>9.3000000000000005E-4</v>
      </c>
      <c r="V1396">
        <v>21.67577</v>
      </c>
      <c r="W1396" t="s">
        <v>11</v>
      </c>
      <c r="X1396">
        <v>67.784000000000006</v>
      </c>
      <c r="Y1396">
        <v>54.847000000000001</v>
      </c>
      <c r="Z1396">
        <v>212.62299999999999</v>
      </c>
      <c r="AA1396">
        <v>0</v>
      </c>
      <c r="AB1396">
        <v>0</v>
      </c>
      <c r="AC1396">
        <v>0</v>
      </c>
      <c r="AD1396">
        <v>2.1360000000000001</v>
      </c>
      <c r="AE1396">
        <v>8.7460000000000004</v>
      </c>
      <c r="AF1396">
        <v>0.59499999999999997</v>
      </c>
      <c r="AG1396">
        <v>4.8000000000000001E-2</v>
      </c>
      <c r="AH1396">
        <v>346.779</v>
      </c>
      <c r="AI1396" t="s">
        <v>23</v>
      </c>
      <c r="AJ1396">
        <v>512.5</v>
      </c>
      <c r="AK1396">
        <v>430</v>
      </c>
      <c r="AL1396">
        <v>15785</v>
      </c>
      <c r="AM1396">
        <v>0</v>
      </c>
      <c r="AN1396">
        <v>0</v>
      </c>
      <c r="AO1396">
        <v>0</v>
      </c>
      <c r="AP1396">
        <v>2.5</v>
      </c>
      <c r="AQ1396">
        <v>2.5</v>
      </c>
      <c r="AR1396">
        <v>55</v>
      </c>
      <c r="AS1396">
        <v>22.5</v>
      </c>
      <c r="AT1396">
        <v>16810</v>
      </c>
      <c r="AU1396" t="s">
        <v>35</v>
      </c>
    </row>
    <row r="1397" spans="1:47" x14ac:dyDescent="0.2">
      <c r="A1397">
        <v>2064</v>
      </c>
      <c r="B1397" t="s">
        <v>787</v>
      </c>
      <c r="C1397">
        <v>20</v>
      </c>
      <c r="D1397" t="s">
        <v>559</v>
      </c>
      <c r="G1397" t="str">
        <f t="shared" si="21"/>
        <v>SWL201420UTN1</v>
      </c>
      <c r="H1397">
        <v>66.711466669999993</v>
      </c>
      <c r="I1397">
        <v>-168.39861669999999</v>
      </c>
      <c r="J1397" s="3">
        <v>20140717</v>
      </c>
      <c r="K1397">
        <v>2014</v>
      </c>
      <c r="L1397">
        <v>3.5830600000000001</v>
      </c>
      <c r="M1397">
        <v>6.9192299999999998</v>
      </c>
      <c r="N1397">
        <v>2.9530000000000001E-2</v>
      </c>
      <c r="O1397">
        <v>0</v>
      </c>
      <c r="P1397">
        <v>1E-4</v>
      </c>
      <c r="Q1397">
        <v>8.5521600000000007</v>
      </c>
      <c r="R1397">
        <v>2.5231400000000002</v>
      </c>
      <c r="S1397">
        <v>0</v>
      </c>
      <c r="T1397">
        <v>0</v>
      </c>
      <c r="U1397">
        <v>7.5900000000000004E-3</v>
      </c>
      <c r="V1397">
        <v>21.614809999999999</v>
      </c>
      <c r="W1397" t="s">
        <v>14</v>
      </c>
      <c r="X1397">
        <v>57.365000000000002</v>
      </c>
      <c r="Y1397">
        <v>196.92</v>
      </c>
      <c r="Z1397">
        <v>0.42099999999999999</v>
      </c>
      <c r="AA1397">
        <v>0</v>
      </c>
      <c r="AB1397">
        <v>7.0000000000000001E-3</v>
      </c>
      <c r="AC1397">
        <v>1069.02</v>
      </c>
      <c r="AD1397">
        <v>41.363</v>
      </c>
      <c r="AE1397">
        <v>0</v>
      </c>
      <c r="AF1397">
        <v>0</v>
      </c>
      <c r="AG1397">
        <v>0.35699999999999998</v>
      </c>
      <c r="AH1397">
        <v>1365.453</v>
      </c>
      <c r="AI1397" t="s">
        <v>26</v>
      </c>
      <c r="AJ1397">
        <v>1112.5</v>
      </c>
      <c r="AK1397">
        <v>500</v>
      </c>
      <c r="AL1397">
        <v>337.5</v>
      </c>
      <c r="AM1397">
        <v>0</v>
      </c>
      <c r="AN1397">
        <v>5</v>
      </c>
      <c r="AO1397">
        <v>110</v>
      </c>
      <c r="AP1397">
        <v>15</v>
      </c>
      <c r="AQ1397">
        <v>0</v>
      </c>
      <c r="AR1397">
        <v>0</v>
      </c>
      <c r="AS1397">
        <v>2.5</v>
      </c>
      <c r="AT1397">
        <v>2082.5</v>
      </c>
      <c r="AU1397" t="s">
        <v>33</v>
      </c>
    </row>
    <row r="1398" spans="1:47" x14ac:dyDescent="0.2">
      <c r="A1398">
        <v>2065</v>
      </c>
      <c r="B1398" t="s">
        <v>787</v>
      </c>
      <c r="C1398">
        <v>21</v>
      </c>
      <c r="D1398" t="s">
        <v>560</v>
      </c>
      <c r="G1398" t="str">
        <f t="shared" si="21"/>
        <v>SWL201421UTN2</v>
      </c>
      <c r="H1398">
        <v>67.050083330000007</v>
      </c>
      <c r="I1398">
        <v>-168.72909999999999</v>
      </c>
      <c r="J1398" s="3">
        <v>20140717</v>
      </c>
      <c r="K1398">
        <v>2014</v>
      </c>
      <c r="L1398">
        <v>4.9679799999999998</v>
      </c>
      <c r="M1398">
        <v>98.361360000000005</v>
      </c>
      <c r="N1398">
        <v>0.53069999999999995</v>
      </c>
      <c r="O1398">
        <v>0</v>
      </c>
      <c r="P1398">
        <v>0.14066000000000001</v>
      </c>
      <c r="Q1398">
        <v>0</v>
      </c>
      <c r="R1398">
        <v>0.13164000000000001</v>
      </c>
      <c r="S1398">
        <v>0.78917999999999999</v>
      </c>
      <c r="T1398">
        <v>1.1487400000000001</v>
      </c>
      <c r="U1398">
        <v>0.15162</v>
      </c>
      <c r="V1398">
        <v>106.22188</v>
      </c>
      <c r="W1398" t="s">
        <v>10</v>
      </c>
      <c r="X1398">
        <v>93.444999999999993</v>
      </c>
      <c r="Y1398">
        <v>4119.8329999999996</v>
      </c>
      <c r="Z1398">
        <v>7.173</v>
      </c>
      <c r="AA1398">
        <v>0</v>
      </c>
      <c r="AB1398">
        <v>10.047000000000001</v>
      </c>
      <c r="AC1398">
        <v>0</v>
      </c>
      <c r="AD1398">
        <v>2.1579999999999999</v>
      </c>
      <c r="AE1398">
        <v>56.37</v>
      </c>
      <c r="AF1398">
        <v>12.352</v>
      </c>
      <c r="AG1398">
        <v>5.415</v>
      </c>
      <c r="AH1398">
        <v>4306.7929999999997</v>
      </c>
      <c r="AI1398" t="s">
        <v>22</v>
      </c>
      <c r="AJ1398">
        <v>1092.5</v>
      </c>
      <c r="AK1398">
        <v>5890</v>
      </c>
      <c r="AL1398">
        <v>117.5</v>
      </c>
      <c r="AM1398">
        <v>0</v>
      </c>
      <c r="AN1398">
        <v>7.5</v>
      </c>
      <c r="AO1398">
        <v>0</v>
      </c>
      <c r="AP1398">
        <v>7.5</v>
      </c>
      <c r="AQ1398">
        <v>52.5</v>
      </c>
      <c r="AR1398">
        <v>7.5</v>
      </c>
      <c r="AS1398">
        <v>0</v>
      </c>
      <c r="AT1398">
        <v>7175</v>
      </c>
      <c r="AU1398" t="s">
        <v>34</v>
      </c>
    </row>
    <row r="1399" spans="1:47" x14ac:dyDescent="0.2">
      <c r="A1399">
        <v>2066</v>
      </c>
      <c r="B1399" t="s">
        <v>787</v>
      </c>
      <c r="C1399">
        <v>22</v>
      </c>
      <c r="D1399" t="s">
        <v>561</v>
      </c>
      <c r="G1399" t="str">
        <f t="shared" si="21"/>
        <v>SWL201422UTN3</v>
      </c>
      <c r="H1399">
        <v>67.329683329999995</v>
      </c>
      <c r="I1399">
        <v>-168.90931670000001</v>
      </c>
      <c r="J1399" s="3">
        <v>20140717</v>
      </c>
      <c r="K1399">
        <v>2014</v>
      </c>
      <c r="L1399">
        <v>7.94834</v>
      </c>
      <c r="M1399">
        <v>100.41804999999999</v>
      </c>
      <c r="N1399">
        <v>7.1970000000000006E-2</v>
      </c>
      <c r="O1399">
        <v>0</v>
      </c>
      <c r="P1399">
        <v>0</v>
      </c>
      <c r="Q1399">
        <v>0</v>
      </c>
      <c r="R1399">
        <v>2.4396300000000002</v>
      </c>
      <c r="S1399">
        <v>0</v>
      </c>
      <c r="T1399">
        <v>0</v>
      </c>
      <c r="U1399">
        <v>4.81E-3</v>
      </c>
      <c r="V1399">
        <v>110.8828</v>
      </c>
      <c r="W1399" t="s">
        <v>10</v>
      </c>
      <c r="X1399">
        <v>116.57899999999999</v>
      </c>
      <c r="Y1399">
        <v>3049.1089999999999</v>
      </c>
      <c r="Z1399">
        <v>0.94599999999999995</v>
      </c>
      <c r="AA1399">
        <v>0</v>
      </c>
      <c r="AB1399">
        <v>0</v>
      </c>
      <c r="AC1399">
        <v>0</v>
      </c>
      <c r="AD1399">
        <v>39.994</v>
      </c>
      <c r="AE1399">
        <v>0</v>
      </c>
      <c r="AF1399">
        <v>0</v>
      </c>
      <c r="AG1399">
        <v>0.11799999999999999</v>
      </c>
      <c r="AH1399">
        <v>3206.7460000000001</v>
      </c>
      <c r="AI1399" t="s">
        <v>22</v>
      </c>
      <c r="AJ1399">
        <v>1207.5</v>
      </c>
      <c r="AK1399">
        <v>3220</v>
      </c>
      <c r="AL1399">
        <v>687.5</v>
      </c>
      <c r="AM1399">
        <v>0</v>
      </c>
      <c r="AN1399">
        <v>0</v>
      </c>
      <c r="AO1399">
        <v>0</v>
      </c>
      <c r="AP1399">
        <v>32.5</v>
      </c>
      <c r="AQ1399">
        <v>0</v>
      </c>
      <c r="AR1399">
        <v>0</v>
      </c>
      <c r="AS1399">
        <v>22.5</v>
      </c>
      <c r="AT1399">
        <v>5170</v>
      </c>
      <c r="AU1399" t="s">
        <v>34</v>
      </c>
    </row>
    <row r="1400" spans="1:47" x14ac:dyDescent="0.2">
      <c r="A1400">
        <v>2067</v>
      </c>
      <c r="B1400" t="s">
        <v>787</v>
      </c>
      <c r="C1400">
        <v>23</v>
      </c>
      <c r="D1400" t="s">
        <v>562</v>
      </c>
      <c r="G1400" t="str">
        <f t="shared" si="21"/>
        <v>SWL201423UTN4</v>
      </c>
      <c r="H1400">
        <v>67.501366669999996</v>
      </c>
      <c r="I1400">
        <v>-168.90421670000001</v>
      </c>
      <c r="J1400" s="3">
        <v>20140717</v>
      </c>
      <c r="K1400">
        <v>2014</v>
      </c>
      <c r="L1400">
        <v>6.8246399999999996</v>
      </c>
      <c r="M1400">
        <v>76.391220000000004</v>
      </c>
      <c r="N1400">
        <v>0.12842999999999999</v>
      </c>
      <c r="O1400">
        <v>0</v>
      </c>
      <c r="P1400">
        <v>0</v>
      </c>
      <c r="Q1400">
        <v>0</v>
      </c>
      <c r="R1400">
        <v>1.4385600000000001</v>
      </c>
      <c r="S1400">
        <v>0</v>
      </c>
      <c r="T1400">
        <v>0</v>
      </c>
      <c r="U1400">
        <v>5.1799999999999997E-3</v>
      </c>
      <c r="V1400">
        <v>84.788030000000006</v>
      </c>
      <c r="W1400" t="s">
        <v>10</v>
      </c>
      <c r="X1400">
        <v>100.988</v>
      </c>
      <c r="Y1400">
        <v>2448.9810000000002</v>
      </c>
      <c r="Z1400">
        <v>1.484</v>
      </c>
      <c r="AA1400">
        <v>0</v>
      </c>
      <c r="AB1400">
        <v>0</v>
      </c>
      <c r="AC1400">
        <v>0</v>
      </c>
      <c r="AD1400">
        <v>23.582999999999998</v>
      </c>
      <c r="AE1400">
        <v>0</v>
      </c>
      <c r="AF1400">
        <v>0</v>
      </c>
      <c r="AG1400">
        <v>7.1999999999999995E-2</v>
      </c>
      <c r="AH1400">
        <v>2575.1080000000002</v>
      </c>
      <c r="AI1400" t="s">
        <v>22</v>
      </c>
      <c r="AJ1400">
        <v>1642.5</v>
      </c>
      <c r="AK1400">
        <v>2742.5</v>
      </c>
      <c r="AL1400">
        <v>635</v>
      </c>
      <c r="AM1400">
        <v>0</v>
      </c>
      <c r="AN1400">
        <v>0</v>
      </c>
      <c r="AO1400">
        <v>0</v>
      </c>
      <c r="AP1400">
        <v>22.5</v>
      </c>
      <c r="AQ1400">
        <v>0</v>
      </c>
      <c r="AR1400">
        <v>0</v>
      </c>
      <c r="AS1400">
        <v>90</v>
      </c>
      <c r="AT1400">
        <v>5132.5</v>
      </c>
      <c r="AU1400" t="s">
        <v>34</v>
      </c>
    </row>
    <row r="1401" spans="1:47" x14ac:dyDescent="0.2">
      <c r="A1401">
        <v>2068</v>
      </c>
      <c r="B1401" t="s">
        <v>787</v>
      </c>
      <c r="C1401">
        <v>24</v>
      </c>
      <c r="D1401" t="s">
        <v>563</v>
      </c>
      <c r="G1401" t="str">
        <f t="shared" si="21"/>
        <v>SWL201424UTN6</v>
      </c>
      <c r="H1401">
        <v>67.741299999999995</v>
      </c>
      <c r="I1401">
        <v>-168.43968330000001</v>
      </c>
      <c r="J1401" s="3">
        <v>20140717</v>
      </c>
      <c r="K1401">
        <v>2014</v>
      </c>
      <c r="L1401">
        <v>6.3293799999999996</v>
      </c>
      <c r="M1401">
        <v>21.358789999999999</v>
      </c>
      <c r="N1401">
        <v>2.6707299999999998</v>
      </c>
      <c r="O1401">
        <v>0</v>
      </c>
      <c r="P1401">
        <v>0</v>
      </c>
      <c r="Q1401">
        <v>0</v>
      </c>
      <c r="R1401">
        <v>1.2614799999999999</v>
      </c>
      <c r="S1401">
        <v>0</v>
      </c>
      <c r="T1401">
        <v>0</v>
      </c>
      <c r="U1401">
        <v>3.15021</v>
      </c>
      <c r="V1401">
        <v>34.770589999999999</v>
      </c>
      <c r="W1401" t="s">
        <v>10</v>
      </c>
      <c r="X1401">
        <v>97.177999999999997</v>
      </c>
      <c r="Y1401">
        <v>675.46400000000006</v>
      </c>
      <c r="Z1401">
        <v>29.204000000000001</v>
      </c>
      <c r="AA1401">
        <v>0</v>
      </c>
      <c r="AB1401">
        <v>0</v>
      </c>
      <c r="AC1401">
        <v>0</v>
      </c>
      <c r="AD1401">
        <v>20.68</v>
      </c>
      <c r="AE1401">
        <v>0</v>
      </c>
      <c r="AF1401">
        <v>0</v>
      </c>
      <c r="AG1401">
        <v>149.971</v>
      </c>
      <c r="AH1401">
        <v>972.49699999999996</v>
      </c>
      <c r="AI1401" t="s">
        <v>22</v>
      </c>
      <c r="AJ1401">
        <v>740</v>
      </c>
      <c r="AK1401">
        <v>425</v>
      </c>
      <c r="AL1401">
        <v>1940</v>
      </c>
      <c r="AM1401">
        <v>0</v>
      </c>
      <c r="AN1401">
        <v>0</v>
      </c>
      <c r="AO1401">
        <v>0</v>
      </c>
      <c r="AP1401">
        <v>17.5</v>
      </c>
      <c r="AQ1401">
        <v>0</v>
      </c>
      <c r="AR1401">
        <v>0</v>
      </c>
      <c r="AS1401">
        <v>20</v>
      </c>
      <c r="AT1401">
        <v>3142.5</v>
      </c>
      <c r="AU1401" t="s">
        <v>35</v>
      </c>
    </row>
    <row r="1402" spans="1:47" x14ac:dyDescent="0.2">
      <c r="A1402">
        <v>2069</v>
      </c>
      <c r="B1402" t="s">
        <v>787</v>
      </c>
      <c r="C1402">
        <v>25</v>
      </c>
      <c r="D1402" t="s">
        <v>389</v>
      </c>
      <c r="G1402" t="str">
        <f t="shared" si="21"/>
        <v>SWL201425SEC8</v>
      </c>
      <c r="H1402">
        <v>68.3</v>
      </c>
      <c r="I1402">
        <v>-166.93568329999999</v>
      </c>
      <c r="J1402" s="3">
        <v>20140718</v>
      </c>
      <c r="K1402">
        <v>2014</v>
      </c>
      <c r="L1402">
        <v>0.31470999999999999</v>
      </c>
      <c r="M1402">
        <v>1.1E-4</v>
      </c>
      <c r="N1402">
        <v>6.1870000000000001E-2</v>
      </c>
      <c r="O1402">
        <v>0</v>
      </c>
      <c r="P1402">
        <v>1.2600000000000001E-3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0.37795000000000001</v>
      </c>
      <c r="W1402" t="s">
        <v>9</v>
      </c>
      <c r="X1402">
        <v>4.5549999999999997</v>
      </c>
      <c r="Y1402">
        <v>4.0000000000000001E-3</v>
      </c>
      <c r="Z1402">
        <v>0.89500000000000002</v>
      </c>
      <c r="AA1402">
        <v>0</v>
      </c>
      <c r="AB1402">
        <v>0.09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5.5439999999999996</v>
      </c>
      <c r="AI1402" t="s">
        <v>21</v>
      </c>
      <c r="AJ1402">
        <v>320</v>
      </c>
      <c r="AK1402">
        <v>10</v>
      </c>
      <c r="AL1402">
        <v>80</v>
      </c>
      <c r="AM1402">
        <v>0</v>
      </c>
      <c r="AN1402">
        <v>30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440</v>
      </c>
      <c r="AU1402" t="s">
        <v>33</v>
      </c>
    </row>
    <row r="1403" spans="1:47" x14ac:dyDescent="0.2">
      <c r="A1403">
        <v>2070</v>
      </c>
      <c r="B1403" t="s">
        <v>787</v>
      </c>
      <c r="C1403">
        <v>26</v>
      </c>
      <c r="D1403" t="s">
        <v>387</v>
      </c>
      <c r="G1403" t="str">
        <f t="shared" si="21"/>
        <v>SWL201426SEC7</v>
      </c>
      <c r="H1403">
        <v>68.24206667</v>
      </c>
      <c r="I1403">
        <v>-167.12183329999999</v>
      </c>
      <c r="J1403" s="3">
        <v>20140718</v>
      </c>
      <c r="K1403">
        <v>2014</v>
      </c>
      <c r="L1403">
        <v>3.65422</v>
      </c>
      <c r="M1403">
        <v>3.551E-2</v>
      </c>
      <c r="N1403">
        <v>4.3790000000000003E-2</v>
      </c>
      <c r="O1403">
        <v>6.1199999999999996E-3</v>
      </c>
      <c r="P1403">
        <v>4.79E-3</v>
      </c>
      <c r="Q1403">
        <v>0</v>
      </c>
      <c r="R1403">
        <v>1.208E-2</v>
      </c>
      <c r="S1403">
        <v>0</v>
      </c>
      <c r="T1403">
        <v>4.4080000000000001E-2</v>
      </c>
      <c r="U1403">
        <v>0.11773</v>
      </c>
      <c r="V1403">
        <v>3.91832</v>
      </c>
      <c r="W1403" t="s">
        <v>9</v>
      </c>
      <c r="X1403">
        <v>51.488</v>
      </c>
      <c r="Y1403">
        <v>0.84299999999999997</v>
      </c>
      <c r="Z1403">
        <v>0.60599999999999998</v>
      </c>
      <c r="AA1403">
        <v>0.13600000000000001</v>
      </c>
      <c r="AB1403">
        <v>0.34200000000000003</v>
      </c>
      <c r="AC1403">
        <v>0</v>
      </c>
      <c r="AD1403">
        <v>0.19800000000000001</v>
      </c>
      <c r="AE1403">
        <v>0</v>
      </c>
      <c r="AF1403">
        <v>0.47399999999999998</v>
      </c>
      <c r="AG1403">
        <v>3.9729999999999999</v>
      </c>
      <c r="AH1403">
        <v>58.06</v>
      </c>
      <c r="AI1403" t="s">
        <v>21</v>
      </c>
      <c r="AJ1403">
        <v>1860</v>
      </c>
      <c r="AK1403">
        <v>100</v>
      </c>
      <c r="AL1403">
        <v>180</v>
      </c>
      <c r="AM1403">
        <v>40</v>
      </c>
      <c r="AN1403">
        <v>80</v>
      </c>
      <c r="AO1403">
        <v>0</v>
      </c>
      <c r="AP1403">
        <v>0</v>
      </c>
      <c r="AQ1403">
        <v>0</v>
      </c>
      <c r="AR1403">
        <v>50</v>
      </c>
      <c r="AS1403">
        <v>60</v>
      </c>
      <c r="AT1403">
        <v>2370</v>
      </c>
      <c r="AU1403" t="s">
        <v>33</v>
      </c>
    </row>
    <row r="1404" spans="1:47" x14ac:dyDescent="0.2">
      <c r="A1404">
        <v>2071</v>
      </c>
      <c r="B1404" t="s">
        <v>787</v>
      </c>
      <c r="C1404">
        <v>27</v>
      </c>
      <c r="D1404" t="s">
        <v>388</v>
      </c>
      <c r="G1404" t="str">
        <f t="shared" si="21"/>
        <v>SWL201427SEC6</v>
      </c>
      <c r="H1404">
        <v>68.185216670000003</v>
      </c>
      <c r="I1404">
        <v>-167.30723330000001</v>
      </c>
      <c r="J1404" s="3">
        <v>20140718</v>
      </c>
      <c r="K1404">
        <v>2014</v>
      </c>
      <c r="L1404">
        <v>3.9144999999999999</v>
      </c>
      <c r="M1404">
        <v>4.2650199999999998</v>
      </c>
      <c r="N1404">
        <v>0.11763999999999999</v>
      </c>
      <c r="O1404">
        <v>0.45063999999999999</v>
      </c>
      <c r="P1404">
        <v>2.664E-2</v>
      </c>
      <c r="Q1404">
        <v>0</v>
      </c>
      <c r="R1404">
        <v>0.14201</v>
      </c>
      <c r="S1404">
        <v>0.45952999999999999</v>
      </c>
      <c r="T1404">
        <v>0.11606</v>
      </c>
      <c r="U1404">
        <v>0.14581</v>
      </c>
      <c r="V1404">
        <v>9.6378500000000003</v>
      </c>
      <c r="W1404" t="s">
        <v>10</v>
      </c>
      <c r="X1404">
        <v>59.558999999999997</v>
      </c>
      <c r="Y1404">
        <v>138.32400000000001</v>
      </c>
      <c r="Z1404">
        <v>1.716</v>
      </c>
      <c r="AA1404">
        <v>10.013999999999999</v>
      </c>
      <c r="AB1404">
        <v>1.903</v>
      </c>
      <c r="AC1404">
        <v>0</v>
      </c>
      <c r="AD1404">
        <v>2.3279999999999998</v>
      </c>
      <c r="AE1404">
        <v>11.208</v>
      </c>
      <c r="AF1404">
        <v>1.248</v>
      </c>
      <c r="AG1404">
        <v>2.3650000000000002</v>
      </c>
      <c r="AH1404">
        <v>228.66499999999999</v>
      </c>
      <c r="AI1404" t="s">
        <v>22</v>
      </c>
      <c r="AJ1404">
        <v>1470</v>
      </c>
      <c r="AK1404">
        <v>70</v>
      </c>
      <c r="AL1404">
        <v>240</v>
      </c>
      <c r="AM1404">
        <v>100</v>
      </c>
      <c r="AN1404">
        <v>30</v>
      </c>
      <c r="AO1404">
        <v>0</v>
      </c>
      <c r="AP1404">
        <v>0</v>
      </c>
      <c r="AQ1404">
        <v>10</v>
      </c>
      <c r="AR1404">
        <v>10</v>
      </c>
      <c r="AS1404">
        <v>50</v>
      </c>
      <c r="AT1404">
        <v>1980</v>
      </c>
      <c r="AU1404" t="s">
        <v>33</v>
      </c>
    </row>
    <row r="1405" spans="1:47" x14ac:dyDescent="0.2">
      <c r="A1405">
        <v>2072</v>
      </c>
      <c r="B1405" t="s">
        <v>787</v>
      </c>
      <c r="C1405">
        <v>28</v>
      </c>
      <c r="D1405" t="s">
        <v>240</v>
      </c>
      <c r="G1405" t="str">
        <f t="shared" si="21"/>
        <v>SWL201428SEC5</v>
      </c>
      <c r="H1405">
        <v>68.127833330000001</v>
      </c>
      <c r="I1405">
        <v>-167.49549999999999</v>
      </c>
      <c r="J1405" s="3">
        <v>20140718</v>
      </c>
      <c r="K1405">
        <v>2014</v>
      </c>
      <c r="L1405">
        <v>6.2375699999999998</v>
      </c>
      <c r="M1405">
        <v>0.96599999999999997</v>
      </c>
      <c r="N1405">
        <v>0.25720999999999999</v>
      </c>
      <c r="O1405">
        <v>4.1900000000000001E-3</v>
      </c>
      <c r="P1405">
        <v>1.65893</v>
      </c>
      <c r="Q1405">
        <v>0</v>
      </c>
      <c r="R1405">
        <v>0.19550000000000001</v>
      </c>
      <c r="S1405">
        <v>5.1399699999999999</v>
      </c>
      <c r="T1405">
        <v>0</v>
      </c>
      <c r="U1405">
        <v>1.79765</v>
      </c>
      <c r="V1405">
        <v>16.257020000000001</v>
      </c>
      <c r="W1405" t="s">
        <v>9</v>
      </c>
      <c r="X1405">
        <v>88.387</v>
      </c>
      <c r="Y1405">
        <v>29.808</v>
      </c>
      <c r="Z1405">
        <v>3.62</v>
      </c>
      <c r="AA1405">
        <v>9.2999999999999999E-2</v>
      </c>
      <c r="AB1405">
        <v>118.495</v>
      </c>
      <c r="AC1405">
        <v>0</v>
      </c>
      <c r="AD1405">
        <v>3.2050000000000001</v>
      </c>
      <c r="AE1405">
        <v>125.36499999999999</v>
      </c>
      <c r="AF1405">
        <v>0</v>
      </c>
      <c r="AG1405">
        <v>77.795000000000002</v>
      </c>
      <c r="AH1405">
        <v>446.76799999999997</v>
      </c>
      <c r="AI1405" t="s">
        <v>28</v>
      </c>
      <c r="AJ1405">
        <v>2500</v>
      </c>
      <c r="AK1405">
        <v>90</v>
      </c>
      <c r="AL1405">
        <v>1040</v>
      </c>
      <c r="AM1405">
        <v>20</v>
      </c>
      <c r="AN1405">
        <v>180</v>
      </c>
      <c r="AO1405">
        <v>0</v>
      </c>
      <c r="AP1405">
        <v>0</v>
      </c>
      <c r="AQ1405">
        <v>10</v>
      </c>
      <c r="AR1405">
        <v>0</v>
      </c>
      <c r="AS1405">
        <v>90</v>
      </c>
      <c r="AT1405">
        <v>3930</v>
      </c>
      <c r="AU1405" t="s">
        <v>33</v>
      </c>
    </row>
    <row r="1406" spans="1:47" x14ac:dyDescent="0.2">
      <c r="A1406">
        <v>2073</v>
      </c>
      <c r="B1406" t="s">
        <v>787</v>
      </c>
      <c r="C1406">
        <v>29</v>
      </c>
      <c r="D1406" t="s">
        <v>233</v>
      </c>
      <c r="G1406" t="str">
        <f t="shared" si="21"/>
        <v>SWL201429SEC4</v>
      </c>
      <c r="H1406">
        <v>68.012366670000006</v>
      </c>
      <c r="I1406">
        <v>-167.86928330000001</v>
      </c>
      <c r="J1406" s="3">
        <v>20140718</v>
      </c>
      <c r="K1406">
        <v>2014</v>
      </c>
      <c r="L1406">
        <v>6.3716299999999997</v>
      </c>
      <c r="M1406">
        <v>4.0419600000000004</v>
      </c>
      <c r="N1406">
        <v>0.10334</v>
      </c>
      <c r="O1406">
        <v>5.4000000000000001E-4</v>
      </c>
      <c r="P1406">
        <v>6.2E-4</v>
      </c>
      <c r="Q1406">
        <v>14.54</v>
      </c>
      <c r="R1406">
        <v>1.507E-2</v>
      </c>
      <c r="S1406">
        <v>0</v>
      </c>
      <c r="T1406">
        <v>2.4199999999999998E-3</v>
      </c>
      <c r="U1406">
        <v>4.2300000000000003E-3</v>
      </c>
      <c r="V1406">
        <v>25.079809999999998</v>
      </c>
      <c r="W1406" t="s">
        <v>14</v>
      </c>
      <c r="X1406">
        <v>91.625</v>
      </c>
      <c r="Y1406">
        <v>114.509</v>
      </c>
      <c r="Z1406">
        <v>1.405</v>
      </c>
      <c r="AA1406">
        <v>1.2E-2</v>
      </c>
      <c r="AB1406">
        <v>4.3999999999999997E-2</v>
      </c>
      <c r="AC1406">
        <v>1817.5</v>
      </c>
      <c r="AD1406">
        <v>0.247</v>
      </c>
      <c r="AE1406">
        <v>0</v>
      </c>
      <c r="AF1406">
        <v>2.5999999999999999E-2</v>
      </c>
      <c r="AG1406">
        <v>0.13</v>
      </c>
      <c r="AH1406">
        <v>2025.498</v>
      </c>
      <c r="AI1406" t="s">
        <v>26</v>
      </c>
      <c r="AJ1406">
        <v>1315</v>
      </c>
      <c r="AK1406">
        <v>1842.5</v>
      </c>
      <c r="AL1406">
        <v>1782.5</v>
      </c>
      <c r="AM1406">
        <v>5</v>
      </c>
      <c r="AN1406">
        <v>15</v>
      </c>
      <c r="AO1406">
        <v>2.5</v>
      </c>
      <c r="AP1406">
        <v>0</v>
      </c>
      <c r="AQ1406">
        <v>0</v>
      </c>
      <c r="AR1406">
        <v>2.5</v>
      </c>
      <c r="AS1406">
        <v>20</v>
      </c>
      <c r="AT1406">
        <v>4985</v>
      </c>
      <c r="AU1406" t="s">
        <v>34</v>
      </c>
    </row>
    <row r="1407" spans="1:47" x14ac:dyDescent="0.2">
      <c r="A1407">
        <v>2074</v>
      </c>
      <c r="B1407" t="s">
        <v>787</v>
      </c>
      <c r="C1407">
        <v>30</v>
      </c>
      <c r="D1407" t="s">
        <v>254</v>
      </c>
      <c r="G1407" t="str">
        <f t="shared" si="21"/>
        <v>SWL201430SEC3</v>
      </c>
      <c r="H1407">
        <v>67.897933330000001</v>
      </c>
      <c r="I1407">
        <v>-168.2345167</v>
      </c>
      <c r="J1407" s="3">
        <v>20140718</v>
      </c>
      <c r="K1407">
        <v>2014</v>
      </c>
      <c r="L1407">
        <v>24.551079999999999</v>
      </c>
      <c r="M1407">
        <v>14.6815</v>
      </c>
      <c r="N1407">
        <v>9.6122399999999999</v>
      </c>
      <c r="O1407">
        <v>0</v>
      </c>
      <c r="P1407">
        <v>0.60760999999999998</v>
      </c>
      <c r="Q1407">
        <v>0</v>
      </c>
      <c r="R1407">
        <v>1.1140399999999999</v>
      </c>
      <c r="S1407">
        <v>0</v>
      </c>
      <c r="T1407">
        <v>0</v>
      </c>
      <c r="U1407">
        <v>3.082E-2</v>
      </c>
      <c r="V1407">
        <v>50.597290000000001</v>
      </c>
      <c r="W1407" t="s">
        <v>9</v>
      </c>
      <c r="X1407">
        <v>417.84399999999999</v>
      </c>
      <c r="Y1407">
        <v>419.36200000000002</v>
      </c>
      <c r="Z1407">
        <v>105.02500000000001</v>
      </c>
      <c r="AA1407">
        <v>0</v>
      </c>
      <c r="AB1407">
        <v>43.401000000000003</v>
      </c>
      <c r="AC1407">
        <v>0</v>
      </c>
      <c r="AD1407">
        <v>18.263000000000002</v>
      </c>
      <c r="AE1407">
        <v>0</v>
      </c>
      <c r="AF1407">
        <v>0</v>
      </c>
      <c r="AG1407">
        <v>1.488</v>
      </c>
      <c r="AH1407">
        <v>1005.383</v>
      </c>
      <c r="AI1407" t="s">
        <v>22</v>
      </c>
      <c r="AJ1407">
        <v>1810</v>
      </c>
      <c r="AK1407">
        <v>485</v>
      </c>
      <c r="AL1407">
        <v>6215</v>
      </c>
      <c r="AM1407">
        <v>0</v>
      </c>
      <c r="AN1407">
        <v>7.5</v>
      </c>
      <c r="AO1407">
        <v>0</v>
      </c>
      <c r="AP1407">
        <v>35</v>
      </c>
      <c r="AQ1407">
        <v>0</v>
      </c>
      <c r="AR1407">
        <v>0</v>
      </c>
      <c r="AS1407">
        <v>7.5</v>
      </c>
      <c r="AT1407">
        <v>8560</v>
      </c>
      <c r="AU1407" t="s">
        <v>35</v>
      </c>
    </row>
    <row r="1408" spans="1:47" x14ac:dyDescent="0.2">
      <c r="A1408">
        <v>2075</v>
      </c>
      <c r="B1408" t="s">
        <v>787</v>
      </c>
      <c r="C1408">
        <v>31</v>
      </c>
      <c r="D1408" t="s">
        <v>258</v>
      </c>
      <c r="G1408" t="str">
        <f t="shared" si="21"/>
        <v>SWL201431SEC2</v>
      </c>
      <c r="H1408">
        <v>67.782766670000001</v>
      </c>
      <c r="I1408">
        <v>-168.6009</v>
      </c>
      <c r="J1408" s="3">
        <v>20140718</v>
      </c>
      <c r="K1408">
        <v>2014</v>
      </c>
      <c r="L1408">
        <v>6.6108500000000001</v>
      </c>
      <c r="M1408">
        <v>33.801960000000001</v>
      </c>
      <c r="N1408">
        <v>9.7758099999999999</v>
      </c>
      <c r="O1408">
        <v>0</v>
      </c>
      <c r="P1408">
        <v>0</v>
      </c>
      <c r="Q1408">
        <v>0</v>
      </c>
      <c r="R1408">
        <v>1.9447399999999999</v>
      </c>
      <c r="S1408">
        <v>0</v>
      </c>
      <c r="T1408">
        <v>0</v>
      </c>
      <c r="U1408">
        <v>0</v>
      </c>
      <c r="V1408">
        <v>52.133360000000003</v>
      </c>
      <c r="W1408" t="s">
        <v>10</v>
      </c>
      <c r="X1408">
        <v>98.058000000000007</v>
      </c>
      <c r="Y1408">
        <v>948.33600000000001</v>
      </c>
      <c r="Z1408">
        <v>108.562</v>
      </c>
      <c r="AA1408">
        <v>0</v>
      </c>
      <c r="AB1408">
        <v>0</v>
      </c>
      <c r="AC1408">
        <v>0</v>
      </c>
      <c r="AD1408">
        <v>31.881</v>
      </c>
      <c r="AE1408">
        <v>0</v>
      </c>
      <c r="AF1408">
        <v>0</v>
      </c>
      <c r="AG1408">
        <v>0</v>
      </c>
      <c r="AH1408">
        <v>1186.837</v>
      </c>
      <c r="AI1408" t="s">
        <v>22</v>
      </c>
      <c r="AJ1408">
        <v>722.5</v>
      </c>
      <c r="AK1408">
        <v>837.5</v>
      </c>
      <c r="AL1408">
        <v>6217.5</v>
      </c>
      <c r="AM1408">
        <v>0</v>
      </c>
      <c r="AN1408">
        <v>0</v>
      </c>
      <c r="AO1408">
        <v>0</v>
      </c>
      <c r="AP1408">
        <v>40</v>
      </c>
      <c r="AQ1408">
        <v>0</v>
      </c>
      <c r="AR1408">
        <v>0</v>
      </c>
      <c r="AS1408">
        <v>5</v>
      </c>
      <c r="AT1408">
        <v>7822.5</v>
      </c>
      <c r="AU1408" t="s">
        <v>35</v>
      </c>
    </row>
    <row r="1409" spans="1:47" x14ac:dyDescent="0.2">
      <c r="A1409">
        <v>2076</v>
      </c>
      <c r="B1409" t="s">
        <v>787</v>
      </c>
      <c r="C1409">
        <v>32</v>
      </c>
      <c r="D1409" t="s">
        <v>306</v>
      </c>
      <c r="G1409" t="str">
        <f t="shared" si="21"/>
        <v>SWL201432UTN5=SEC1</v>
      </c>
      <c r="H1409">
        <v>67.670466669999996</v>
      </c>
      <c r="I1409">
        <v>-168.90868330000001</v>
      </c>
      <c r="J1409" s="3">
        <v>20140718</v>
      </c>
      <c r="K1409">
        <v>2014</v>
      </c>
      <c r="L1409">
        <v>2.5283199999999999</v>
      </c>
      <c r="M1409">
        <v>69.321600000000004</v>
      </c>
      <c r="N1409">
        <v>3.7914099999999999</v>
      </c>
      <c r="O1409">
        <v>1.7099999999999999E-3</v>
      </c>
      <c r="P1409">
        <v>0</v>
      </c>
      <c r="Q1409">
        <v>0</v>
      </c>
      <c r="R1409">
        <v>1.71251</v>
      </c>
      <c r="S1409">
        <v>0</v>
      </c>
      <c r="T1409">
        <v>0.109</v>
      </c>
      <c r="U1409">
        <v>1.3567800000000001</v>
      </c>
      <c r="V1409">
        <v>78.821330000000003</v>
      </c>
      <c r="W1409" t="s">
        <v>10</v>
      </c>
      <c r="X1409">
        <v>37.466999999999999</v>
      </c>
      <c r="Y1409">
        <v>2089.2689999999998</v>
      </c>
      <c r="Z1409">
        <v>45.667000000000002</v>
      </c>
      <c r="AA1409">
        <v>3.7999999999999999E-2</v>
      </c>
      <c r="AB1409">
        <v>0</v>
      </c>
      <c r="AC1409">
        <v>0</v>
      </c>
      <c r="AD1409">
        <v>28.074000000000002</v>
      </c>
      <c r="AE1409">
        <v>0</v>
      </c>
      <c r="AF1409">
        <v>1.1719999999999999</v>
      </c>
      <c r="AG1409">
        <v>30.113</v>
      </c>
      <c r="AH1409">
        <v>2231.8000000000002</v>
      </c>
      <c r="AI1409" t="s">
        <v>22</v>
      </c>
      <c r="AJ1409">
        <v>1022.5</v>
      </c>
      <c r="AK1409">
        <v>877.5</v>
      </c>
      <c r="AL1409">
        <v>2212.5</v>
      </c>
      <c r="AM1409">
        <v>2.5</v>
      </c>
      <c r="AN1409">
        <v>0</v>
      </c>
      <c r="AO1409">
        <v>0</v>
      </c>
      <c r="AP1409">
        <v>35</v>
      </c>
      <c r="AQ1409">
        <v>0</v>
      </c>
      <c r="AR1409">
        <v>12.5</v>
      </c>
      <c r="AS1409">
        <v>82.5</v>
      </c>
      <c r="AT1409">
        <v>4245</v>
      </c>
      <c r="AU1409" t="s">
        <v>35</v>
      </c>
    </row>
    <row r="1410" spans="1:47" x14ac:dyDescent="0.2">
      <c r="A1410">
        <v>2077</v>
      </c>
      <c r="B1410" t="s">
        <v>787</v>
      </c>
      <c r="C1410">
        <v>33</v>
      </c>
      <c r="D1410" t="s">
        <v>564</v>
      </c>
      <c r="G1410" t="str">
        <f t="shared" si="21"/>
        <v>SWL201433UTN7</v>
      </c>
      <c r="H1410">
        <v>68.000183329999999</v>
      </c>
      <c r="I1410">
        <v>-168.93083329999999</v>
      </c>
      <c r="J1410" s="3">
        <v>20140719</v>
      </c>
      <c r="K1410">
        <v>2014</v>
      </c>
      <c r="L1410">
        <v>1.8155300000000001</v>
      </c>
      <c r="M1410">
        <v>16.946919999999999</v>
      </c>
      <c r="N1410">
        <v>14.3653</v>
      </c>
      <c r="O1410">
        <v>0</v>
      </c>
      <c r="P1410">
        <v>0</v>
      </c>
      <c r="Q1410">
        <v>0</v>
      </c>
      <c r="R1410">
        <v>2.7753800000000002</v>
      </c>
      <c r="S1410">
        <v>0</v>
      </c>
      <c r="T1410">
        <v>0</v>
      </c>
      <c r="U1410">
        <v>1.2199999999999999E-3</v>
      </c>
      <c r="V1410">
        <v>35.904350000000001</v>
      </c>
      <c r="W1410" t="s">
        <v>10</v>
      </c>
      <c r="X1410">
        <v>27.012</v>
      </c>
      <c r="Y1410">
        <v>526.596</v>
      </c>
      <c r="Z1410">
        <v>160.59299999999999</v>
      </c>
      <c r="AA1410">
        <v>0</v>
      </c>
      <c r="AB1410">
        <v>0</v>
      </c>
      <c r="AC1410">
        <v>0</v>
      </c>
      <c r="AD1410">
        <v>45.497999999999998</v>
      </c>
      <c r="AE1410">
        <v>0</v>
      </c>
      <c r="AF1410">
        <v>0</v>
      </c>
      <c r="AG1410">
        <v>1.7000000000000001E-2</v>
      </c>
      <c r="AH1410">
        <v>759.71600000000001</v>
      </c>
      <c r="AI1410" t="s">
        <v>22</v>
      </c>
      <c r="AJ1410">
        <v>285</v>
      </c>
      <c r="AK1410">
        <v>260</v>
      </c>
      <c r="AL1410">
        <v>12872.5</v>
      </c>
      <c r="AM1410">
        <v>0</v>
      </c>
      <c r="AN1410">
        <v>0</v>
      </c>
      <c r="AO1410">
        <v>0</v>
      </c>
      <c r="AP1410">
        <v>27.5</v>
      </c>
      <c r="AQ1410">
        <v>0</v>
      </c>
      <c r="AR1410">
        <v>0</v>
      </c>
      <c r="AS1410">
        <v>15</v>
      </c>
      <c r="AT1410">
        <v>13460</v>
      </c>
      <c r="AU1410" t="s">
        <v>35</v>
      </c>
    </row>
    <row r="1411" spans="1:47" x14ac:dyDescent="0.2">
      <c r="A1411">
        <v>2078</v>
      </c>
      <c r="B1411" t="s">
        <v>787</v>
      </c>
      <c r="C1411">
        <v>34</v>
      </c>
      <c r="D1411" t="s">
        <v>785</v>
      </c>
      <c r="G1411" t="str">
        <f t="shared" ref="G1411:G1474" si="22">CONCATENATE(B1411,C1411,D1411)</f>
        <v>SWL201434DBO4.1</v>
      </c>
      <c r="H1411">
        <v>70.972783329999999</v>
      </c>
      <c r="I1411">
        <v>-161.90119999999999</v>
      </c>
      <c r="J1411" s="3">
        <v>20140720</v>
      </c>
      <c r="K1411">
        <v>2014</v>
      </c>
      <c r="L1411">
        <v>6.2997699999999996</v>
      </c>
      <c r="M1411">
        <v>3.8245100000000001</v>
      </c>
      <c r="N1411">
        <v>1.35625</v>
      </c>
      <c r="O1411">
        <v>0.91369</v>
      </c>
      <c r="P1411">
        <v>0.10938000000000001</v>
      </c>
      <c r="Q1411">
        <v>0</v>
      </c>
      <c r="R1411">
        <v>0.37912000000000001</v>
      </c>
      <c r="S1411">
        <v>1.8530000000000001E-2</v>
      </c>
      <c r="T1411">
        <v>2.111E-2</v>
      </c>
      <c r="U1411">
        <v>6.2230000000000001E-2</v>
      </c>
      <c r="V1411">
        <v>12.984590000000001</v>
      </c>
      <c r="W1411" t="s">
        <v>9</v>
      </c>
      <c r="X1411">
        <v>90.769000000000005</v>
      </c>
      <c r="Y1411">
        <v>196.50899999999999</v>
      </c>
      <c r="Z1411">
        <v>19.242999999999999</v>
      </c>
      <c r="AA1411">
        <v>20.303999999999998</v>
      </c>
      <c r="AB1411">
        <v>7.8129999999999997</v>
      </c>
      <c r="AC1411">
        <v>0</v>
      </c>
      <c r="AD1411">
        <v>6.2149999999999999</v>
      </c>
      <c r="AE1411">
        <v>0.45200000000000001</v>
      </c>
      <c r="AF1411">
        <v>0.22700000000000001</v>
      </c>
      <c r="AG1411">
        <v>2.4430000000000001</v>
      </c>
      <c r="AH1411">
        <v>343.97500000000002</v>
      </c>
      <c r="AI1411" t="s">
        <v>22</v>
      </c>
      <c r="AJ1411">
        <v>1405</v>
      </c>
      <c r="AK1411">
        <v>617.5</v>
      </c>
      <c r="AL1411">
        <v>5705</v>
      </c>
      <c r="AM1411">
        <v>70</v>
      </c>
      <c r="AN1411">
        <v>17.5</v>
      </c>
      <c r="AO1411">
        <v>0</v>
      </c>
      <c r="AP1411">
        <v>5</v>
      </c>
      <c r="AQ1411">
        <v>5</v>
      </c>
      <c r="AR1411">
        <v>25</v>
      </c>
      <c r="AS1411">
        <v>30</v>
      </c>
      <c r="AT1411">
        <v>7880</v>
      </c>
      <c r="AU1411" t="s">
        <v>35</v>
      </c>
    </row>
    <row r="1412" spans="1:47" x14ac:dyDescent="0.2">
      <c r="A1412">
        <v>2079</v>
      </c>
      <c r="B1412" t="s">
        <v>787</v>
      </c>
      <c r="C1412">
        <v>36</v>
      </c>
      <c r="D1412" t="s">
        <v>784</v>
      </c>
      <c r="G1412" t="str">
        <f t="shared" si="22"/>
        <v>SWL201436DBO4.2</v>
      </c>
      <c r="H1412">
        <v>71.103616669999994</v>
      </c>
      <c r="I1412">
        <v>-162.26398330000001</v>
      </c>
      <c r="J1412" s="3">
        <v>20140720</v>
      </c>
      <c r="K1412">
        <v>2014</v>
      </c>
      <c r="L1412">
        <v>4.4579000000000004</v>
      </c>
      <c r="M1412">
        <v>4.9789099999999999</v>
      </c>
      <c r="N1412">
        <v>0.24168999999999999</v>
      </c>
      <c r="O1412">
        <v>1.89E-3</v>
      </c>
      <c r="P1412">
        <v>2.2929999999999999E-2</v>
      </c>
      <c r="Q1412">
        <v>0</v>
      </c>
      <c r="R1412">
        <v>0</v>
      </c>
      <c r="S1412">
        <v>0</v>
      </c>
      <c r="T1412">
        <v>0.50592000000000004</v>
      </c>
      <c r="U1412">
        <v>0.26189000000000001</v>
      </c>
      <c r="V1412">
        <v>10.47113</v>
      </c>
      <c r="W1412" t="s">
        <v>10</v>
      </c>
      <c r="X1412">
        <v>61.905999999999999</v>
      </c>
      <c r="Y1412">
        <v>144.10400000000001</v>
      </c>
      <c r="Z1412">
        <v>3.363</v>
      </c>
      <c r="AA1412">
        <v>4.2000000000000003E-2</v>
      </c>
      <c r="AB1412">
        <v>1.6379999999999999</v>
      </c>
      <c r="AC1412">
        <v>0</v>
      </c>
      <c r="AD1412">
        <v>0</v>
      </c>
      <c r="AE1412">
        <v>0</v>
      </c>
      <c r="AF1412">
        <v>5.44</v>
      </c>
      <c r="AG1412">
        <v>11.164</v>
      </c>
      <c r="AH1412">
        <v>227.65700000000001</v>
      </c>
      <c r="AI1412" t="s">
        <v>22</v>
      </c>
      <c r="AJ1412">
        <v>1030</v>
      </c>
      <c r="AK1412">
        <v>827.5</v>
      </c>
      <c r="AL1412">
        <v>1460</v>
      </c>
      <c r="AM1412">
        <v>15</v>
      </c>
      <c r="AN1412">
        <v>15</v>
      </c>
      <c r="AO1412">
        <v>0</v>
      </c>
      <c r="AP1412">
        <v>0</v>
      </c>
      <c r="AQ1412">
        <v>0</v>
      </c>
      <c r="AR1412">
        <v>52.5</v>
      </c>
      <c r="AS1412">
        <v>80</v>
      </c>
      <c r="AT1412">
        <v>3480</v>
      </c>
      <c r="AU1412" t="s">
        <v>35</v>
      </c>
    </row>
    <row r="1413" spans="1:47" x14ac:dyDescent="0.2">
      <c r="A1413">
        <v>2080</v>
      </c>
      <c r="B1413" t="s">
        <v>787</v>
      </c>
      <c r="C1413">
        <v>38</v>
      </c>
      <c r="D1413" t="s">
        <v>783</v>
      </c>
      <c r="G1413" t="str">
        <f t="shared" si="22"/>
        <v>SWL201438DBO4.3</v>
      </c>
      <c r="H1413">
        <v>71.232633329999999</v>
      </c>
      <c r="I1413">
        <v>-162.63496670000001</v>
      </c>
      <c r="J1413" s="3">
        <v>20140720</v>
      </c>
      <c r="K1413">
        <v>2014</v>
      </c>
      <c r="L1413">
        <v>3.08908</v>
      </c>
      <c r="M1413">
        <v>4.5513899999999996</v>
      </c>
      <c r="N1413">
        <v>0.91785000000000005</v>
      </c>
      <c r="O1413">
        <v>3.3127200000000001</v>
      </c>
      <c r="P1413">
        <v>0.42829</v>
      </c>
      <c r="Q1413">
        <v>0</v>
      </c>
      <c r="R1413">
        <v>0.50031999999999999</v>
      </c>
      <c r="S1413">
        <v>0</v>
      </c>
      <c r="T1413">
        <v>8.9560000000000001E-2</v>
      </c>
      <c r="U1413">
        <v>5.3170000000000002E-2</v>
      </c>
      <c r="V1413">
        <v>12.94238</v>
      </c>
      <c r="W1413" t="s">
        <v>10</v>
      </c>
      <c r="X1413">
        <v>41.576999999999998</v>
      </c>
      <c r="Y1413">
        <v>163.51900000000001</v>
      </c>
      <c r="Z1413">
        <v>12.592000000000001</v>
      </c>
      <c r="AA1413">
        <v>73.616</v>
      </c>
      <c r="AB1413">
        <v>30.591999999999999</v>
      </c>
      <c r="AC1413">
        <v>0</v>
      </c>
      <c r="AD1413">
        <v>8.202</v>
      </c>
      <c r="AE1413">
        <v>0</v>
      </c>
      <c r="AF1413">
        <v>0.96299999999999997</v>
      </c>
      <c r="AG1413">
        <v>1.579</v>
      </c>
      <c r="AH1413">
        <v>332.64</v>
      </c>
      <c r="AI1413" t="s">
        <v>22</v>
      </c>
      <c r="AJ1413">
        <v>1385</v>
      </c>
      <c r="AK1413">
        <v>710</v>
      </c>
      <c r="AL1413">
        <v>3925</v>
      </c>
      <c r="AM1413">
        <v>42.5</v>
      </c>
      <c r="AN1413">
        <v>100</v>
      </c>
      <c r="AO1413">
        <v>0</v>
      </c>
      <c r="AP1413">
        <v>2.5</v>
      </c>
      <c r="AQ1413">
        <v>0</v>
      </c>
      <c r="AR1413">
        <v>10</v>
      </c>
      <c r="AS1413">
        <v>45</v>
      </c>
      <c r="AT1413">
        <v>6220</v>
      </c>
      <c r="AU1413" t="s">
        <v>35</v>
      </c>
    </row>
    <row r="1414" spans="1:47" x14ac:dyDescent="0.2">
      <c r="A1414">
        <v>2081</v>
      </c>
      <c r="B1414" t="s">
        <v>787</v>
      </c>
      <c r="C1414">
        <v>40</v>
      </c>
      <c r="D1414" t="s">
        <v>782</v>
      </c>
      <c r="G1414" t="str">
        <f t="shared" si="22"/>
        <v>SWL201440DBO4.4</v>
      </c>
      <c r="H1414">
        <v>71.361766669999994</v>
      </c>
      <c r="I1414">
        <v>-163.00818330000001</v>
      </c>
      <c r="J1414" s="3">
        <v>20140721</v>
      </c>
      <c r="K1414">
        <v>2014</v>
      </c>
      <c r="L1414">
        <v>13.353479999999999</v>
      </c>
      <c r="M1414">
        <v>3.1973400000000001</v>
      </c>
      <c r="N1414">
        <v>0.72670999999999997</v>
      </c>
      <c r="O1414">
        <v>6.4000000000000003E-3</v>
      </c>
      <c r="P1414">
        <v>0.29332000000000003</v>
      </c>
      <c r="Q1414">
        <v>0</v>
      </c>
      <c r="R1414">
        <v>2.1299999999999999E-3</v>
      </c>
      <c r="S1414">
        <v>0</v>
      </c>
      <c r="T1414">
        <v>0.13652</v>
      </c>
      <c r="U1414">
        <v>9.4729999999999995E-2</v>
      </c>
      <c r="V1414">
        <v>17.81063</v>
      </c>
      <c r="W1414" t="s">
        <v>9</v>
      </c>
      <c r="X1414">
        <v>180.29900000000001</v>
      </c>
      <c r="Y1414">
        <v>105.044</v>
      </c>
      <c r="Z1414">
        <v>10.199</v>
      </c>
      <c r="AA1414">
        <v>0.14199999999999999</v>
      </c>
      <c r="AB1414">
        <v>20.951000000000001</v>
      </c>
      <c r="AC1414">
        <v>0</v>
      </c>
      <c r="AD1414">
        <v>3.5000000000000003E-2</v>
      </c>
      <c r="AE1414">
        <v>0</v>
      </c>
      <c r="AF1414">
        <v>1.468</v>
      </c>
      <c r="AG1414">
        <v>2.8340000000000001</v>
      </c>
      <c r="AH1414">
        <v>320.97199999999998</v>
      </c>
      <c r="AI1414" t="s">
        <v>21</v>
      </c>
      <c r="AJ1414">
        <v>9720</v>
      </c>
      <c r="AK1414">
        <v>505</v>
      </c>
      <c r="AL1414">
        <v>2860</v>
      </c>
      <c r="AM1414">
        <v>32.5</v>
      </c>
      <c r="AN1414">
        <v>97.5</v>
      </c>
      <c r="AO1414">
        <v>0</v>
      </c>
      <c r="AP1414">
        <v>0</v>
      </c>
      <c r="AQ1414">
        <v>0</v>
      </c>
      <c r="AR1414">
        <v>42.5</v>
      </c>
      <c r="AS1414">
        <v>187.5</v>
      </c>
      <c r="AT1414">
        <v>13445</v>
      </c>
      <c r="AU1414" t="s">
        <v>33</v>
      </c>
    </row>
    <row r="1415" spans="1:47" x14ac:dyDescent="0.2">
      <c r="A1415">
        <v>2082</v>
      </c>
      <c r="B1415" t="s">
        <v>787</v>
      </c>
      <c r="C1415">
        <v>42</v>
      </c>
      <c r="D1415" t="s">
        <v>781</v>
      </c>
      <c r="G1415" t="str">
        <f t="shared" si="22"/>
        <v>SWL201442DBO4.5</v>
      </c>
      <c r="H1415">
        <v>71.489783329999995</v>
      </c>
      <c r="I1415">
        <v>-163.3882333</v>
      </c>
      <c r="J1415" s="3">
        <v>20140721</v>
      </c>
      <c r="K1415">
        <v>2014</v>
      </c>
      <c r="L1415">
        <v>3.25231</v>
      </c>
      <c r="M1415">
        <v>1.7323900000000001</v>
      </c>
      <c r="N1415">
        <v>0.39985999999999999</v>
      </c>
      <c r="O1415">
        <v>1.52474</v>
      </c>
      <c r="P1415">
        <v>0.17515</v>
      </c>
      <c r="Q1415">
        <v>0</v>
      </c>
      <c r="R1415">
        <v>0.96404999999999996</v>
      </c>
      <c r="S1415">
        <v>8.9999999999999998E-4</v>
      </c>
      <c r="T1415">
        <v>6.166E-2</v>
      </c>
      <c r="U1415">
        <v>0.15697</v>
      </c>
      <c r="V1415">
        <v>8.2680299999999995</v>
      </c>
      <c r="W1415" t="s">
        <v>9</v>
      </c>
      <c r="X1415">
        <v>45.753999999999998</v>
      </c>
      <c r="Y1415">
        <v>69.8</v>
      </c>
      <c r="Z1415">
        <v>5.6559999999999997</v>
      </c>
      <c r="AA1415">
        <v>33.883000000000003</v>
      </c>
      <c r="AB1415">
        <v>12.510999999999999</v>
      </c>
      <c r="AC1415">
        <v>0</v>
      </c>
      <c r="AD1415">
        <v>15.804</v>
      </c>
      <c r="AE1415">
        <v>2.1999999999999999E-2</v>
      </c>
      <c r="AF1415">
        <v>0.66300000000000003</v>
      </c>
      <c r="AG1415">
        <v>4.016</v>
      </c>
      <c r="AH1415">
        <v>188.10900000000001</v>
      </c>
      <c r="AI1415" t="s">
        <v>22</v>
      </c>
      <c r="AJ1415">
        <v>1317.5</v>
      </c>
      <c r="AK1415">
        <v>152.5</v>
      </c>
      <c r="AL1415">
        <v>1172.5</v>
      </c>
      <c r="AM1415">
        <v>15</v>
      </c>
      <c r="AN1415">
        <v>32.5</v>
      </c>
      <c r="AO1415">
        <v>0</v>
      </c>
      <c r="AP1415">
        <v>0</v>
      </c>
      <c r="AQ1415">
        <v>2.5</v>
      </c>
      <c r="AR1415">
        <v>17.5</v>
      </c>
      <c r="AS1415">
        <v>85</v>
      </c>
      <c r="AT1415">
        <v>2795</v>
      </c>
      <c r="AU1415" t="s">
        <v>33</v>
      </c>
    </row>
    <row r="1416" spans="1:47" x14ac:dyDescent="0.2">
      <c r="A1416">
        <v>2083</v>
      </c>
      <c r="B1416" t="s">
        <v>787</v>
      </c>
      <c r="C1416">
        <v>44</v>
      </c>
      <c r="D1416" t="s">
        <v>780</v>
      </c>
      <c r="G1416" t="str">
        <f t="shared" si="22"/>
        <v>SWL201444DBO4.6</v>
      </c>
      <c r="H1416">
        <v>71.618166669999994</v>
      </c>
      <c r="I1416">
        <v>-163.77108329999999</v>
      </c>
      <c r="J1416" s="3">
        <v>20140721</v>
      </c>
      <c r="K1416">
        <v>2014</v>
      </c>
      <c r="L1416">
        <v>3.3845299999999998</v>
      </c>
      <c r="M1416">
        <v>5.6433400000000002</v>
      </c>
      <c r="N1416">
        <v>0.76451999999999998</v>
      </c>
      <c r="O1416">
        <v>1.33592</v>
      </c>
      <c r="P1416">
        <v>0.11866</v>
      </c>
      <c r="Q1416">
        <v>0</v>
      </c>
      <c r="R1416">
        <v>0</v>
      </c>
      <c r="S1416">
        <v>3.0300000000000001E-2</v>
      </c>
      <c r="T1416">
        <v>1.11219</v>
      </c>
      <c r="U1416">
        <v>0.35163</v>
      </c>
      <c r="V1416">
        <v>12.74109</v>
      </c>
      <c r="W1416" t="s">
        <v>10</v>
      </c>
      <c r="X1416">
        <v>46.773000000000003</v>
      </c>
      <c r="Y1416">
        <v>168.911</v>
      </c>
      <c r="Z1416">
        <v>10.86</v>
      </c>
      <c r="AA1416">
        <v>29.687000000000001</v>
      </c>
      <c r="AB1416">
        <v>8.4760000000000009</v>
      </c>
      <c r="AC1416">
        <v>0</v>
      </c>
      <c r="AD1416">
        <v>0</v>
      </c>
      <c r="AE1416">
        <v>2.1640000000000001</v>
      </c>
      <c r="AF1416">
        <v>11.959</v>
      </c>
      <c r="AG1416">
        <v>7.7469999999999999</v>
      </c>
      <c r="AH1416">
        <v>286.577</v>
      </c>
      <c r="AI1416" t="s">
        <v>22</v>
      </c>
      <c r="AJ1416">
        <v>2177.5</v>
      </c>
      <c r="AK1416">
        <v>672.5</v>
      </c>
      <c r="AL1416">
        <v>767.5</v>
      </c>
      <c r="AM1416">
        <v>17.5</v>
      </c>
      <c r="AN1416">
        <v>17.5</v>
      </c>
      <c r="AO1416">
        <v>0</v>
      </c>
      <c r="AP1416">
        <v>0</v>
      </c>
      <c r="AQ1416">
        <v>2.5</v>
      </c>
      <c r="AR1416">
        <v>17.5</v>
      </c>
      <c r="AS1416">
        <v>80</v>
      </c>
      <c r="AT1416">
        <v>3752.5</v>
      </c>
      <c r="AU1416" t="s">
        <v>33</v>
      </c>
    </row>
    <row r="1417" spans="1:47" x14ac:dyDescent="0.2">
      <c r="A1417">
        <v>2084</v>
      </c>
      <c r="B1417" t="s">
        <v>787</v>
      </c>
      <c r="C1417">
        <v>45</v>
      </c>
      <c r="D1417" t="s">
        <v>373</v>
      </c>
      <c r="G1417" t="str">
        <f t="shared" si="22"/>
        <v>SWL201445BarC3</v>
      </c>
      <c r="H1417">
        <v>71.330516669999994</v>
      </c>
      <c r="I1417">
        <v>-157.31718330000001</v>
      </c>
      <c r="J1417" s="3">
        <v>20140722</v>
      </c>
      <c r="K1417">
        <v>2014</v>
      </c>
      <c r="L1417">
        <v>3.0323699999999998</v>
      </c>
      <c r="M1417">
        <v>0.12452000000000001</v>
      </c>
      <c r="N1417">
        <v>1.3777200000000001</v>
      </c>
      <c r="O1417">
        <v>6.3000000000000003E-4</v>
      </c>
      <c r="P1417">
        <v>1.6900000000000001E-3</v>
      </c>
      <c r="Q1417">
        <v>0</v>
      </c>
      <c r="R1417">
        <v>0.13938</v>
      </c>
      <c r="S1417">
        <v>3.2599999999999999E-3</v>
      </c>
      <c r="T1417">
        <v>2.1860000000000001E-2</v>
      </c>
      <c r="U1417">
        <v>1.5499999999999999E-3</v>
      </c>
      <c r="V1417">
        <v>4.7029800000000002</v>
      </c>
      <c r="W1417" t="s">
        <v>9</v>
      </c>
      <c r="X1417">
        <v>43.677999999999997</v>
      </c>
      <c r="Y1417">
        <v>4.4459999999999997</v>
      </c>
      <c r="Z1417">
        <v>19.065000000000001</v>
      </c>
      <c r="AA1417">
        <v>1.4E-2</v>
      </c>
      <c r="AB1417">
        <v>0.121</v>
      </c>
      <c r="AC1417">
        <v>0</v>
      </c>
      <c r="AD1417">
        <v>2.2850000000000001</v>
      </c>
      <c r="AE1417">
        <v>0.23300000000000001</v>
      </c>
      <c r="AF1417">
        <v>0.23499999999999999</v>
      </c>
      <c r="AG1417">
        <v>5.7000000000000002E-2</v>
      </c>
      <c r="AH1417">
        <v>70.134</v>
      </c>
      <c r="AI1417" t="s">
        <v>21</v>
      </c>
      <c r="AJ1417">
        <v>1860</v>
      </c>
      <c r="AK1417">
        <v>480</v>
      </c>
      <c r="AL1417">
        <v>6130</v>
      </c>
      <c r="AM1417">
        <v>10</v>
      </c>
      <c r="AN1417">
        <v>60</v>
      </c>
      <c r="AO1417">
        <v>0</v>
      </c>
      <c r="AP1417">
        <v>0</v>
      </c>
      <c r="AQ1417">
        <v>10</v>
      </c>
      <c r="AR1417">
        <v>40</v>
      </c>
      <c r="AS1417">
        <v>20</v>
      </c>
      <c r="AT1417">
        <v>8610</v>
      </c>
      <c r="AU1417" t="s">
        <v>35</v>
      </c>
    </row>
    <row r="1418" spans="1:47" x14ac:dyDescent="0.2">
      <c r="A1418">
        <v>2085</v>
      </c>
      <c r="B1418" t="s">
        <v>787</v>
      </c>
      <c r="C1418">
        <v>46</v>
      </c>
      <c r="D1418" t="s">
        <v>374</v>
      </c>
      <c r="G1418" t="str">
        <f t="shared" si="22"/>
        <v>SWL201446BarC4</v>
      </c>
      <c r="H1418">
        <v>71.357500000000002</v>
      </c>
      <c r="I1418">
        <v>-157.35749999999999</v>
      </c>
      <c r="J1418" s="3">
        <v>20140723</v>
      </c>
      <c r="K1418">
        <v>2014</v>
      </c>
      <c r="L1418">
        <v>0.52864</v>
      </c>
      <c r="M1418">
        <v>1.80043</v>
      </c>
      <c r="N1418">
        <v>0.20619000000000001</v>
      </c>
      <c r="O1418">
        <v>0</v>
      </c>
      <c r="P1418">
        <v>0.59760000000000002</v>
      </c>
      <c r="Q1418">
        <v>0</v>
      </c>
      <c r="R1418">
        <v>2.3711199999999999</v>
      </c>
      <c r="S1418">
        <v>0</v>
      </c>
      <c r="T1418">
        <v>0</v>
      </c>
      <c r="U1418">
        <v>1.848E-2</v>
      </c>
      <c r="V1418">
        <v>5.5224599999999997</v>
      </c>
      <c r="W1418" t="s">
        <v>15</v>
      </c>
      <c r="X1418">
        <v>7.4749999999999996</v>
      </c>
      <c r="Y1418">
        <v>60.216999999999999</v>
      </c>
      <c r="Z1418">
        <v>2.6520000000000001</v>
      </c>
      <c r="AA1418">
        <v>0</v>
      </c>
      <c r="AB1418">
        <v>42.686</v>
      </c>
      <c r="AC1418">
        <v>0</v>
      </c>
      <c r="AD1418">
        <v>59.277999999999999</v>
      </c>
      <c r="AE1418">
        <v>0</v>
      </c>
      <c r="AF1418">
        <v>0</v>
      </c>
      <c r="AG1418">
        <v>0.88</v>
      </c>
      <c r="AH1418">
        <v>173.18799999999999</v>
      </c>
      <c r="AI1418" t="s">
        <v>22</v>
      </c>
      <c r="AJ1418">
        <v>270</v>
      </c>
      <c r="AK1418">
        <v>310</v>
      </c>
      <c r="AL1418">
        <v>1230</v>
      </c>
      <c r="AM1418">
        <v>0</v>
      </c>
      <c r="AN1418">
        <v>10</v>
      </c>
      <c r="AO1418">
        <v>0</v>
      </c>
      <c r="AP1418">
        <v>10</v>
      </c>
      <c r="AQ1418">
        <v>0</v>
      </c>
      <c r="AR1418">
        <v>0</v>
      </c>
      <c r="AS1418">
        <v>10</v>
      </c>
      <c r="AT1418">
        <v>1840</v>
      </c>
      <c r="AU1418" t="s">
        <v>35</v>
      </c>
    </row>
    <row r="1419" spans="1:47" x14ac:dyDescent="0.2">
      <c r="A1419">
        <v>2086</v>
      </c>
      <c r="B1419" t="s">
        <v>787</v>
      </c>
      <c r="C1419">
        <v>47</v>
      </c>
      <c r="D1419" t="s">
        <v>375</v>
      </c>
      <c r="G1419" t="str">
        <f t="shared" si="22"/>
        <v>SWL201447BarC5</v>
      </c>
      <c r="H1419">
        <v>71.399233330000001</v>
      </c>
      <c r="I1419">
        <v>-157.46458329999999</v>
      </c>
      <c r="J1419" s="3">
        <v>20140723</v>
      </c>
      <c r="K1419">
        <v>2014</v>
      </c>
      <c r="L1419">
        <v>1.8733200000000001</v>
      </c>
      <c r="M1419">
        <v>4.0078800000000001</v>
      </c>
      <c r="N1419">
        <v>2.9242400000000002</v>
      </c>
      <c r="O1419">
        <v>0.17549999999999999</v>
      </c>
      <c r="P1419">
        <v>1.9201900000000001</v>
      </c>
      <c r="Q1419">
        <v>0</v>
      </c>
      <c r="R1419">
        <v>4.8129999999999999E-2</v>
      </c>
      <c r="S1419">
        <v>0</v>
      </c>
      <c r="T1419">
        <v>0.25109999999999999</v>
      </c>
      <c r="U1419">
        <v>1.1108100000000001</v>
      </c>
      <c r="V1419">
        <v>12.311170000000001</v>
      </c>
      <c r="W1419" t="s">
        <v>10</v>
      </c>
      <c r="X1419">
        <v>26.904</v>
      </c>
      <c r="Y1419">
        <v>245.61500000000001</v>
      </c>
      <c r="Z1419">
        <v>39.335000000000001</v>
      </c>
      <c r="AA1419">
        <v>3.9</v>
      </c>
      <c r="AB1419">
        <v>137.15600000000001</v>
      </c>
      <c r="AC1419">
        <v>0</v>
      </c>
      <c r="AD1419">
        <v>0.78900000000000003</v>
      </c>
      <c r="AE1419">
        <v>0</v>
      </c>
      <c r="AF1419">
        <v>2.7</v>
      </c>
      <c r="AG1419">
        <v>52.758000000000003</v>
      </c>
      <c r="AH1419">
        <v>509.15699999999998</v>
      </c>
      <c r="AI1419" t="s">
        <v>22</v>
      </c>
      <c r="AJ1419">
        <v>1530</v>
      </c>
      <c r="AK1419">
        <v>200</v>
      </c>
      <c r="AL1419">
        <v>15090</v>
      </c>
      <c r="AM1419">
        <v>250</v>
      </c>
      <c r="AN1419">
        <v>200</v>
      </c>
      <c r="AO1419">
        <v>0</v>
      </c>
      <c r="AP1419">
        <v>0</v>
      </c>
      <c r="AQ1419">
        <v>0</v>
      </c>
      <c r="AR1419">
        <v>70</v>
      </c>
      <c r="AS1419">
        <v>110</v>
      </c>
      <c r="AT1419">
        <v>17450</v>
      </c>
      <c r="AU1419" t="s">
        <v>35</v>
      </c>
    </row>
    <row r="1420" spans="1:47" x14ac:dyDescent="0.2">
      <c r="A1420">
        <v>2106</v>
      </c>
      <c r="B1420" t="s">
        <v>791</v>
      </c>
      <c r="C1420">
        <v>1</v>
      </c>
      <c r="D1420" t="s">
        <v>551</v>
      </c>
      <c r="G1420" t="str">
        <f t="shared" si="22"/>
        <v>SWL20151SLIP1</v>
      </c>
      <c r="H1420">
        <v>62.01</v>
      </c>
      <c r="I1420">
        <v>-175.06</v>
      </c>
      <c r="J1420" s="3">
        <v>20150714</v>
      </c>
      <c r="K1420">
        <v>2015</v>
      </c>
      <c r="L1420">
        <v>7.6528600000000004</v>
      </c>
      <c r="M1420">
        <v>2.9638599999999999</v>
      </c>
      <c r="N1420">
        <v>9.7989999999999994E-2</v>
      </c>
      <c r="O1420">
        <v>5.7200000000000003E-3</v>
      </c>
      <c r="P1420">
        <v>0.37025000000000002</v>
      </c>
      <c r="Q1420">
        <v>0</v>
      </c>
      <c r="R1420">
        <v>0</v>
      </c>
      <c r="S1420">
        <v>0</v>
      </c>
      <c r="T1420">
        <v>4.7620000000000003E-2</v>
      </c>
      <c r="U1420">
        <v>0.21790999999999999</v>
      </c>
      <c r="V1420">
        <v>11.356210000000001</v>
      </c>
      <c r="W1420" t="s">
        <v>9</v>
      </c>
      <c r="X1420">
        <v>109.54300000000001</v>
      </c>
      <c r="Y1420">
        <v>86.763000000000005</v>
      </c>
      <c r="Z1420">
        <v>1.2809999999999999</v>
      </c>
      <c r="AA1420">
        <v>0.127</v>
      </c>
      <c r="AB1420">
        <v>26.446000000000002</v>
      </c>
      <c r="AC1420">
        <v>0</v>
      </c>
      <c r="AD1420">
        <v>0</v>
      </c>
      <c r="AE1420">
        <v>0</v>
      </c>
      <c r="AF1420">
        <v>0.51200000000000001</v>
      </c>
      <c r="AG1420">
        <v>3.948</v>
      </c>
      <c r="AH1420">
        <v>228.62</v>
      </c>
      <c r="AI1420" t="s">
        <v>21</v>
      </c>
      <c r="AJ1420">
        <v>2082.5</v>
      </c>
      <c r="AK1420">
        <v>587.5</v>
      </c>
      <c r="AL1420">
        <v>145</v>
      </c>
      <c r="AM1420">
        <v>27.5</v>
      </c>
      <c r="AN1420">
        <v>20</v>
      </c>
      <c r="AO1420">
        <v>0</v>
      </c>
      <c r="AP1420">
        <v>0</v>
      </c>
      <c r="AQ1420">
        <v>0</v>
      </c>
      <c r="AR1420">
        <v>17.5</v>
      </c>
      <c r="AS1420">
        <v>195</v>
      </c>
      <c r="AT1420">
        <v>3075</v>
      </c>
      <c r="AU1420" t="s">
        <v>33</v>
      </c>
    </row>
    <row r="1421" spans="1:47" x14ac:dyDescent="0.2">
      <c r="A1421">
        <v>2107</v>
      </c>
      <c r="B1421" t="s">
        <v>791</v>
      </c>
      <c r="C1421">
        <v>2</v>
      </c>
      <c r="D1421" t="s">
        <v>552</v>
      </c>
      <c r="G1421" t="str">
        <f t="shared" si="22"/>
        <v>SWL20152SLIP2</v>
      </c>
      <c r="H1421">
        <v>62.049799999999998</v>
      </c>
      <c r="I1421">
        <v>-175.2098</v>
      </c>
      <c r="J1421" s="3">
        <v>20150714</v>
      </c>
      <c r="K1421">
        <v>2015</v>
      </c>
      <c r="L1421">
        <v>5.1968699999999997</v>
      </c>
      <c r="M1421">
        <v>4.18703</v>
      </c>
      <c r="N1421">
        <v>0.112</v>
      </c>
      <c r="O1421">
        <v>0</v>
      </c>
      <c r="P1421">
        <v>0.17851</v>
      </c>
      <c r="Q1421">
        <v>0</v>
      </c>
      <c r="R1421">
        <v>0</v>
      </c>
      <c r="S1421">
        <v>1.163E-2</v>
      </c>
      <c r="T1421">
        <v>0.33423999999999998</v>
      </c>
      <c r="U1421">
        <v>0.12286</v>
      </c>
      <c r="V1421">
        <v>10.143140000000001</v>
      </c>
      <c r="W1421" t="s">
        <v>9</v>
      </c>
      <c r="X1421">
        <v>75.832999999999998</v>
      </c>
      <c r="Y1421">
        <v>122.21299999999999</v>
      </c>
      <c r="Z1421">
        <v>1.4039999999999999</v>
      </c>
      <c r="AA1421">
        <v>0</v>
      </c>
      <c r="AB1421">
        <v>12.750999999999999</v>
      </c>
      <c r="AC1421">
        <v>0</v>
      </c>
      <c r="AD1421">
        <v>0</v>
      </c>
      <c r="AE1421">
        <v>0.83099999999999996</v>
      </c>
      <c r="AF1421">
        <v>3.5939999999999999</v>
      </c>
      <c r="AG1421">
        <v>2.113</v>
      </c>
      <c r="AH1421">
        <v>218.739</v>
      </c>
      <c r="AI1421" t="s">
        <v>22</v>
      </c>
      <c r="AJ1421">
        <v>1365</v>
      </c>
      <c r="AK1421">
        <v>857.5</v>
      </c>
      <c r="AL1421">
        <v>87.5</v>
      </c>
      <c r="AM1421">
        <v>0</v>
      </c>
      <c r="AN1421">
        <v>10</v>
      </c>
      <c r="AO1421">
        <v>0</v>
      </c>
      <c r="AP1421">
        <v>0</v>
      </c>
      <c r="AQ1421">
        <v>2.5</v>
      </c>
      <c r="AR1421">
        <v>35</v>
      </c>
      <c r="AS1421">
        <v>117.5</v>
      </c>
      <c r="AT1421">
        <v>2475</v>
      </c>
      <c r="AU1421" t="s">
        <v>33</v>
      </c>
    </row>
    <row r="1422" spans="1:47" x14ac:dyDescent="0.2">
      <c r="A1422">
        <v>2108</v>
      </c>
      <c r="B1422" t="s">
        <v>791</v>
      </c>
      <c r="C1422">
        <v>4</v>
      </c>
      <c r="D1422" t="s">
        <v>553</v>
      </c>
      <c r="G1422" t="str">
        <f t="shared" si="22"/>
        <v>SWL20154SLIP3</v>
      </c>
      <c r="H1422">
        <v>62.39</v>
      </c>
      <c r="I1422">
        <v>-174.5702</v>
      </c>
      <c r="J1422" s="3">
        <v>20150714</v>
      </c>
      <c r="K1422">
        <v>2015</v>
      </c>
      <c r="L1422">
        <v>7.3663800000000004</v>
      </c>
      <c r="M1422">
        <v>3.10324</v>
      </c>
      <c r="N1422">
        <v>1.5486200000000001</v>
      </c>
      <c r="O1422">
        <v>1.71824</v>
      </c>
      <c r="P1422">
        <v>0.36137000000000002</v>
      </c>
      <c r="Q1422">
        <v>0</v>
      </c>
      <c r="R1422">
        <v>7.6189999999999994E-2</v>
      </c>
      <c r="S1422">
        <v>0.38020999999999999</v>
      </c>
      <c r="T1422">
        <v>0.57826999999999995</v>
      </c>
      <c r="U1422">
        <v>0.39998</v>
      </c>
      <c r="V1422">
        <v>15.532500000000001</v>
      </c>
      <c r="W1422" t="s">
        <v>9</v>
      </c>
      <c r="X1422">
        <v>105.941</v>
      </c>
      <c r="Y1422">
        <v>87.393000000000001</v>
      </c>
      <c r="Z1422">
        <v>19.117999999999999</v>
      </c>
      <c r="AA1422">
        <v>38.183</v>
      </c>
      <c r="AB1422">
        <v>25.812000000000001</v>
      </c>
      <c r="AC1422">
        <v>0</v>
      </c>
      <c r="AD1422">
        <v>1.2490000000000001</v>
      </c>
      <c r="AE1422">
        <v>27.023</v>
      </c>
      <c r="AF1422">
        <v>6.218</v>
      </c>
      <c r="AG1422">
        <v>8.6069999999999993</v>
      </c>
      <c r="AH1422">
        <v>319.54399999999998</v>
      </c>
      <c r="AI1422" t="s">
        <v>21</v>
      </c>
      <c r="AJ1422">
        <v>4300</v>
      </c>
      <c r="AK1422">
        <v>562.5</v>
      </c>
      <c r="AL1422">
        <v>1132.5</v>
      </c>
      <c r="AM1422">
        <v>20</v>
      </c>
      <c r="AN1422">
        <v>27.5</v>
      </c>
      <c r="AO1422">
        <v>0</v>
      </c>
      <c r="AP1422">
        <v>2.5</v>
      </c>
      <c r="AQ1422">
        <v>10</v>
      </c>
      <c r="AR1422">
        <v>62.5</v>
      </c>
      <c r="AS1422">
        <v>275</v>
      </c>
      <c r="AT1422">
        <v>6392.5</v>
      </c>
      <c r="AU1422" t="s">
        <v>33</v>
      </c>
    </row>
    <row r="1423" spans="1:47" x14ac:dyDescent="0.2">
      <c r="A1423">
        <v>2109</v>
      </c>
      <c r="B1423" t="s">
        <v>791</v>
      </c>
      <c r="C1423">
        <v>6</v>
      </c>
      <c r="D1423" t="s">
        <v>554</v>
      </c>
      <c r="G1423" t="str">
        <f t="shared" si="22"/>
        <v>SWL20156SLIP5</v>
      </c>
      <c r="H1423">
        <v>62.560299999999998</v>
      </c>
      <c r="I1423">
        <v>-173.55170000000001</v>
      </c>
      <c r="J1423" s="3">
        <v>20150715</v>
      </c>
      <c r="K1423">
        <v>2015</v>
      </c>
      <c r="L1423">
        <v>3.6022699999999999</v>
      </c>
      <c r="M1423">
        <v>13.07225</v>
      </c>
      <c r="N1423">
        <v>1.04301</v>
      </c>
      <c r="O1423">
        <v>1.9400000000000001E-3</v>
      </c>
      <c r="P1423">
        <v>0.31031999999999998</v>
      </c>
      <c r="Q1423">
        <v>0</v>
      </c>
      <c r="R1423">
        <v>0</v>
      </c>
      <c r="S1423">
        <v>0</v>
      </c>
      <c r="T1423">
        <v>1.19886</v>
      </c>
      <c r="U1423">
        <v>0.11491999999999999</v>
      </c>
      <c r="V1423">
        <v>19.34357</v>
      </c>
      <c r="W1423" t="s">
        <v>10</v>
      </c>
      <c r="X1423">
        <v>54.393999999999998</v>
      </c>
      <c r="Y1423">
        <v>390.10300000000001</v>
      </c>
      <c r="Z1423">
        <v>14.125999999999999</v>
      </c>
      <c r="AA1423">
        <v>4.2999999999999997E-2</v>
      </c>
      <c r="AB1423">
        <v>22.166</v>
      </c>
      <c r="AC1423">
        <v>0</v>
      </c>
      <c r="AD1423">
        <v>0</v>
      </c>
      <c r="AE1423">
        <v>0</v>
      </c>
      <c r="AF1423">
        <v>12.891</v>
      </c>
      <c r="AG1423">
        <v>2.5510000000000002</v>
      </c>
      <c r="AH1423">
        <v>496.274</v>
      </c>
      <c r="AI1423" t="s">
        <v>22</v>
      </c>
      <c r="AJ1423">
        <v>1445</v>
      </c>
      <c r="AK1423">
        <v>1035</v>
      </c>
      <c r="AL1423">
        <v>485</v>
      </c>
      <c r="AM1423">
        <v>2.5</v>
      </c>
      <c r="AN1423">
        <v>7.5</v>
      </c>
      <c r="AO1423">
        <v>0</v>
      </c>
      <c r="AP1423">
        <v>0</v>
      </c>
      <c r="AQ1423">
        <v>0</v>
      </c>
      <c r="AR1423">
        <v>60</v>
      </c>
      <c r="AS1423">
        <v>72.5</v>
      </c>
      <c r="AT1423">
        <v>3107.5</v>
      </c>
      <c r="AU1423" t="s">
        <v>33</v>
      </c>
    </row>
    <row r="1424" spans="1:47" x14ac:dyDescent="0.2">
      <c r="A1424">
        <v>2110</v>
      </c>
      <c r="B1424" t="s">
        <v>791</v>
      </c>
      <c r="C1424">
        <v>8</v>
      </c>
      <c r="D1424" t="s">
        <v>555</v>
      </c>
      <c r="G1424" t="str">
        <f t="shared" si="22"/>
        <v>SWL20158SLIP4</v>
      </c>
      <c r="H1424">
        <v>63.029499999999999</v>
      </c>
      <c r="I1424">
        <v>-173.4607</v>
      </c>
      <c r="J1424" s="3">
        <v>20150715</v>
      </c>
      <c r="K1424">
        <v>2015</v>
      </c>
      <c r="L1424">
        <v>3.3238500000000002</v>
      </c>
      <c r="M1424">
        <v>11.28674</v>
      </c>
      <c r="N1424">
        <v>0.27283000000000002</v>
      </c>
      <c r="O1424">
        <v>0</v>
      </c>
      <c r="P1424">
        <v>0.90764999999999996</v>
      </c>
      <c r="Q1424">
        <v>0</v>
      </c>
      <c r="R1424">
        <v>0</v>
      </c>
      <c r="S1424">
        <v>0</v>
      </c>
      <c r="T1424">
        <v>0.87958999999999998</v>
      </c>
      <c r="U1424">
        <v>0.19952</v>
      </c>
      <c r="V1424">
        <v>16.870180000000001</v>
      </c>
      <c r="W1424" t="s">
        <v>10</v>
      </c>
      <c r="X1424">
        <v>45.005000000000003</v>
      </c>
      <c r="Y1424">
        <v>412.37</v>
      </c>
      <c r="Z1424">
        <v>3.28</v>
      </c>
      <c r="AA1424">
        <v>0</v>
      </c>
      <c r="AB1424">
        <v>64.831999999999994</v>
      </c>
      <c r="AC1424">
        <v>0</v>
      </c>
      <c r="AD1424">
        <v>0</v>
      </c>
      <c r="AE1424">
        <v>0</v>
      </c>
      <c r="AF1424">
        <v>9.4580000000000002</v>
      </c>
      <c r="AG1424">
        <v>3.9340000000000002</v>
      </c>
      <c r="AH1424">
        <v>538.87900000000002</v>
      </c>
      <c r="AI1424" t="s">
        <v>22</v>
      </c>
      <c r="AJ1424">
        <v>1702.5</v>
      </c>
      <c r="AK1424">
        <v>2050</v>
      </c>
      <c r="AL1424">
        <v>200</v>
      </c>
      <c r="AM1424">
        <v>0</v>
      </c>
      <c r="AN1424">
        <v>25</v>
      </c>
      <c r="AO1424">
        <v>0</v>
      </c>
      <c r="AP1424">
        <v>0</v>
      </c>
      <c r="AQ1424">
        <v>0</v>
      </c>
      <c r="AR1424">
        <v>25</v>
      </c>
      <c r="AS1424">
        <v>142.5</v>
      </c>
      <c r="AT1424">
        <v>4145</v>
      </c>
      <c r="AU1424" t="s">
        <v>34</v>
      </c>
    </row>
    <row r="1425" spans="1:47" x14ac:dyDescent="0.2">
      <c r="A1425">
        <v>2111</v>
      </c>
      <c r="B1425" t="s">
        <v>791</v>
      </c>
      <c r="C1425">
        <v>14</v>
      </c>
      <c r="D1425" t="s">
        <v>556</v>
      </c>
      <c r="G1425" t="str">
        <f t="shared" si="22"/>
        <v>SWL201514UTBS5</v>
      </c>
      <c r="H1425">
        <v>64.672200000000004</v>
      </c>
      <c r="I1425">
        <v>-169.92320000000001</v>
      </c>
      <c r="J1425" s="3">
        <v>20150715</v>
      </c>
      <c r="K1425">
        <v>2015</v>
      </c>
      <c r="L1425">
        <v>24.149260000000002</v>
      </c>
      <c r="M1425">
        <v>10.359629999999999</v>
      </c>
      <c r="N1425">
        <v>0.22051999999999999</v>
      </c>
      <c r="O1425">
        <v>0.12506</v>
      </c>
      <c r="P1425">
        <v>0</v>
      </c>
      <c r="Q1425">
        <v>0</v>
      </c>
      <c r="R1425">
        <v>7.6899999999999998E-3</v>
      </c>
      <c r="S1425">
        <v>2.3876300000000001</v>
      </c>
      <c r="T1425">
        <v>2.4549999999999999E-2</v>
      </c>
      <c r="U1425">
        <v>0.23508000000000001</v>
      </c>
      <c r="V1425">
        <v>37.509419999999999</v>
      </c>
      <c r="W1425" t="s">
        <v>9</v>
      </c>
      <c r="X1425">
        <v>349.358</v>
      </c>
      <c r="Y1425">
        <v>294.875</v>
      </c>
      <c r="Z1425">
        <v>3.1389999999999998</v>
      </c>
      <c r="AA1425">
        <v>2.7789999999999999</v>
      </c>
      <c r="AB1425">
        <v>0</v>
      </c>
      <c r="AC1425">
        <v>0</v>
      </c>
      <c r="AD1425">
        <v>0.126</v>
      </c>
      <c r="AE1425">
        <v>170.54499999999999</v>
      </c>
      <c r="AF1425">
        <v>0.26400000000000001</v>
      </c>
      <c r="AG1425">
        <v>23.48</v>
      </c>
      <c r="AH1425">
        <v>844.56600000000003</v>
      </c>
      <c r="AI1425" t="s">
        <v>21</v>
      </c>
      <c r="AJ1425">
        <v>3227.5</v>
      </c>
      <c r="AK1425">
        <v>595</v>
      </c>
      <c r="AL1425">
        <v>2040</v>
      </c>
      <c r="AM1425">
        <v>30</v>
      </c>
      <c r="AN1425">
        <v>0</v>
      </c>
      <c r="AO1425">
        <v>0</v>
      </c>
      <c r="AP1425">
        <v>0</v>
      </c>
      <c r="AQ1425">
        <v>5</v>
      </c>
      <c r="AR1425">
        <v>7.5</v>
      </c>
      <c r="AS1425">
        <v>7.5</v>
      </c>
      <c r="AT1425">
        <v>5912.5</v>
      </c>
      <c r="AU1425" t="s">
        <v>33</v>
      </c>
    </row>
    <row r="1426" spans="1:47" x14ac:dyDescent="0.2">
      <c r="A1426">
        <v>2112</v>
      </c>
      <c r="B1426" t="s">
        <v>791</v>
      </c>
      <c r="C1426">
        <v>15</v>
      </c>
      <c r="D1426" t="s">
        <v>557</v>
      </c>
      <c r="G1426" t="str">
        <f t="shared" si="22"/>
        <v>SWL201515UTBS2</v>
      </c>
      <c r="H1426">
        <v>64.682299999999998</v>
      </c>
      <c r="I1426">
        <v>-169.10550000000001</v>
      </c>
      <c r="J1426" s="3">
        <v>20150716</v>
      </c>
      <c r="K1426">
        <v>2015</v>
      </c>
      <c r="L1426">
        <v>1.48221</v>
      </c>
      <c r="M1426">
        <v>2.3492899999999999</v>
      </c>
      <c r="N1426">
        <v>5.2294499999999999</v>
      </c>
      <c r="O1426">
        <v>0</v>
      </c>
      <c r="P1426">
        <v>0</v>
      </c>
      <c r="Q1426">
        <v>0</v>
      </c>
      <c r="R1426">
        <v>6.0400000000000002E-3</v>
      </c>
      <c r="S1426">
        <v>8.3999999999999995E-3</v>
      </c>
      <c r="T1426">
        <v>1.302E-2</v>
      </c>
      <c r="U1426">
        <v>4.6999999999999999E-4</v>
      </c>
      <c r="V1426">
        <v>9.0888799999999996</v>
      </c>
      <c r="W1426" t="s">
        <v>11</v>
      </c>
      <c r="X1426">
        <v>21.306000000000001</v>
      </c>
      <c r="Y1426">
        <v>147.33799999999999</v>
      </c>
      <c r="Z1426">
        <v>76.602999999999994</v>
      </c>
      <c r="AA1426">
        <v>0</v>
      </c>
      <c r="AB1426">
        <v>0</v>
      </c>
      <c r="AC1426">
        <v>0</v>
      </c>
      <c r="AD1426">
        <v>9.9000000000000005E-2</v>
      </c>
      <c r="AE1426">
        <v>0.20499999999999999</v>
      </c>
      <c r="AF1426">
        <v>0.14000000000000001</v>
      </c>
      <c r="AG1426">
        <v>0.02</v>
      </c>
      <c r="AH1426">
        <v>245.71100000000001</v>
      </c>
      <c r="AI1426" t="s">
        <v>22</v>
      </c>
      <c r="AJ1426">
        <v>1327.5</v>
      </c>
      <c r="AK1426">
        <v>980</v>
      </c>
      <c r="AL1426">
        <v>5460</v>
      </c>
      <c r="AM1426">
        <v>0</v>
      </c>
      <c r="AN1426">
        <v>0</v>
      </c>
      <c r="AO1426">
        <v>0</v>
      </c>
      <c r="AP1426">
        <v>0</v>
      </c>
      <c r="AQ1426">
        <v>2.5</v>
      </c>
      <c r="AR1426">
        <v>65</v>
      </c>
      <c r="AS1426">
        <v>20</v>
      </c>
      <c r="AT1426">
        <v>7855</v>
      </c>
      <c r="AU1426" t="s">
        <v>35</v>
      </c>
    </row>
    <row r="1427" spans="1:47" x14ac:dyDescent="0.2">
      <c r="A1427">
        <v>2113</v>
      </c>
      <c r="B1427" t="s">
        <v>791</v>
      </c>
      <c r="C1427">
        <v>17</v>
      </c>
      <c r="D1427" t="s">
        <v>558</v>
      </c>
      <c r="G1427" t="str">
        <f t="shared" si="22"/>
        <v>SWL201517UTBS4</v>
      </c>
      <c r="H1427">
        <v>64.960999999999999</v>
      </c>
      <c r="I1427">
        <v>-169.8877</v>
      </c>
      <c r="J1427" s="3">
        <v>20150716</v>
      </c>
      <c r="K1427">
        <v>2015</v>
      </c>
      <c r="L1427">
        <v>0.71233999999999997</v>
      </c>
      <c r="M1427">
        <v>0.63497000000000003</v>
      </c>
      <c r="N1427">
        <v>6.7239999999999994E-2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4.62E-3</v>
      </c>
      <c r="V1427">
        <v>1.41917</v>
      </c>
      <c r="W1427" t="s">
        <v>9</v>
      </c>
      <c r="X1427">
        <v>9.7550000000000008</v>
      </c>
      <c r="Y1427">
        <v>17.14</v>
      </c>
      <c r="Z1427">
        <v>0.98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0.46200000000000002</v>
      </c>
      <c r="AH1427">
        <v>28.337</v>
      </c>
      <c r="AI1427" t="s">
        <v>22</v>
      </c>
      <c r="AJ1427">
        <v>430</v>
      </c>
      <c r="AK1427">
        <v>295</v>
      </c>
      <c r="AL1427">
        <v>165</v>
      </c>
      <c r="AM1427">
        <v>2.5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892.5</v>
      </c>
      <c r="AU1427" t="s">
        <v>33</v>
      </c>
    </row>
    <row r="1428" spans="1:47" x14ac:dyDescent="0.2">
      <c r="A1428">
        <v>2114</v>
      </c>
      <c r="B1428" t="s">
        <v>791</v>
      </c>
      <c r="C1428">
        <v>18</v>
      </c>
      <c r="D1428" t="s">
        <v>179</v>
      </c>
      <c r="G1428" t="str">
        <f t="shared" si="22"/>
        <v>SWL201518UTBS1</v>
      </c>
      <c r="H1428">
        <v>64.991299999999995</v>
      </c>
      <c r="I1428">
        <v>-169.14070000000001</v>
      </c>
      <c r="J1428" s="3">
        <v>20150716</v>
      </c>
      <c r="K1428">
        <v>2015</v>
      </c>
      <c r="L1428">
        <v>3.0470600000000001</v>
      </c>
      <c r="M1428">
        <v>4.3955599999999997</v>
      </c>
      <c r="N1428">
        <v>14.8796</v>
      </c>
      <c r="O1428">
        <v>0</v>
      </c>
      <c r="P1428">
        <v>0</v>
      </c>
      <c r="Q1428">
        <v>0</v>
      </c>
      <c r="R1428">
        <v>2.9585599999999999</v>
      </c>
      <c r="S1428">
        <v>2.10162</v>
      </c>
      <c r="T1428">
        <v>0.21185000000000001</v>
      </c>
      <c r="U1428">
        <v>9.5070000000000002E-2</v>
      </c>
      <c r="V1428">
        <v>27.689319999999999</v>
      </c>
      <c r="W1428" t="s">
        <v>11</v>
      </c>
      <c r="X1428">
        <v>42.386000000000003</v>
      </c>
      <c r="Y1428">
        <v>266.58800000000002</v>
      </c>
      <c r="Z1428">
        <v>218.124</v>
      </c>
      <c r="AA1428">
        <v>0</v>
      </c>
      <c r="AB1428">
        <v>0</v>
      </c>
      <c r="AC1428">
        <v>0</v>
      </c>
      <c r="AD1428">
        <v>48.500999999999998</v>
      </c>
      <c r="AE1428">
        <v>51.259</v>
      </c>
      <c r="AF1428">
        <v>2.278</v>
      </c>
      <c r="AG1428">
        <v>4.5510000000000002</v>
      </c>
      <c r="AH1428">
        <v>633.68700000000001</v>
      </c>
      <c r="AI1428" t="s">
        <v>22</v>
      </c>
      <c r="AJ1428">
        <v>807.5</v>
      </c>
      <c r="AK1428">
        <v>667.5</v>
      </c>
      <c r="AL1428">
        <v>19635</v>
      </c>
      <c r="AM1428">
        <v>0</v>
      </c>
      <c r="AN1428">
        <v>0</v>
      </c>
      <c r="AO1428">
        <v>0</v>
      </c>
      <c r="AP1428">
        <v>7.5</v>
      </c>
      <c r="AQ1428">
        <v>5</v>
      </c>
      <c r="AR1428">
        <v>77.5</v>
      </c>
      <c r="AS1428">
        <v>37.5</v>
      </c>
      <c r="AT1428">
        <v>21237.5</v>
      </c>
      <c r="AU1428" t="s">
        <v>35</v>
      </c>
    </row>
    <row r="1429" spans="1:47" x14ac:dyDescent="0.2">
      <c r="A1429">
        <v>2115</v>
      </c>
      <c r="B1429" t="s">
        <v>791</v>
      </c>
      <c r="C1429">
        <v>20</v>
      </c>
      <c r="D1429" t="s">
        <v>559</v>
      </c>
      <c r="G1429" t="str">
        <f t="shared" si="22"/>
        <v>SWL201520UTN1</v>
      </c>
      <c r="H1429">
        <v>66.710800000000006</v>
      </c>
      <c r="I1429">
        <v>-168.39920000000001</v>
      </c>
      <c r="J1429" s="3">
        <v>20150716</v>
      </c>
      <c r="K1429">
        <v>2015</v>
      </c>
      <c r="L1429">
        <v>3.1113400000000002</v>
      </c>
      <c r="M1429">
        <v>1.2519</v>
      </c>
      <c r="N1429">
        <v>1.24E-2</v>
      </c>
      <c r="O1429">
        <v>0</v>
      </c>
      <c r="P1429">
        <v>5.842E-2</v>
      </c>
      <c r="Q1429">
        <v>20.037469999999999</v>
      </c>
      <c r="R1429">
        <v>1.21573</v>
      </c>
      <c r="S1429">
        <v>0</v>
      </c>
      <c r="T1429">
        <v>0</v>
      </c>
      <c r="U1429">
        <v>1.7793000000000001</v>
      </c>
      <c r="V1429">
        <v>27.466560000000001</v>
      </c>
      <c r="W1429" t="s">
        <v>14</v>
      </c>
      <c r="X1429">
        <v>51.573999999999998</v>
      </c>
      <c r="Y1429">
        <v>34.57</v>
      </c>
      <c r="Z1429">
        <v>0.16900000000000001</v>
      </c>
      <c r="AA1429">
        <v>0</v>
      </c>
      <c r="AB1429">
        <v>4.173</v>
      </c>
      <c r="AC1429">
        <v>2504.6840000000002</v>
      </c>
      <c r="AD1429">
        <v>19.93</v>
      </c>
      <c r="AE1429">
        <v>0</v>
      </c>
      <c r="AF1429">
        <v>0</v>
      </c>
      <c r="AG1429">
        <v>52.677</v>
      </c>
      <c r="AH1429">
        <v>2667.777</v>
      </c>
      <c r="AI1429" t="s">
        <v>26</v>
      </c>
      <c r="AJ1429">
        <v>1470</v>
      </c>
      <c r="AK1429">
        <v>735</v>
      </c>
      <c r="AL1429">
        <v>235</v>
      </c>
      <c r="AM1429">
        <v>0</v>
      </c>
      <c r="AN1429">
        <v>30</v>
      </c>
      <c r="AO1429">
        <v>235</v>
      </c>
      <c r="AP1429">
        <v>15</v>
      </c>
      <c r="AQ1429">
        <v>0</v>
      </c>
      <c r="AR1429">
        <v>0</v>
      </c>
      <c r="AS1429">
        <v>12.5</v>
      </c>
      <c r="AT1429">
        <v>2732.5</v>
      </c>
      <c r="AU1429" t="s">
        <v>33</v>
      </c>
    </row>
    <row r="1430" spans="1:47" x14ac:dyDescent="0.2">
      <c r="A1430">
        <v>2116</v>
      </c>
      <c r="B1430" t="s">
        <v>791</v>
      </c>
      <c r="C1430">
        <v>21</v>
      </c>
      <c r="D1430" t="s">
        <v>560</v>
      </c>
      <c r="G1430" t="str">
        <f t="shared" si="22"/>
        <v>SWL201521UTN2</v>
      </c>
      <c r="H1430">
        <v>67.049800000000005</v>
      </c>
      <c r="I1430">
        <v>-168.7278</v>
      </c>
      <c r="J1430" s="3">
        <v>20150717</v>
      </c>
      <c r="K1430">
        <v>2015</v>
      </c>
      <c r="L1430">
        <v>7.0920199999999998</v>
      </c>
      <c r="M1430">
        <v>140.54760999999999</v>
      </c>
      <c r="N1430">
        <v>1.5350000000000001E-2</v>
      </c>
      <c r="O1430">
        <v>0</v>
      </c>
      <c r="P1430">
        <v>7.4069999999999997E-2</v>
      </c>
      <c r="Q1430">
        <v>0</v>
      </c>
      <c r="R1430">
        <v>0.20452999999999999</v>
      </c>
      <c r="S1430">
        <v>0.45933000000000002</v>
      </c>
      <c r="T1430">
        <v>0</v>
      </c>
      <c r="U1430">
        <v>1.3999999999999999E-4</v>
      </c>
      <c r="V1430">
        <v>148.39304999999999</v>
      </c>
      <c r="W1430" t="s">
        <v>10</v>
      </c>
      <c r="X1430">
        <v>126.77</v>
      </c>
      <c r="Y1430">
        <v>5609.4030000000002</v>
      </c>
      <c r="Z1430">
        <v>0.20399999999999999</v>
      </c>
      <c r="AA1430">
        <v>0</v>
      </c>
      <c r="AB1430">
        <v>5.2910000000000004</v>
      </c>
      <c r="AC1430">
        <v>0</v>
      </c>
      <c r="AD1430">
        <v>3.3530000000000002</v>
      </c>
      <c r="AE1430">
        <v>32.808999999999997</v>
      </c>
      <c r="AF1430">
        <v>0</v>
      </c>
      <c r="AG1430">
        <v>3.0000000000000001E-3</v>
      </c>
      <c r="AH1430">
        <v>5777.8329999999996</v>
      </c>
      <c r="AI1430" t="s">
        <v>22</v>
      </c>
      <c r="AJ1430">
        <v>1522.5</v>
      </c>
      <c r="AK1430">
        <v>5155</v>
      </c>
      <c r="AL1430">
        <v>177.5</v>
      </c>
      <c r="AM1430">
        <v>0</v>
      </c>
      <c r="AN1430">
        <v>2.5</v>
      </c>
      <c r="AO1430">
        <v>0</v>
      </c>
      <c r="AP1430">
        <v>7.5</v>
      </c>
      <c r="AQ1430">
        <v>25</v>
      </c>
      <c r="AR1430">
        <v>0</v>
      </c>
      <c r="AS1430">
        <v>2.5</v>
      </c>
      <c r="AT1430">
        <v>6892.5</v>
      </c>
      <c r="AU1430" t="s">
        <v>34</v>
      </c>
    </row>
    <row r="1431" spans="1:47" x14ac:dyDescent="0.2">
      <c r="A1431">
        <v>2117</v>
      </c>
      <c r="B1431" t="s">
        <v>791</v>
      </c>
      <c r="C1431">
        <v>22</v>
      </c>
      <c r="D1431" t="s">
        <v>561</v>
      </c>
      <c r="G1431" t="str">
        <f t="shared" si="22"/>
        <v>SWL201522UTN3</v>
      </c>
      <c r="H1431">
        <v>67.327699999999993</v>
      </c>
      <c r="I1431">
        <v>-168.9418</v>
      </c>
      <c r="J1431" s="3">
        <v>20150717</v>
      </c>
      <c r="K1431">
        <v>2015</v>
      </c>
      <c r="L1431">
        <v>7.9329599999999996</v>
      </c>
      <c r="M1431">
        <v>184.32539</v>
      </c>
      <c r="N1431">
        <v>6.54E-2</v>
      </c>
      <c r="O1431">
        <v>1.3999999999999999E-4</v>
      </c>
      <c r="P1431">
        <v>0</v>
      </c>
      <c r="Q1431">
        <v>0</v>
      </c>
      <c r="R1431">
        <v>1.9797</v>
      </c>
      <c r="S1431">
        <v>0</v>
      </c>
      <c r="T1431">
        <v>0</v>
      </c>
      <c r="U1431">
        <v>4.5229999999999999E-2</v>
      </c>
      <c r="V1431">
        <v>194.34881999999999</v>
      </c>
      <c r="W1431" t="s">
        <v>10</v>
      </c>
      <c r="X1431">
        <v>125.196</v>
      </c>
      <c r="Y1431">
        <v>5753.8609999999999</v>
      </c>
      <c r="Z1431">
        <v>0.88600000000000001</v>
      </c>
      <c r="AA1431">
        <v>3.0000000000000001E-3</v>
      </c>
      <c r="AB1431">
        <v>0</v>
      </c>
      <c r="AC1431">
        <v>0</v>
      </c>
      <c r="AD1431">
        <v>32.454000000000001</v>
      </c>
      <c r="AE1431">
        <v>0</v>
      </c>
      <c r="AF1431">
        <v>0</v>
      </c>
      <c r="AG1431">
        <v>4.0620000000000003</v>
      </c>
      <c r="AH1431">
        <v>5916.4620000000004</v>
      </c>
      <c r="AI1431" t="s">
        <v>22</v>
      </c>
      <c r="AJ1431">
        <v>1557.5</v>
      </c>
      <c r="AK1431">
        <v>6785</v>
      </c>
      <c r="AL1431">
        <v>567.5</v>
      </c>
      <c r="AM1431">
        <v>2.5</v>
      </c>
      <c r="AN1431">
        <v>0</v>
      </c>
      <c r="AO1431">
        <v>0</v>
      </c>
      <c r="AP1431">
        <v>45</v>
      </c>
      <c r="AQ1431">
        <v>0</v>
      </c>
      <c r="AR1431">
        <v>0</v>
      </c>
      <c r="AS1431">
        <v>27.5</v>
      </c>
      <c r="AT1431">
        <v>8985</v>
      </c>
      <c r="AU1431" t="s">
        <v>34</v>
      </c>
    </row>
    <row r="1432" spans="1:47" x14ac:dyDescent="0.2">
      <c r="A1432">
        <v>2118</v>
      </c>
      <c r="B1432" t="s">
        <v>791</v>
      </c>
      <c r="C1432">
        <v>23</v>
      </c>
      <c r="D1432" t="s">
        <v>562</v>
      </c>
      <c r="G1432" t="str">
        <f t="shared" si="22"/>
        <v>SWL201523UTN4</v>
      </c>
      <c r="H1432">
        <v>67.499799999999993</v>
      </c>
      <c r="I1432">
        <v>-168.94220000000001</v>
      </c>
      <c r="J1432" s="3">
        <v>20150717</v>
      </c>
      <c r="K1432">
        <v>2015</v>
      </c>
      <c r="L1432">
        <v>7.9382099999999998</v>
      </c>
      <c r="M1432">
        <v>117.76344</v>
      </c>
      <c r="N1432">
        <v>0.47216000000000002</v>
      </c>
      <c r="O1432">
        <v>0</v>
      </c>
      <c r="P1432">
        <v>4.7570000000000001E-2</v>
      </c>
      <c r="Q1432">
        <v>0</v>
      </c>
      <c r="R1432">
        <v>0.64976999999999996</v>
      </c>
      <c r="S1432">
        <v>1.5859999999999999E-2</v>
      </c>
      <c r="T1432">
        <v>1.618E-2</v>
      </c>
      <c r="U1432">
        <v>1.73E-3</v>
      </c>
      <c r="V1432">
        <v>126.90492</v>
      </c>
      <c r="W1432" t="s">
        <v>10</v>
      </c>
      <c r="X1432">
        <v>122.70099999999999</v>
      </c>
      <c r="Y1432">
        <v>3453.634</v>
      </c>
      <c r="Z1432">
        <v>5.3310000000000004</v>
      </c>
      <c r="AA1432">
        <v>0</v>
      </c>
      <c r="AB1432">
        <v>3.3980000000000001</v>
      </c>
      <c r="AC1432">
        <v>0</v>
      </c>
      <c r="AD1432">
        <v>10.651999999999999</v>
      </c>
      <c r="AE1432">
        <v>1.133</v>
      </c>
      <c r="AF1432">
        <v>0.17399999999999999</v>
      </c>
      <c r="AG1432">
        <v>2.7E-2</v>
      </c>
      <c r="AH1432">
        <v>3597.05</v>
      </c>
      <c r="AI1432" t="s">
        <v>22</v>
      </c>
      <c r="AJ1432">
        <v>2797.5</v>
      </c>
      <c r="AK1432">
        <v>5545</v>
      </c>
      <c r="AL1432">
        <v>1272.5</v>
      </c>
      <c r="AM1432">
        <v>0</v>
      </c>
      <c r="AN1432">
        <v>10</v>
      </c>
      <c r="AO1432">
        <v>0</v>
      </c>
      <c r="AP1432">
        <v>20</v>
      </c>
      <c r="AQ1432">
        <v>2.5</v>
      </c>
      <c r="AR1432">
        <v>7.5</v>
      </c>
      <c r="AS1432">
        <v>20</v>
      </c>
      <c r="AT1432">
        <v>9675</v>
      </c>
      <c r="AU1432" t="s">
        <v>34</v>
      </c>
    </row>
    <row r="1433" spans="1:47" x14ac:dyDescent="0.2">
      <c r="A1433">
        <v>2119</v>
      </c>
      <c r="B1433" t="s">
        <v>791</v>
      </c>
      <c r="C1433">
        <v>24</v>
      </c>
      <c r="D1433" t="s">
        <v>389</v>
      </c>
      <c r="G1433" t="str">
        <f t="shared" si="22"/>
        <v>SWL201524SEC8</v>
      </c>
      <c r="H1433">
        <v>68.302000000000007</v>
      </c>
      <c r="I1433">
        <v>-166.9392</v>
      </c>
      <c r="J1433" s="3">
        <v>20150717</v>
      </c>
      <c r="K1433">
        <v>2015</v>
      </c>
      <c r="L1433">
        <v>5.7919999999999999E-2</v>
      </c>
      <c r="M1433">
        <v>3.46339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3.5213100000000002</v>
      </c>
      <c r="W1433" t="s">
        <v>10</v>
      </c>
      <c r="X1433">
        <v>0.84499999999999997</v>
      </c>
      <c r="Y1433">
        <v>98.953999999999994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99.799000000000007</v>
      </c>
      <c r="AI1433" t="s">
        <v>22</v>
      </c>
      <c r="AJ1433">
        <v>40</v>
      </c>
      <c r="AK1433">
        <v>10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50</v>
      </c>
      <c r="AU1433" t="s">
        <v>33</v>
      </c>
    </row>
    <row r="1434" spans="1:47" x14ac:dyDescent="0.2">
      <c r="A1434">
        <v>2120</v>
      </c>
      <c r="B1434" t="s">
        <v>791</v>
      </c>
      <c r="C1434">
        <v>25</v>
      </c>
      <c r="D1434" t="s">
        <v>387</v>
      </c>
      <c r="G1434" t="str">
        <f t="shared" si="22"/>
        <v>SWL201525SEC7</v>
      </c>
      <c r="H1434">
        <v>68.241699999999994</v>
      </c>
      <c r="I1434">
        <v>-167.12200000000001</v>
      </c>
      <c r="J1434" s="3">
        <v>20150717</v>
      </c>
      <c r="K1434">
        <v>2015</v>
      </c>
      <c r="L1434">
        <v>3.2315200000000002</v>
      </c>
      <c r="M1434">
        <v>0.76578000000000002</v>
      </c>
      <c r="N1434">
        <v>3.218E-2</v>
      </c>
      <c r="O1434">
        <v>9.1980000000000006E-2</v>
      </c>
      <c r="P1434">
        <v>2.0760000000000001E-2</v>
      </c>
      <c r="Q1434">
        <v>0</v>
      </c>
      <c r="R1434">
        <v>0.18648000000000001</v>
      </c>
      <c r="S1434">
        <v>0</v>
      </c>
      <c r="T1434">
        <v>2.2790000000000001E-2</v>
      </c>
      <c r="U1434">
        <v>7.1399999999999996E-3</v>
      </c>
      <c r="V1434">
        <v>4.3586299999999998</v>
      </c>
      <c r="W1434" t="s">
        <v>9</v>
      </c>
      <c r="X1434">
        <v>47.683999999999997</v>
      </c>
      <c r="Y1434">
        <v>51.030999999999999</v>
      </c>
      <c r="Z1434">
        <v>0.435</v>
      </c>
      <c r="AA1434">
        <v>2.044</v>
      </c>
      <c r="AB1434">
        <v>1.4830000000000001</v>
      </c>
      <c r="AC1434">
        <v>0</v>
      </c>
      <c r="AD1434">
        <v>3.0569999999999999</v>
      </c>
      <c r="AE1434">
        <v>0</v>
      </c>
      <c r="AF1434">
        <v>0.245</v>
      </c>
      <c r="AG1434">
        <v>0.17100000000000001</v>
      </c>
      <c r="AH1434">
        <v>106.15</v>
      </c>
      <c r="AI1434" t="s">
        <v>22</v>
      </c>
      <c r="AJ1434">
        <v>1520</v>
      </c>
      <c r="AK1434">
        <v>80</v>
      </c>
      <c r="AL1434">
        <v>350</v>
      </c>
      <c r="AM1434">
        <v>140</v>
      </c>
      <c r="AN1434">
        <v>160</v>
      </c>
      <c r="AO1434">
        <v>0</v>
      </c>
      <c r="AP1434">
        <v>10</v>
      </c>
      <c r="AQ1434">
        <v>0</v>
      </c>
      <c r="AR1434">
        <v>70</v>
      </c>
      <c r="AS1434">
        <v>80</v>
      </c>
      <c r="AT1434">
        <v>2410</v>
      </c>
      <c r="AU1434" t="s">
        <v>33</v>
      </c>
    </row>
    <row r="1435" spans="1:47" x14ac:dyDescent="0.2">
      <c r="A1435">
        <v>2121</v>
      </c>
      <c r="B1435" t="s">
        <v>791</v>
      </c>
      <c r="C1435">
        <v>26</v>
      </c>
      <c r="D1435" t="s">
        <v>388</v>
      </c>
      <c r="G1435" t="str">
        <f t="shared" si="22"/>
        <v>SWL201526SEC6</v>
      </c>
      <c r="H1435">
        <v>68.184799999999996</v>
      </c>
      <c r="I1435">
        <v>-167.30770000000001</v>
      </c>
      <c r="J1435" s="3">
        <v>20150717</v>
      </c>
      <c r="K1435">
        <v>2015</v>
      </c>
      <c r="L1435">
        <v>6.59673</v>
      </c>
      <c r="M1435">
        <v>0.12998000000000001</v>
      </c>
      <c r="N1435">
        <v>0.43320999999999998</v>
      </c>
      <c r="O1435">
        <v>0.23863999999999999</v>
      </c>
      <c r="P1435">
        <v>6.7989999999999995E-2</v>
      </c>
      <c r="Q1435">
        <v>0</v>
      </c>
      <c r="R1435">
        <v>0.65098999999999996</v>
      </c>
      <c r="S1435">
        <v>8.4792100000000001</v>
      </c>
      <c r="T1435">
        <v>3.8969999999999998E-2</v>
      </c>
      <c r="U1435">
        <v>0.81816</v>
      </c>
      <c r="V1435">
        <v>17.453880000000002</v>
      </c>
      <c r="W1435" t="s">
        <v>16</v>
      </c>
      <c r="X1435">
        <v>94.045000000000002</v>
      </c>
      <c r="Y1435">
        <v>4.6020000000000003</v>
      </c>
      <c r="Z1435">
        <v>5.9329999999999998</v>
      </c>
      <c r="AA1435">
        <v>5.3029999999999999</v>
      </c>
      <c r="AB1435">
        <v>4.8570000000000002</v>
      </c>
      <c r="AC1435">
        <v>0</v>
      </c>
      <c r="AD1435">
        <v>10.672000000000001</v>
      </c>
      <c r="AE1435">
        <v>206.81</v>
      </c>
      <c r="AF1435">
        <v>0.41899999999999998</v>
      </c>
      <c r="AG1435">
        <v>44.51</v>
      </c>
      <c r="AH1435">
        <v>377.15100000000001</v>
      </c>
      <c r="AI1435" t="s">
        <v>28</v>
      </c>
      <c r="AJ1435">
        <v>1480</v>
      </c>
      <c r="AK1435">
        <v>200</v>
      </c>
      <c r="AL1435">
        <v>1410</v>
      </c>
      <c r="AM1435">
        <v>180</v>
      </c>
      <c r="AN1435">
        <v>140</v>
      </c>
      <c r="AO1435">
        <v>0</v>
      </c>
      <c r="AP1435">
        <v>0</v>
      </c>
      <c r="AQ1435">
        <v>60</v>
      </c>
      <c r="AR1435">
        <v>80</v>
      </c>
      <c r="AS1435">
        <v>70</v>
      </c>
      <c r="AT1435">
        <v>3620</v>
      </c>
      <c r="AU1435" t="s">
        <v>33</v>
      </c>
    </row>
    <row r="1436" spans="1:47" x14ac:dyDescent="0.2">
      <c r="A1436">
        <v>2122</v>
      </c>
      <c r="B1436" t="s">
        <v>791</v>
      </c>
      <c r="C1436">
        <v>27</v>
      </c>
      <c r="D1436" t="s">
        <v>240</v>
      </c>
      <c r="G1436" t="str">
        <f t="shared" si="22"/>
        <v>SWL201527SEC5</v>
      </c>
      <c r="H1436">
        <v>68.127200000000002</v>
      </c>
      <c r="I1436">
        <v>-167.49529999999999</v>
      </c>
      <c r="J1436" s="3">
        <v>20150717</v>
      </c>
      <c r="K1436">
        <v>2015</v>
      </c>
      <c r="L1436">
        <v>27.989889999999999</v>
      </c>
      <c r="M1436">
        <v>1.1489100000000001</v>
      </c>
      <c r="N1436">
        <v>0.61351</v>
      </c>
      <c r="O1436">
        <v>1.188E-2</v>
      </c>
      <c r="P1436">
        <v>8.4999999999999995E-4</v>
      </c>
      <c r="Q1436">
        <v>0</v>
      </c>
      <c r="R1436">
        <v>0</v>
      </c>
      <c r="S1436">
        <v>0</v>
      </c>
      <c r="T1436">
        <v>4.8399999999999997E-3</v>
      </c>
      <c r="U1436">
        <v>1.026E-2</v>
      </c>
      <c r="V1436">
        <v>29.780139999999999</v>
      </c>
      <c r="W1436" t="s">
        <v>9</v>
      </c>
      <c r="X1436">
        <v>390.69</v>
      </c>
      <c r="Y1436">
        <v>33.511000000000003</v>
      </c>
      <c r="Z1436">
        <v>8.3350000000000009</v>
      </c>
      <c r="AA1436">
        <v>0.26400000000000001</v>
      </c>
      <c r="AB1436">
        <v>6.0999999999999999E-2</v>
      </c>
      <c r="AC1436">
        <v>0</v>
      </c>
      <c r="AD1436">
        <v>0</v>
      </c>
      <c r="AE1436">
        <v>0</v>
      </c>
      <c r="AF1436">
        <v>5.1999999999999998E-2</v>
      </c>
      <c r="AG1436">
        <v>0.191</v>
      </c>
      <c r="AH1436">
        <v>433.10399999999998</v>
      </c>
      <c r="AI1436" t="s">
        <v>21</v>
      </c>
      <c r="AJ1436">
        <v>1650</v>
      </c>
      <c r="AK1436">
        <v>470</v>
      </c>
      <c r="AL1436">
        <v>560</v>
      </c>
      <c r="AM1436">
        <v>30</v>
      </c>
      <c r="AN1436">
        <v>120</v>
      </c>
      <c r="AO1436">
        <v>0</v>
      </c>
      <c r="AP1436">
        <v>0</v>
      </c>
      <c r="AQ1436">
        <v>0</v>
      </c>
      <c r="AR1436">
        <v>20</v>
      </c>
      <c r="AS1436">
        <v>60</v>
      </c>
      <c r="AT1436">
        <v>2910</v>
      </c>
      <c r="AU1436" t="s">
        <v>33</v>
      </c>
    </row>
    <row r="1437" spans="1:47" x14ac:dyDescent="0.2">
      <c r="A1437">
        <v>2123</v>
      </c>
      <c r="B1437" t="s">
        <v>791</v>
      </c>
      <c r="C1437">
        <v>28</v>
      </c>
      <c r="D1437" t="s">
        <v>233</v>
      </c>
      <c r="G1437" t="str">
        <f t="shared" si="22"/>
        <v>SWL201528SEC4</v>
      </c>
      <c r="H1437">
        <v>68.013199999999998</v>
      </c>
      <c r="I1437">
        <v>-167.86600000000001</v>
      </c>
      <c r="J1437" s="3">
        <v>20150718</v>
      </c>
      <c r="K1437">
        <v>2015</v>
      </c>
      <c r="L1437">
        <v>8.2055900000000008</v>
      </c>
      <c r="M1437">
        <v>6.1606100000000001</v>
      </c>
      <c r="N1437">
        <v>5.8790000000000002E-2</v>
      </c>
      <c r="O1437">
        <v>8.4999999999999995E-4</v>
      </c>
      <c r="P1437">
        <v>1E-4</v>
      </c>
      <c r="Q1437">
        <v>0.21765000000000001</v>
      </c>
      <c r="R1437">
        <v>1.4599999999999999E-3</v>
      </c>
      <c r="S1437">
        <v>0</v>
      </c>
      <c r="T1437">
        <v>2.93E-2</v>
      </c>
      <c r="U1437">
        <v>3.1419999999999997E-2</v>
      </c>
      <c r="V1437">
        <v>14.705769999999999</v>
      </c>
      <c r="W1437" t="s">
        <v>9</v>
      </c>
      <c r="X1437">
        <v>119.321</v>
      </c>
      <c r="Y1437">
        <v>214.24700000000001</v>
      </c>
      <c r="Z1437">
        <v>0.80700000000000005</v>
      </c>
      <c r="AA1437">
        <v>1.9E-2</v>
      </c>
      <c r="AB1437">
        <v>7.0000000000000001E-3</v>
      </c>
      <c r="AC1437">
        <v>27.204999999999998</v>
      </c>
      <c r="AD1437">
        <v>2.4E-2</v>
      </c>
      <c r="AE1437">
        <v>0</v>
      </c>
      <c r="AF1437">
        <v>0.315</v>
      </c>
      <c r="AG1437">
        <v>1.0409999999999999</v>
      </c>
      <c r="AH1437">
        <v>362.98599999999999</v>
      </c>
      <c r="AI1437" t="s">
        <v>22</v>
      </c>
      <c r="AJ1437">
        <v>1067.5</v>
      </c>
      <c r="AK1437">
        <v>2457.5</v>
      </c>
      <c r="AL1437">
        <v>795</v>
      </c>
      <c r="AM1437">
        <v>2.5</v>
      </c>
      <c r="AN1437">
        <v>7.5</v>
      </c>
      <c r="AO1437">
        <v>12.5</v>
      </c>
      <c r="AP1437">
        <v>0</v>
      </c>
      <c r="AQ1437">
        <v>0</v>
      </c>
      <c r="AR1437">
        <v>7.5</v>
      </c>
      <c r="AS1437">
        <v>30</v>
      </c>
      <c r="AT1437">
        <v>4380</v>
      </c>
      <c r="AU1437" t="s">
        <v>34</v>
      </c>
    </row>
    <row r="1438" spans="1:47" x14ac:dyDescent="0.2">
      <c r="A1438">
        <v>2124</v>
      </c>
      <c r="B1438" t="s">
        <v>791</v>
      </c>
      <c r="C1438">
        <v>29</v>
      </c>
      <c r="D1438" t="s">
        <v>254</v>
      </c>
      <c r="G1438" t="str">
        <f t="shared" si="22"/>
        <v>SWL201529SEC3</v>
      </c>
      <c r="H1438">
        <v>67.897800000000004</v>
      </c>
      <c r="I1438">
        <v>-168.2337</v>
      </c>
      <c r="J1438" s="3">
        <v>20150718</v>
      </c>
      <c r="K1438">
        <v>2015</v>
      </c>
      <c r="L1438">
        <v>16.635909999999999</v>
      </c>
      <c r="M1438">
        <v>16.583950000000002</v>
      </c>
      <c r="N1438">
        <v>5.6299900000000003</v>
      </c>
      <c r="O1438">
        <v>0</v>
      </c>
      <c r="P1438">
        <v>0.22214</v>
      </c>
      <c r="Q1438">
        <v>0</v>
      </c>
      <c r="R1438">
        <v>2.7888600000000001</v>
      </c>
      <c r="S1438">
        <v>0</v>
      </c>
      <c r="T1438">
        <v>0</v>
      </c>
      <c r="U1438">
        <v>1.1299999999999999E-2</v>
      </c>
      <c r="V1438">
        <v>41.872149999999998</v>
      </c>
      <c r="W1438" t="s">
        <v>9</v>
      </c>
      <c r="X1438">
        <v>346.81599999999997</v>
      </c>
      <c r="Y1438">
        <v>468.78</v>
      </c>
      <c r="Z1438">
        <v>61.237000000000002</v>
      </c>
      <c r="AA1438">
        <v>0</v>
      </c>
      <c r="AB1438">
        <v>15.867000000000001</v>
      </c>
      <c r="AC1438">
        <v>0</v>
      </c>
      <c r="AD1438">
        <v>45.719000000000001</v>
      </c>
      <c r="AE1438">
        <v>0</v>
      </c>
      <c r="AF1438">
        <v>0</v>
      </c>
      <c r="AG1438">
        <v>0.159</v>
      </c>
      <c r="AH1438">
        <v>938.57799999999997</v>
      </c>
      <c r="AI1438" t="s">
        <v>22</v>
      </c>
      <c r="AJ1438">
        <v>1995</v>
      </c>
      <c r="AK1438">
        <v>790</v>
      </c>
      <c r="AL1438">
        <v>7225</v>
      </c>
      <c r="AM1438">
        <v>0</v>
      </c>
      <c r="AN1438">
        <v>2.5</v>
      </c>
      <c r="AO1438">
        <v>0</v>
      </c>
      <c r="AP1438">
        <v>50</v>
      </c>
      <c r="AQ1438">
        <v>0</v>
      </c>
      <c r="AR1438">
        <v>0</v>
      </c>
      <c r="AS1438">
        <v>130</v>
      </c>
      <c r="AT1438">
        <v>10192.5</v>
      </c>
      <c r="AU1438" t="s">
        <v>35</v>
      </c>
    </row>
    <row r="1439" spans="1:47" x14ac:dyDescent="0.2">
      <c r="A1439">
        <v>2125</v>
      </c>
      <c r="B1439" t="s">
        <v>791</v>
      </c>
      <c r="C1439">
        <v>30</v>
      </c>
      <c r="D1439" t="s">
        <v>563</v>
      </c>
      <c r="G1439" t="str">
        <f t="shared" si="22"/>
        <v>SWL201530UTN6</v>
      </c>
      <c r="H1439">
        <v>67.739800000000002</v>
      </c>
      <c r="I1439">
        <v>-168.43879999999999</v>
      </c>
      <c r="J1439" s="3">
        <v>20150718</v>
      </c>
      <c r="K1439">
        <v>2015</v>
      </c>
      <c r="L1439">
        <v>14.56193</v>
      </c>
      <c r="M1439">
        <v>36.957079999999998</v>
      </c>
      <c r="N1439">
        <v>7.2826399999999998</v>
      </c>
      <c r="O1439">
        <v>0</v>
      </c>
      <c r="P1439">
        <v>0</v>
      </c>
      <c r="Q1439">
        <v>0</v>
      </c>
      <c r="R1439">
        <v>2.0827900000000001</v>
      </c>
      <c r="S1439">
        <v>1.8370000000000001E-2</v>
      </c>
      <c r="T1439">
        <v>0</v>
      </c>
      <c r="U1439">
        <v>6.1599999999999997E-3</v>
      </c>
      <c r="V1439">
        <v>60.908969999999997</v>
      </c>
      <c r="W1439" t="s">
        <v>10</v>
      </c>
      <c r="X1439">
        <v>215.25299999999999</v>
      </c>
      <c r="Y1439">
        <v>1145.4559999999999</v>
      </c>
      <c r="Z1439">
        <v>79.275999999999996</v>
      </c>
      <c r="AA1439">
        <v>0</v>
      </c>
      <c r="AB1439">
        <v>0</v>
      </c>
      <c r="AC1439">
        <v>0</v>
      </c>
      <c r="AD1439">
        <v>34.143999999999998</v>
      </c>
      <c r="AE1439">
        <v>1.3120000000000001</v>
      </c>
      <c r="AF1439">
        <v>0</v>
      </c>
      <c r="AG1439">
        <v>8.8999999999999996E-2</v>
      </c>
      <c r="AH1439">
        <v>1475.53</v>
      </c>
      <c r="AI1439" t="s">
        <v>22</v>
      </c>
      <c r="AJ1439">
        <v>1762.5</v>
      </c>
      <c r="AK1439">
        <v>940</v>
      </c>
      <c r="AL1439">
        <v>7545</v>
      </c>
      <c r="AM1439">
        <v>0</v>
      </c>
      <c r="AN1439">
        <v>0</v>
      </c>
      <c r="AO1439">
        <v>0</v>
      </c>
      <c r="AP1439">
        <v>57.5</v>
      </c>
      <c r="AQ1439">
        <v>2.5</v>
      </c>
      <c r="AR1439">
        <v>0</v>
      </c>
      <c r="AS1439">
        <v>127.5</v>
      </c>
      <c r="AT1439">
        <v>10435</v>
      </c>
      <c r="AU1439" t="s">
        <v>35</v>
      </c>
    </row>
    <row r="1440" spans="1:47" x14ac:dyDescent="0.2">
      <c r="A1440">
        <v>2126</v>
      </c>
      <c r="B1440" t="s">
        <v>791</v>
      </c>
      <c r="C1440">
        <v>31</v>
      </c>
      <c r="D1440" t="s">
        <v>258</v>
      </c>
      <c r="G1440" t="str">
        <f t="shared" si="22"/>
        <v>SWL201531SEC2</v>
      </c>
      <c r="H1440">
        <v>67.782799999999995</v>
      </c>
      <c r="I1440">
        <v>-168.6018</v>
      </c>
      <c r="J1440" s="3">
        <v>20150718</v>
      </c>
      <c r="K1440">
        <v>2015</v>
      </c>
      <c r="L1440">
        <v>10.39209</v>
      </c>
      <c r="M1440">
        <v>38.511580000000002</v>
      </c>
      <c r="N1440">
        <v>8.7719900000000006</v>
      </c>
      <c r="O1440">
        <v>0</v>
      </c>
      <c r="P1440">
        <v>0</v>
      </c>
      <c r="Q1440">
        <v>0</v>
      </c>
      <c r="R1440">
        <v>2.5065499999999998</v>
      </c>
      <c r="S1440">
        <v>0</v>
      </c>
      <c r="T1440">
        <v>0.15046999999999999</v>
      </c>
      <c r="U1440">
        <v>2.8800000000000002E-3</v>
      </c>
      <c r="V1440">
        <v>60.335560000000001</v>
      </c>
      <c r="W1440" t="s">
        <v>10</v>
      </c>
      <c r="X1440">
        <v>157.07300000000001</v>
      </c>
      <c r="Y1440">
        <v>1317.817</v>
      </c>
      <c r="Z1440">
        <v>95.451999999999998</v>
      </c>
      <c r="AA1440">
        <v>0</v>
      </c>
      <c r="AB1440">
        <v>0</v>
      </c>
      <c r="AC1440">
        <v>0</v>
      </c>
      <c r="AD1440">
        <v>41.091000000000001</v>
      </c>
      <c r="AE1440">
        <v>0</v>
      </c>
      <c r="AF1440">
        <v>1.6180000000000001</v>
      </c>
      <c r="AG1440">
        <v>0.04</v>
      </c>
      <c r="AH1440">
        <v>1613.0909999999999</v>
      </c>
      <c r="AI1440" t="s">
        <v>22</v>
      </c>
      <c r="AJ1440">
        <v>1727.5</v>
      </c>
      <c r="AK1440">
        <v>1732.5</v>
      </c>
      <c r="AL1440">
        <v>9510</v>
      </c>
      <c r="AM1440">
        <v>0</v>
      </c>
      <c r="AN1440">
        <v>0</v>
      </c>
      <c r="AO1440">
        <v>0</v>
      </c>
      <c r="AP1440">
        <v>67.5</v>
      </c>
      <c r="AQ1440">
        <v>0</v>
      </c>
      <c r="AR1440">
        <v>5</v>
      </c>
      <c r="AS1440">
        <v>27.5</v>
      </c>
      <c r="AT1440">
        <v>13070</v>
      </c>
      <c r="AU1440" t="s">
        <v>35</v>
      </c>
    </row>
    <row r="1441" spans="1:47" x14ac:dyDescent="0.2">
      <c r="A1441">
        <v>2127</v>
      </c>
      <c r="B1441" t="s">
        <v>791</v>
      </c>
      <c r="C1441">
        <v>32</v>
      </c>
      <c r="D1441" t="s">
        <v>306</v>
      </c>
      <c r="G1441" t="str">
        <f t="shared" si="22"/>
        <v>SWL201532UTN5=SEC1</v>
      </c>
      <c r="H1441">
        <v>67.669799999999995</v>
      </c>
      <c r="I1441">
        <v>-168.95949999999999</v>
      </c>
      <c r="J1441" s="3">
        <v>20150718</v>
      </c>
      <c r="K1441">
        <v>2015</v>
      </c>
      <c r="L1441">
        <v>3.0563099999999999</v>
      </c>
      <c r="M1441">
        <v>126.26212</v>
      </c>
      <c r="N1441">
        <v>3.0745800000000001</v>
      </c>
      <c r="O1441">
        <v>0.15160999999999999</v>
      </c>
      <c r="P1441">
        <v>3.8000000000000002E-4</v>
      </c>
      <c r="Q1441">
        <v>0</v>
      </c>
      <c r="R1441">
        <v>2.5759599999999998</v>
      </c>
      <c r="S1441">
        <v>1.098E-2</v>
      </c>
      <c r="T1441">
        <v>9.2350000000000002E-2</v>
      </c>
      <c r="U1441">
        <v>1.8259999999999998E-2</v>
      </c>
      <c r="V1441">
        <v>135.24254999999999</v>
      </c>
      <c r="W1441" t="s">
        <v>10</v>
      </c>
      <c r="X1441">
        <v>51.433</v>
      </c>
      <c r="Y1441">
        <v>3842.1350000000002</v>
      </c>
      <c r="Z1441">
        <v>33.643000000000001</v>
      </c>
      <c r="AA1441">
        <v>3.3690000000000002</v>
      </c>
      <c r="AB1441">
        <v>2.7E-2</v>
      </c>
      <c r="AC1441">
        <v>0</v>
      </c>
      <c r="AD1441">
        <v>42.228999999999999</v>
      </c>
      <c r="AE1441">
        <v>0.78400000000000003</v>
      </c>
      <c r="AF1441">
        <v>0.99299999999999999</v>
      </c>
      <c r="AG1441">
        <v>0.255</v>
      </c>
      <c r="AH1441">
        <v>3974.8679999999999</v>
      </c>
      <c r="AI1441" t="s">
        <v>22</v>
      </c>
      <c r="AJ1441">
        <v>3487.5</v>
      </c>
      <c r="AK1441">
        <v>3972.5</v>
      </c>
      <c r="AL1441">
        <v>5587.5</v>
      </c>
      <c r="AM1441">
        <v>12.5</v>
      </c>
      <c r="AN1441">
        <v>5</v>
      </c>
      <c r="AO1441">
        <v>0</v>
      </c>
      <c r="AP1441">
        <v>95</v>
      </c>
      <c r="AQ1441">
        <v>2.5</v>
      </c>
      <c r="AR1441">
        <v>27.5</v>
      </c>
      <c r="AS1441">
        <v>412.5</v>
      </c>
      <c r="AT1441">
        <v>13602.5</v>
      </c>
      <c r="AU1441" t="s">
        <v>35</v>
      </c>
    </row>
    <row r="1442" spans="1:47" x14ac:dyDescent="0.2">
      <c r="A1442">
        <v>2128</v>
      </c>
      <c r="B1442" t="s">
        <v>791</v>
      </c>
      <c r="C1442">
        <v>33</v>
      </c>
      <c r="D1442" t="s">
        <v>564</v>
      </c>
      <c r="G1442" t="str">
        <f t="shared" si="22"/>
        <v>SWL201533UTN7</v>
      </c>
      <c r="H1442">
        <v>68</v>
      </c>
      <c r="I1442">
        <v>-168.94399999999999</v>
      </c>
      <c r="J1442" s="3">
        <v>20150718</v>
      </c>
      <c r="K1442">
        <v>2015</v>
      </c>
      <c r="L1442">
        <v>5.7889200000000001</v>
      </c>
      <c r="M1442">
        <v>11.535600000000001</v>
      </c>
      <c r="N1442">
        <v>17.774419999999999</v>
      </c>
      <c r="O1442">
        <v>0</v>
      </c>
      <c r="P1442">
        <v>0</v>
      </c>
      <c r="Q1442">
        <v>0</v>
      </c>
      <c r="R1442">
        <v>1.14808</v>
      </c>
      <c r="S1442">
        <v>0</v>
      </c>
      <c r="T1442">
        <v>0</v>
      </c>
      <c r="U1442">
        <v>0.13946</v>
      </c>
      <c r="V1442">
        <v>36.386479999999999</v>
      </c>
      <c r="W1442" t="s">
        <v>11</v>
      </c>
      <c r="X1442">
        <v>86.474000000000004</v>
      </c>
      <c r="Y1442">
        <v>339.983</v>
      </c>
      <c r="Z1442">
        <v>193.25</v>
      </c>
      <c r="AA1442">
        <v>0</v>
      </c>
      <c r="AB1442">
        <v>0</v>
      </c>
      <c r="AC1442">
        <v>0</v>
      </c>
      <c r="AD1442">
        <v>18.821000000000002</v>
      </c>
      <c r="AE1442">
        <v>0</v>
      </c>
      <c r="AF1442">
        <v>0</v>
      </c>
      <c r="AG1442">
        <v>1.9370000000000001</v>
      </c>
      <c r="AH1442">
        <v>640.46500000000003</v>
      </c>
      <c r="AI1442" t="s">
        <v>22</v>
      </c>
      <c r="AJ1442">
        <v>1005</v>
      </c>
      <c r="AK1442">
        <v>920</v>
      </c>
      <c r="AL1442">
        <v>39857.5</v>
      </c>
      <c r="AM1442">
        <v>0</v>
      </c>
      <c r="AN1442">
        <v>0</v>
      </c>
      <c r="AO1442">
        <v>0</v>
      </c>
      <c r="AP1442">
        <v>32.5</v>
      </c>
      <c r="AQ1442">
        <v>0</v>
      </c>
      <c r="AR1442">
        <v>0</v>
      </c>
      <c r="AS1442">
        <v>2192.5</v>
      </c>
      <c r="AT1442">
        <v>44007.5</v>
      </c>
      <c r="AU1442" t="s">
        <v>35</v>
      </c>
    </row>
    <row r="1443" spans="1:47" x14ac:dyDescent="0.2">
      <c r="A1443">
        <v>2129</v>
      </c>
      <c r="B1443" t="s">
        <v>791</v>
      </c>
      <c r="C1443">
        <v>34</v>
      </c>
      <c r="D1443" t="s">
        <v>780</v>
      </c>
      <c r="G1443" t="str">
        <f t="shared" si="22"/>
        <v>SWL201534DBO4.6</v>
      </c>
      <c r="H1443">
        <v>71.616699999999994</v>
      </c>
      <c r="I1443">
        <v>-163.7895</v>
      </c>
      <c r="J1443" s="3">
        <v>20150719</v>
      </c>
      <c r="K1443">
        <v>2015</v>
      </c>
      <c r="L1443">
        <v>2.8178800000000002</v>
      </c>
      <c r="M1443">
        <v>6.9594699999999996</v>
      </c>
      <c r="N1443">
        <v>0.14212</v>
      </c>
      <c r="O1443">
        <v>4.6566000000000001</v>
      </c>
      <c r="P1443">
        <v>0.37202000000000002</v>
      </c>
      <c r="Q1443">
        <v>0</v>
      </c>
      <c r="R1443">
        <v>0</v>
      </c>
      <c r="S1443">
        <v>0</v>
      </c>
      <c r="T1443">
        <v>0.43208000000000002</v>
      </c>
      <c r="U1443">
        <v>0.10211000000000001</v>
      </c>
      <c r="V1443">
        <v>15.482279999999999</v>
      </c>
      <c r="W1443" t="s">
        <v>10</v>
      </c>
      <c r="X1443">
        <v>37.073999999999998</v>
      </c>
      <c r="Y1443">
        <v>171.00800000000001</v>
      </c>
      <c r="Z1443">
        <v>2.0369999999999999</v>
      </c>
      <c r="AA1443">
        <v>103.48</v>
      </c>
      <c r="AB1443">
        <v>26.573</v>
      </c>
      <c r="AC1443">
        <v>0</v>
      </c>
      <c r="AD1443">
        <v>0</v>
      </c>
      <c r="AE1443">
        <v>0</v>
      </c>
      <c r="AF1443">
        <v>4.6459999999999999</v>
      </c>
      <c r="AG1443">
        <v>2.2759999999999998</v>
      </c>
      <c r="AH1443">
        <v>347.09399999999999</v>
      </c>
      <c r="AI1443" t="s">
        <v>22</v>
      </c>
      <c r="AJ1443">
        <v>880</v>
      </c>
      <c r="AK1443">
        <v>747.5</v>
      </c>
      <c r="AL1443">
        <v>277.5</v>
      </c>
      <c r="AM1443">
        <v>7.5</v>
      </c>
      <c r="AN1443">
        <v>27.5</v>
      </c>
      <c r="AO1443">
        <v>0</v>
      </c>
      <c r="AP1443">
        <v>0</v>
      </c>
      <c r="AQ1443">
        <v>0</v>
      </c>
      <c r="AR1443">
        <v>25</v>
      </c>
      <c r="AS1443">
        <v>77.5</v>
      </c>
      <c r="AT1443">
        <v>2042.5</v>
      </c>
      <c r="AU1443" t="s">
        <v>33</v>
      </c>
    </row>
    <row r="1444" spans="1:47" x14ac:dyDescent="0.2">
      <c r="A1444">
        <v>2130</v>
      </c>
      <c r="B1444" t="s">
        <v>791</v>
      </c>
      <c r="C1444">
        <v>36</v>
      </c>
      <c r="D1444" t="s">
        <v>781</v>
      </c>
      <c r="G1444" t="str">
        <f t="shared" si="22"/>
        <v>SWL201536DBO4.5</v>
      </c>
      <c r="H1444">
        <v>71.490200000000002</v>
      </c>
      <c r="I1444">
        <v>-163.41079999999999</v>
      </c>
      <c r="J1444" s="3">
        <v>20150719</v>
      </c>
      <c r="K1444">
        <v>2015</v>
      </c>
      <c r="L1444">
        <v>4.6540499999999998</v>
      </c>
      <c r="M1444">
        <v>4.5134499999999997</v>
      </c>
      <c r="N1444">
        <v>0.82050000000000001</v>
      </c>
      <c r="O1444">
        <v>0.14409</v>
      </c>
      <c r="P1444">
        <v>0.26612000000000002</v>
      </c>
      <c r="Q1444">
        <v>0</v>
      </c>
      <c r="R1444">
        <v>1.086E-2</v>
      </c>
      <c r="S1444">
        <v>5.1999999999999995E-4</v>
      </c>
      <c r="T1444">
        <v>8.9370000000000005E-2</v>
      </c>
      <c r="U1444">
        <v>0.19406999999999999</v>
      </c>
      <c r="V1444">
        <v>10.69303</v>
      </c>
      <c r="W1444" t="s">
        <v>9</v>
      </c>
      <c r="X1444">
        <v>63.924999999999997</v>
      </c>
      <c r="Y1444">
        <v>213.459</v>
      </c>
      <c r="Z1444">
        <v>11.603</v>
      </c>
      <c r="AA1444">
        <v>3.202</v>
      </c>
      <c r="AB1444">
        <v>19.009</v>
      </c>
      <c r="AC1444">
        <v>0</v>
      </c>
      <c r="AD1444">
        <v>0.17799999999999999</v>
      </c>
      <c r="AE1444">
        <v>3.6999999999999998E-2</v>
      </c>
      <c r="AF1444">
        <v>0.96099999999999997</v>
      </c>
      <c r="AG1444">
        <v>4.5069999999999997</v>
      </c>
      <c r="AH1444">
        <v>316.88099999999997</v>
      </c>
      <c r="AI1444" t="s">
        <v>22</v>
      </c>
      <c r="AJ1444">
        <v>1490</v>
      </c>
      <c r="AK1444">
        <v>210</v>
      </c>
      <c r="AL1444">
        <v>1565</v>
      </c>
      <c r="AM1444">
        <v>45</v>
      </c>
      <c r="AN1444">
        <v>50</v>
      </c>
      <c r="AO1444">
        <v>0</v>
      </c>
      <c r="AP1444">
        <v>0</v>
      </c>
      <c r="AQ1444">
        <v>2.5</v>
      </c>
      <c r="AR1444">
        <v>12.5</v>
      </c>
      <c r="AS1444">
        <v>125</v>
      </c>
      <c r="AT1444">
        <v>3500</v>
      </c>
      <c r="AU1444" t="s">
        <v>35</v>
      </c>
    </row>
    <row r="1445" spans="1:47" x14ac:dyDescent="0.2">
      <c r="A1445">
        <v>2131</v>
      </c>
      <c r="B1445" t="s">
        <v>791</v>
      </c>
      <c r="C1445">
        <v>38</v>
      </c>
      <c r="D1445" t="s">
        <v>782</v>
      </c>
      <c r="G1445" t="str">
        <f t="shared" si="22"/>
        <v>SWL201538DBO4.4</v>
      </c>
      <c r="H1445">
        <v>71.361500000000007</v>
      </c>
      <c r="I1445">
        <v>-163.0308</v>
      </c>
      <c r="J1445" s="3">
        <v>20150719</v>
      </c>
      <c r="K1445">
        <v>2015</v>
      </c>
      <c r="L1445">
        <v>9.1686599999999991</v>
      </c>
      <c r="M1445">
        <v>5.4896900000000004</v>
      </c>
      <c r="N1445">
        <v>1.11568</v>
      </c>
      <c r="O1445">
        <v>9.6476900000000008</v>
      </c>
      <c r="P1445">
        <v>0.46555999999999997</v>
      </c>
      <c r="Q1445">
        <v>0</v>
      </c>
      <c r="R1445">
        <v>0.13614999999999999</v>
      </c>
      <c r="S1445">
        <v>5.6770000000000001E-2</v>
      </c>
      <c r="T1445">
        <v>1.59867</v>
      </c>
      <c r="U1445">
        <v>4.4150000000000002E-2</v>
      </c>
      <c r="V1445">
        <v>27.723020000000002</v>
      </c>
      <c r="W1445" t="s">
        <v>12</v>
      </c>
      <c r="X1445">
        <v>130.267</v>
      </c>
      <c r="Y1445">
        <v>264.34500000000003</v>
      </c>
      <c r="Z1445">
        <v>15.747</v>
      </c>
      <c r="AA1445">
        <v>214.393</v>
      </c>
      <c r="AB1445">
        <v>33.253999999999998</v>
      </c>
      <c r="AC1445">
        <v>0</v>
      </c>
      <c r="AD1445">
        <v>2.2320000000000002</v>
      </c>
      <c r="AE1445">
        <v>4.0549999999999997</v>
      </c>
      <c r="AF1445">
        <v>17.190000000000001</v>
      </c>
      <c r="AG1445">
        <v>1.3109999999999999</v>
      </c>
      <c r="AH1445">
        <v>682.79399999999998</v>
      </c>
      <c r="AI1445" t="s">
        <v>22</v>
      </c>
      <c r="AJ1445">
        <v>8587.5</v>
      </c>
      <c r="AK1445">
        <v>787.5</v>
      </c>
      <c r="AL1445">
        <v>3177.5</v>
      </c>
      <c r="AM1445">
        <v>55</v>
      </c>
      <c r="AN1445">
        <v>127.5</v>
      </c>
      <c r="AO1445">
        <v>0</v>
      </c>
      <c r="AP1445">
        <v>0</v>
      </c>
      <c r="AQ1445">
        <v>5</v>
      </c>
      <c r="AR1445">
        <v>20</v>
      </c>
      <c r="AS1445">
        <v>130</v>
      </c>
      <c r="AT1445">
        <v>12890</v>
      </c>
      <c r="AU1445" t="s">
        <v>33</v>
      </c>
    </row>
    <row r="1446" spans="1:47" x14ac:dyDescent="0.2">
      <c r="A1446">
        <v>2132</v>
      </c>
      <c r="B1446" t="s">
        <v>791</v>
      </c>
      <c r="C1446">
        <v>40</v>
      </c>
      <c r="D1446" t="s">
        <v>783</v>
      </c>
      <c r="G1446" t="str">
        <f t="shared" si="22"/>
        <v>SWL201540DBO4.3</v>
      </c>
      <c r="H1446">
        <v>71.232799999999997</v>
      </c>
      <c r="I1446">
        <v>-162.6508</v>
      </c>
      <c r="J1446" s="3">
        <v>20150720</v>
      </c>
      <c r="K1446">
        <v>2015</v>
      </c>
      <c r="L1446">
        <v>6.2267299999999999</v>
      </c>
      <c r="M1446">
        <v>3.3721000000000001</v>
      </c>
      <c r="N1446">
        <v>0.88956000000000002</v>
      </c>
      <c r="O1446">
        <v>6.4000000000000005E-4</v>
      </c>
      <c r="P1446">
        <v>0.28949000000000003</v>
      </c>
      <c r="Q1446">
        <v>0</v>
      </c>
      <c r="R1446">
        <v>3.6720000000000003E-2</v>
      </c>
      <c r="S1446">
        <v>0</v>
      </c>
      <c r="T1446">
        <v>1.75928</v>
      </c>
      <c r="U1446">
        <v>8.0310000000000006E-2</v>
      </c>
      <c r="V1446">
        <v>12.65483</v>
      </c>
      <c r="W1446" t="s">
        <v>9</v>
      </c>
      <c r="X1446">
        <v>82.28</v>
      </c>
      <c r="Y1446">
        <v>89.075999999999993</v>
      </c>
      <c r="Z1446">
        <v>12.708</v>
      </c>
      <c r="AA1446">
        <v>1.4E-2</v>
      </c>
      <c r="AB1446">
        <v>20.678000000000001</v>
      </c>
      <c r="AC1446">
        <v>0</v>
      </c>
      <c r="AD1446">
        <v>0.60199999999999998</v>
      </c>
      <c r="AE1446">
        <v>0</v>
      </c>
      <c r="AF1446">
        <v>18.917000000000002</v>
      </c>
      <c r="AG1446">
        <v>2.081</v>
      </c>
      <c r="AH1446">
        <v>226.35599999999999</v>
      </c>
      <c r="AI1446" t="s">
        <v>22</v>
      </c>
      <c r="AJ1446">
        <v>942.5</v>
      </c>
      <c r="AK1446">
        <v>820</v>
      </c>
      <c r="AL1446">
        <v>2250</v>
      </c>
      <c r="AM1446">
        <v>15</v>
      </c>
      <c r="AN1446">
        <v>30</v>
      </c>
      <c r="AO1446">
        <v>0</v>
      </c>
      <c r="AP1446">
        <v>2.5</v>
      </c>
      <c r="AQ1446">
        <v>0</v>
      </c>
      <c r="AR1446">
        <v>17.5</v>
      </c>
      <c r="AS1446">
        <v>77.5</v>
      </c>
      <c r="AT1446">
        <v>4155</v>
      </c>
      <c r="AU1446" t="s">
        <v>35</v>
      </c>
    </row>
    <row r="1447" spans="1:47" x14ac:dyDescent="0.2">
      <c r="A1447">
        <v>2133</v>
      </c>
      <c r="B1447" t="s">
        <v>791</v>
      </c>
      <c r="C1447">
        <v>42</v>
      </c>
      <c r="D1447" t="s">
        <v>784</v>
      </c>
      <c r="G1447" t="str">
        <f t="shared" si="22"/>
        <v>SWL201542DBO4.2</v>
      </c>
      <c r="H1447">
        <v>71.103999999999999</v>
      </c>
      <c r="I1447">
        <v>-162.27430000000001</v>
      </c>
      <c r="J1447" s="3">
        <v>20150720</v>
      </c>
      <c r="K1447">
        <v>2015</v>
      </c>
      <c r="L1447">
        <v>5.8574000000000002</v>
      </c>
      <c r="M1447">
        <v>7.9466599999999996</v>
      </c>
      <c r="N1447">
        <v>0.34884999999999999</v>
      </c>
      <c r="O1447">
        <v>2.57653</v>
      </c>
      <c r="P1447">
        <v>0.19323000000000001</v>
      </c>
      <c r="Q1447">
        <v>0</v>
      </c>
      <c r="R1447">
        <v>5.2500000000000003E-3</v>
      </c>
      <c r="S1447">
        <v>0</v>
      </c>
      <c r="T1447">
        <v>8.4000000000000003E-4</v>
      </c>
      <c r="U1447">
        <v>8.2229999999999998E-2</v>
      </c>
      <c r="V1447">
        <v>17.01099</v>
      </c>
      <c r="W1447" t="s">
        <v>10</v>
      </c>
      <c r="X1447">
        <v>84.730999999999995</v>
      </c>
      <c r="Y1447">
        <v>459.61200000000002</v>
      </c>
      <c r="Z1447">
        <v>4.9379999999999997</v>
      </c>
      <c r="AA1447">
        <v>57.256</v>
      </c>
      <c r="AB1447">
        <v>13.802</v>
      </c>
      <c r="AC1447">
        <v>0</v>
      </c>
      <c r="AD1447">
        <v>8.5999999999999993E-2</v>
      </c>
      <c r="AE1447">
        <v>0</v>
      </c>
      <c r="AF1447">
        <v>8.9999999999999993E-3</v>
      </c>
      <c r="AG1447">
        <v>1.6990000000000001</v>
      </c>
      <c r="AH1447">
        <v>622.13300000000004</v>
      </c>
      <c r="AI1447" t="s">
        <v>22</v>
      </c>
      <c r="AJ1447">
        <v>1102.5</v>
      </c>
      <c r="AK1447">
        <v>472.5</v>
      </c>
      <c r="AL1447">
        <v>3362.5</v>
      </c>
      <c r="AM1447">
        <v>30</v>
      </c>
      <c r="AN1447">
        <v>65</v>
      </c>
      <c r="AO1447">
        <v>0</v>
      </c>
      <c r="AP1447">
        <v>0</v>
      </c>
      <c r="AQ1447">
        <v>0</v>
      </c>
      <c r="AR1447">
        <v>5</v>
      </c>
      <c r="AS1447">
        <v>102.5</v>
      </c>
      <c r="AT1447">
        <v>5140</v>
      </c>
      <c r="AU1447" t="s">
        <v>35</v>
      </c>
    </row>
    <row r="1448" spans="1:47" x14ac:dyDescent="0.2">
      <c r="A1448">
        <v>2134</v>
      </c>
      <c r="B1448" t="s">
        <v>791</v>
      </c>
      <c r="C1448">
        <v>44</v>
      </c>
      <c r="D1448" t="s">
        <v>785</v>
      </c>
      <c r="G1448" t="str">
        <f t="shared" si="22"/>
        <v>SWL201544DBO4.1</v>
      </c>
      <c r="H1448">
        <v>70.973699999999994</v>
      </c>
      <c r="I1448">
        <v>-161.89500000000001</v>
      </c>
      <c r="J1448" s="3">
        <v>20150720</v>
      </c>
      <c r="K1448">
        <v>2015</v>
      </c>
      <c r="L1448">
        <v>7.6863900000000003</v>
      </c>
      <c r="M1448">
        <v>7.2112100000000003</v>
      </c>
      <c r="N1448">
        <v>1.0973900000000001</v>
      </c>
      <c r="O1448">
        <v>5.1737900000000003</v>
      </c>
      <c r="P1448">
        <v>0.30837999999999999</v>
      </c>
      <c r="Q1448">
        <v>0</v>
      </c>
      <c r="R1448">
        <v>0.18465000000000001</v>
      </c>
      <c r="S1448">
        <v>0</v>
      </c>
      <c r="T1448">
        <v>0.10016</v>
      </c>
      <c r="U1448">
        <v>4.5940000000000002E-2</v>
      </c>
      <c r="V1448">
        <v>21.80791</v>
      </c>
      <c r="W1448" t="s">
        <v>9</v>
      </c>
      <c r="X1448">
        <v>105.081</v>
      </c>
      <c r="Y1448">
        <v>436.81700000000001</v>
      </c>
      <c r="Z1448">
        <v>15.56</v>
      </c>
      <c r="AA1448">
        <v>114.973</v>
      </c>
      <c r="AB1448">
        <v>22.027000000000001</v>
      </c>
      <c r="AC1448">
        <v>0</v>
      </c>
      <c r="AD1448">
        <v>3.0270000000000001</v>
      </c>
      <c r="AE1448">
        <v>0</v>
      </c>
      <c r="AF1448">
        <v>1.077</v>
      </c>
      <c r="AG1448">
        <v>1.9970000000000001</v>
      </c>
      <c r="AH1448">
        <v>700.55899999999997</v>
      </c>
      <c r="AI1448" t="s">
        <v>22</v>
      </c>
      <c r="AJ1448">
        <v>1380</v>
      </c>
      <c r="AK1448">
        <v>537.5</v>
      </c>
      <c r="AL1448">
        <v>5202.5</v>
      </c>
      <c r="AM1448">
        <v>77.5</v>
      </c>
      <c r="AN1448">
        <v>45</v>
      </c>
      <c r="AO1448">
        <v>0</v>
      </c>
      <c r="AP1448">
        <v>5</v>
      </c>
      <c r="AQ1448">
        <v>0</v>
      </c>
      <c r="AR1448">
        <v>47.5</v>
      </c>
      <c r="AS1448">
        <v>42.5</v>
      </c>
      <c r="AT1448">
        <v>7337.5</v>
      </c>
      <c r="AU1448" t="s">
        <v>35</v>
      </c>
    </row>
    <row r="1449" spans="1:47" x14ac:dyDescent="0.2">
      <c r="A1449">
        <v>2135</v>
      </c>
      <c r="B1449" t="s">
        <v>791</v>
      </c>
      <c r="C1449">
        <v>45</v>
      </c>
      <c r="D1449" t="s">
        <v>381</v>
      </c>
      <c r="G1449" t="str">
        <f t="shared" si="22"/>
        <v>SWL201545BarC10</v>
      </c>
      <c r="H1449">
        <v>71.6173</v>
      </c>
      <c r="I1449">
        <v>-157.91229999999999</v>
      </c>
      <c r="J1449" s="3">
        <v>20150720</v>
      </c>
      <c r="K1449">
        <v>2015</v>
      </c>
      <c r="L1449">
        <v>4.5520699999999996</v>
      </c>
      <c r="M1449">
        <v>4.21889</v>
      </c>
      <c r="N1449">
        <v>0.10445</v>
      </c>
      <c r="O1449">
        <v>2.9199999999999999E-3</v>
      </c>
      <c r="P1449">
        <v>0</v>
      </c>
      <c r="Q1449">
        <v>0</v>
      </c>
      <c r="R1449">
        <v>0</v>
      </c>
      <c r="S1449">
        <v>0</v>
      </c>
      <c r="T1449">
        <v>4.827E-2</v>
      </c>
      <c r="U1449">
        <v>3.6600000000000001E-3</v>
      </c>
      <c r="V1449">
        <v>8.9302600000000005</v>
      </c>
      <c r="W1449" t="s">
        <v>9</v>
      </c>
      <c r="X1449">
        <v>63.774000000000001</v>
      </c>
      <c r="Y1449">
        <v>134.42099999999999</v>
      </c>
      <c r="Z1449">
        <v>1.5149999999999999</v>
      </c>
      <c r="AA1449">
        <v>6.5000000000000002E-2</v>
      </c>
      <c r="AB1449">
        <v>0</v>
      </c>
      <c r="AC1449">
        <v>0</v>
      </c>
      <c r="AD1449">
        <v>0</v>
      </c>
      <c r="AE1449">
        <v>0</v>
      </c>
      <c r="AF1449">
        <v>0.51900000000000002</v>
      </c>
      <c r="AG1449">
        <v>5.8999999999999997E-2</v>
      </c>
      <c r="AH1449">
        <v>200.35300000000001</v>
      </c>
      <c r="AI1449" t="s">
        <v>22</v>
      </c>
      <c r="AJ1449">
        <v>280</v>
      </c>
      <c r="AK1449">
        <v>980</v>
      </c>
      <c r="AL1449">
        <v>180</v>
      </c>
      <c r="AM1449">
        <v>20</v>
      </c>
      <c r="AN1449">
        <v>0</v>
      </c>
      <c r="AO1449">
        <v>0</v>
      </c>
      <c r="AP1449">
        <v>0</v>
      </c>
      <c r="AQ1449">
        <v>0</v>
      </c>
      <c r="AR1449">
        <v>30</v>
      </c>
      <c r="AS1449">
        <v>50</v>
      </c>
      <c r="AT1449">
        <v>1540</v>
      </c>
      <c r="AU1449" t="s">
        <v>34</v>
      </c>
    </row>
    <row r="1450" spans="1:47" x14ac:dyDescent="0.2">
      <c r="A1450">
        <v>2136</v>
      </c>
      <c r="B1450" t="s">
        <v>791</v>
      </c>
      <c r="C1450">
        <v>46</v>
      </c>
      <c r="D1450" t="s">
        <v>380</v>
      </c>
      <c r="G1450" t="str">
        <f t="shared" si="22"/>
        <v>SWL201546BarC9</v>
      </c>
      <c r="H1450">
        <v>71.578199999999995</v>
      </c>
      <c r="I1450">
        <v>-157.8323</v>
      </c>
      <c r="J1450" s="3">
        <v>20150720</v>
      </c>
      <c r="K1450">
        <v>2015</v>
      </c>
      <c r="L1450">
        <v>0.72938999999999998</v>
      </c>
      <c r="M1450">
        <v>1.3164800000000001</v>
      </c>
      <c r="N1450">
        <v>0.12639</v>
      </c>
      <c r="O1450">
        <v>3.5599999999999998E-3</v>
      </c>
      <c r="P1450">
        <v>0.13896</v>
      </c>
      <c r="Q1450">
        <v>0</v>
      </c>
      <c r="R1450">
        <v>1.372E-2</v>
      </c>
      <c r="S1450">
        <v>0</v>
      </c>
      <c r="T1450">
        <v>1.8319999999999999E-2</v>
      </c>
      <c r="U1450">
        <v>7.3878700000000004</v>
      </c>
      <c r="V1450">
        <v>9.7346900000000005</v>
      </c>
      <c r="W1450" t="s">
        <v>18</v>
      </c>
      <c r="X1450">
        <v>10.308</v>
      </c>
      <c r="Y1450">
        <v>32.988999999999997</v>
      </c>
      <c r="Z1450">
        <v>1.579</v>
      </c>
      <c r="AA1450">
        <v>7.9000000000000001E-2</v>
      </c>
      <c r="AB1450">
        <v>9.9260000000000002</v>
      </c>
      <c r="AC1450">
        <v>0</v>
      </c>
      <c r="AD1450">
        <v>0.34300000000000003</v>
      </c>
      <c r="AE1450">
        <v>0</v>
      </c>
      <c r="AF1450">
        <v>0.19700000000000001</v>
      </c>
      <c r="AG1450">
        <v>164.137</v>
      </c>
      <c r="AH1450">
        <v>219.55799999999999</v>
      </c>
      <c r="AI1450" t="s">
        <v>30</v>
      </c>
      <c r="AJ1450">
        <v>740</v>
      </c>
      <c r="AK1450">
        <v>860</v>
      </c>
      <c r="AL1450">
        <v>220</v>
      </c>
      <c r="AM1450">
        <v>20</v>
      </c>
      <c r="AN1450">
        <v>10</v>
      </c>
      <c r="AO1450">
        <v>0</v>
      </c>
      <c r="AP1450">
        <v>0</v>
      </c>
      <c r="AQ1450">
        <v>0</v>
      </c>
      <c r="AR1450">
        <v>30</v>
      </c>
      <c r="AS1450">
        <v>300</v>
      </c>
      <c r="AT1450">
        <v>2180</v>
      </c>
      <c r="AU1450" t="s">
        <v>34</v>
      </c>
    </row>
    <row r="1451" spans="1:47" x14ac:dyDescent="0.2">
      <c r="A1451">
        <v>2137</v>
      </c>
      <c r="B1451" t="s">
        <v>791</v>
      </c>
      <c r="C1451">
        <v>47</v>
      </c>
      <c r="D1451" t="s">
        <v>379</v>
      </c>
      <c r="G1451" t="str">
        <f t="shared" si="22"/>
        <v>SWL201547BarC8</v>
      </c>
      <c r="H1451">
        <v>71.537300000000002</v>
      </c>
      <c r="I1451">
        <v>-157.7475</v>
      </c>
      <c r="J1451" s="3">
        <v>20150720</v>
      </c>
      <c r="K1451">
        <v>2015</v>
      </c>
      <c r="L1451">
        <v>2.9823499999999998</v>
      </c>
      <c r="M1451">
        <v>1.8692599999999999</v>
      </c>
      <c r="N1451">
        <v>0.23730999999999999</v>
      </c>
      <c r="O1451">
        <v>1.0840000000000001E-2</v>
      </c>
      <c r="P1451">
        <v>0.22008</v>
      </c>
      <c r="Q1451">
        <v>0</v>
      </c>
      <c r="R1451">
        <v>0</v>
      </c>
      <c r="S1451">
        <v>0</v>
      </c>
      <c r="T1451">
        <v>2.3803399999999999</v>
      </c>
      <c r="U1451">
        <v>1.3540000000000001</v>
      </c>
      <c r="V1451">
        <v>9.0541800000000006</v>
      </c>
      <c r="W1451" t="s">
        <v>9</v>
      </c>
      <c r="X1451">
        <v>42.637</v>
      </c>
      <c r="Y1451">
        <v>58.4</v>
      </c>
      <c r="Z1451">
        <v>3.0049999999999999</v>
      </c>
      <c r="AA1451">
        <v>0.24099999999999999</v>
      </c>
      <c r="AB1451">
        <v>15.72</v>
      </c>
      <c r="AC1451">
        <v>0</v>
      </c>
      <c r="AD1451">
        <v>0</v>
      </c>
      <c r="AE1451">
        <v>0</v>
      </c>
      <c r="AF1451">
        <v>25.594999999999999</v>
      </c>
      <c r="AG1451">
        <v>126.422</v>
      </c>
      <c r="AH1451">
        <v>272.02</v>
      </c>
      <c r="AI1451" t="s">
        <v>30</v>
      </c>
      <c r="AJ1451">
        <v>4610</v>
      </c>
      <c r="AK1451">
        <v>600</v>
      </c>
      <c r="AL1451">
        <v>440</v>
      </c>
      <c r="AM1451">
        <v>20</v>
      </c>
      <c r="AN1451">
        <v>40</v>
      </c>
      <c r="AO1451">
        <v>0</v>
      </c>
      <c r="AP1451">
        <v>0</v>
      </c>
      <c r="AQ1451">
        <v>0</v>
      </c>
      <c r="AR1451">
        <v>20</v>
      </c>
      <c r="AS1451">
        <v>310</v>
      </c>
      <c r="AT1451">
        <v>6040</v>
      </c>
      <c r="AU1451" t="s">
        <v>33</v>
      </c>
    </row>
    <row r="1452" spans="1:47" x14ac:dyDescent="0.2">
      <c r="A1452">
        <v>2138</v>
      </c>
      <c r="B1452" t="s">
        <v>791</v>
      </c>
      <c r="C1452">
        <v>48</v>
      </c>
      <c r="D1452" t="s">
        <v>377</v>
      </c>
      <c r="G1452" t="str">
        <f t="shared" si="22"/>
        <v>SWL201548BarC7</v>
      </c>
      <c r="H1452">
        <v>71.500200000000007</v>
      </c>
      <c r="I1452">
        <v>-157.67150000000001</v>
      </c>
      <c r="J1452" s="3">
        <v>20150720</v>
      </c>
      <c r="K1452">
        <v>2015</v>
      </c>
      <c r="L1452">
        <v>12.76336</v>
      </c>
      <c r="M1452">
        <v>2.97777</v>
      </c>
      <c r="N1452">
        <v>3.7564899999999999</v>
      </c>
      <c r="O1452">
        <v>14.19638</v>
      </c>
      <c r="P1452">
        <v>0.47627000000000003</v>
      </c>
      <c r="Q1452">
        <v>0</v>
      </c>
      <c r="R1452">
        <v>0</v>
      </c>
      <c r="S1452">
        <v>0</v>
      </c>
      <c r="T1452">
        <v>0</v>
      </c>
      <c r="U1452">
        <v>6.5240000000000006E-2</v>
      </c>
      <c r="V1452">
        <v>34.235509999999998</v>
      </c>
      <c r="W1452" t="s">
        <v>12</v>
      </c>
      <c r="X1452">
        <v>180.40799999999999</v>
      </c>
      <c r="Y1452">
        <v>171.53700000000001</v>
      </c>
      <c r="Z1452">
        <v>53.601999999999997</v>
      </c>
      <c r="AA1452">
        <v>315.47500000000002</v>
      </c>
      <c r="AB1452">
        <v>34.018999999999998</v>
      </c>
      <c r="AC1452">
        <v>0</v>
      </c>
      <c r="AD1452">
        <v>0</v>
      </c>
      <c r="AE1452">
        <v>0</v>
      </c>
      <c r="AF1452">
        <v>0</v>
      </c>
      <c r="AG1452">
        <v>5.1180000000000003</v>
      </c>
      <c r="AH1452">
        <v>760.15899999999999</v>
      </c>
      <c r="AI1452" t="s">
        <v>24</v>
      </c>
      <c r="AJ1452">
        <v>10550</v>
      </c>
      <c r="AK1452">
        <v>330</v>
      </c>
      <c r="AL1452">
        <v>4310</v>
      </c>
      <c r="AM1452">
        <v>200</v>
      </c>
      <c r="AN1452">
        <v>90</v>
      </c>
      <c r="AO1452">
        <v>0</v>
      </c>
      <c r="AP1452">
        <v>0</v>
      </c>
      <c r="AQ1452">
        <v>0</v>
      </c>
      <c r="AR1452">
        <v>0</v>
      </c>
      <c r="AS1452">
        <v>140</v>
      </c>
      <c r="AT1452">
        <v>15620</v>
      </c>
      <c r="AU1452" t="s">
        <v>33</v>
      </c>
    </row>
    <row r="1453" spans="1:47" x14ac:dyDescent="0.2">
      <c r="A1453">
        <v>2139</v>
      </c>
      <c r="B1453" t="s">
        <v>791</v>
      </c>
      <c r="C1453">
        <v>49</v>
      </c>
      <c r="D1453" t="s">
        <v>376</v>
      </c>
      <c r="G1453" t="str">
        <f t="shared" si="22"/>
        <v>SWL201549BarC6</v>
      </c>
      <c r="H1453">
        <v>71.455500000000001</v>
      </c>
      <c r="I1453">
        <v>-157.57900000000001</v>
      </c>
      <c r="J1453" s="3">
        <v>20150721</v>
      </c>
      <c r="K1453">
        <v>2015</v>
      </c>
      <c r="L1453">
        <v>11.477819999999999</v>
      </c>
      <c r="M1453">
        <v>2.4532400000000001</v>
      </c>
      <c r="N1453">
        <v>8.2351100000000006</v>
      </c>
      <c r="O1453">
        <v>2.05043</v>
      </c>
      <c r="P1453">
        <v>1.16656</v>
      </c>
      <c r="Q1453">
        <v>0</v>
      </c>
      <c r="R1453">
        <v>2.708E-2</v>
      </c>
      <c r="S1453">
        <v>0</v>
      </c>
      <c r="T1453">
        <v>0.41552</v>
      </c>
      <c r="U1453">
        <v>6.8089999999999998E-2</v>
      </c>
      <c r="V1453">
        <v>25.89385</v>
      </c>
      <c r="W1453" t="s">
        <v>9</v>
      </c>
      <c r="X1453">
        <v>163.13499999999999</v>
      </c>
      <c r="Y1453">
        <v>158.059</v>
      </c>
      <c r="Z1453">
        <v>119.795</v>
      </c>
      <c r="AA1453">
        <v>45.564999999999998</v>
      </c>
      <c r="AB1453">
        <v>83.325999999999993</v>
      </c>
      <c r="AC1453">
        <v>0</v>
      </c>
      <c r="AD1453">
        <v>0.67700000000000005</v>
      </c>
      <c r="AE1453">
        <v>0</v>
      </c>
      <c r="AF1453">
        <v>4.468</v>
      </c>
      <c r="AG1453">
        <v>1.113</v>
      </c>
      <c r="AH1453">
        <v>576.13800000000003</v>
      </c>
      <c r="AI1453" t="s">
        <v>21</v>
      </c>
      <c r="AJ1453">
        <v>11790</v>
      </c>
      <c r="AK1453">
        <v>260</v>
      </c>
      <c r="AL1453">
        <v>25530</v>
      </c>
      <c r="AM1453">
        <v>170</v>
      </c>
      <c r="AN1453">
        <v>240</v>
      </c>
      <c r="AO1453">
        <v>0</v>
      </c>
      <c r="AP1453">
        <v>90</v>
      </c>
      <c r="AQ1453">
        <v>0</v>
      </c>
      <c r="AR1453">
        <v>100</v>
      </c>
      <c r="AS1453">
        <v>90</v>
      </c>
      <c r="AT1453">
        <v>38270</v>
      </c>
      <c r="AU1453" t="s">
        <v>35</v>
      </c>
    </row>
    <row r="1454" spans="1:47" x14ac:dyDescent="0.2">
      <c r="A1454">
        <v>2140</v>
      </c>
      <c r="B1454" t="s">
        <v>791</v>
      </c>
      <c r="C1454">
        <v>50</v>
      </c>
      <c r="D1454" t="s">
        <v>375</v>
      </c>
      <c r="G1454" t="str">
        <f t="shared" si="22"/>
        <v>SWL201550BarC5</v>
      </c>
      <c r="H1454">
        <v>71.410200000000003</v>
      </c>
      <c r="I1454">
        <v>-157.49080000000001</v>
      </c>
      <c r="J1454" s="3">
        <v>20150721</v>
      </c>
      <c r="K1454">
        <v>2015</v>
      </c>
      <c r="L1454">
        <v>9.7006200000000007</v>
      </c>
      <c r="M1454">
        <v>8.4527599999999996</v>
      </c>
      <c r="N1454">
        <v>1.9401999999999999</v>
      </c>
      <c r="O1454">
        <v>0.45428000000000002</v>
      </c>
      <c r="P1454">
        <v>1.1309</v>
      </c>
      <c r="Q1454">
        <v>0</v>
      </c>
      <c r="R1454">
        <v>2.0447199999999999</v>
      </c>
      <c r="S1454">
        <v>1.3500000000000001E-3</v>
      </c>
      <c r="T1454">
        <v>0.22914999999999999</v>
      </c>
      <c r="U1454">
        <v>4.6676200000000003</v>
      </c>
      <c r="V1454">
        <v>28.621600000000001</v>
      </c>
      <c r="W1454" t="s">
        <v>9</v>
      </c>
      <c r="X1454">
        <v>150.435</v>
      </c>
      <c r="Y1454">
        <v>361.03500000000003</v>
      </c>
      <c r="Z1454">
        <v>26.053000000000001</v>
      </c>
      <c r="AA1454">
        <v>10.095000000000001</v>
      </c>
      <c r="AB1454">
        <v>80.778999999999996</v>
      </c>
      <c r="AC1454">
        <v>0</v>
      </c>
      <c r="AD1454">
        <v>33.520000000000003</v>
      </c>
      <c r="AE1454">
        <v>3.3000000000000002E-2</v>
      </c>
      <c r="AF1454">
        <v>2.464</v>
      </c>
      <c r="AG1454">
        <v>292.084</v>
      </c>
      <c r="AH1454">
        <v>956.49800000000005</v>
      </c>
      <c r="AI1454" t="s">
        <v>22</v>
      </c>
      <c r="AJ1454">
        <v>3395</v>
      </c>
      <c r="AK1454">
        <v>430</v>
      </c>
      <c r="AL1454">
        <v>11235</v>
      </c>
      <c r="AM1454">
        <v>250</v>
      </c>
      <c r="AN1454">
        <v>285</v>
      </c>
      <c r="AO1454">
        <v>0</v>
      </c>
      <c r="AP1454">
        <v>0</v>
      </c>
      <c r="AQ1454">
        <v>5</v>
      </c>
      <c r="AR1454">
        <v>55</v>
      </c>
      <c r="AS1454">
        <v>165</v>
      </c>
      <c r="AT1454">
        <v>15820</v>
      </c>
      <c r="AU1454" t="s">
        <v>35</v>
      </c>
    </row>
    <row r="1455" spans="1:47" x14ac:dyDescent="0.2">
      <c r="A1455">
        <v>2141</v>
      </c>
      <c r="B1455" t="s">
        <v>791</v>
      </c>
      <c r="C1455">
        <v>51</v>
      </c>
      <c r="D1455" t="s">
        <v>374</v>
      </c>
      <c r="G1455" t="str">
        <f t="shared" si="22"/>
        <v>SWL201551BarC4</v>
      </c>
      <c r="H1455">
        <v>71.372299999999996</v>
      </c>
      <c r="I1455">
        <v>-157.4135</v>
      </c>
      <c r="J1455" s="3">
        <v>20150721</v>
      </c>
      <c r="K1455">
        <v>2015</v>
      </c>
      <c r="L1455">
        <v>1.4902500000000001</v>
      </c>
      <c r="M1455">
        <v>2.3797600000000001</v>
      </c>
      <c r="N1455">
        <v>0.70003000000000004</v>
      </c>
      <c r="O1455">
        <v>1.193E-2</v>
      </c>
      <c r="P1455">
        <v>0.41916999999999999</v>
      </c>
      <c r="Q1455">
        <v>0</v>
      </c>
      <c r="R1455">
        <v>0</v>
      </c>
      <c r="S1455">
        <v>0</v>
      </c>
      <c r="T1455">
        <v>4.7400000000000003E-3</v>
      </c>
      <c r="U1455">
        <v>10.894410000000001</v>
      </c>
      <c r="V1455">
        <v>15.90029</v>
      </c>
      <c r="W1455" t="s">
        <v>18</v>
      </c>
      <c r="X1455">
        <v>22.49</v>
      </c>
      <c r="Y1455">
        <v>75.426000000000002</v>
      </c>
      <c r="Z1455">
        <v>9.3680000000000003</v>
      </c>
      <c r="AA1455">
        <v>0.26500000000000001</v>
      </c>
      <c r="AB1455">
        <v>29.940999999999999</v>
      </c>
      <c r="AC1455">
        <v>0</v>
      </c>
      <c r="AD1455">
        <v>0</v>
      </c>
      <c r="AE1455">
        <v>0</v>
      </c>
      <c r="AF1455">
        <v>5.0999999999999997E-2</v>
      </c>
      <c r="AG1455">
        <v>487.18599999999998</v>
      </c>
      <c r="AH1455">
        <v>624.72699999999998</v>
      </c>
      <c r="AI1455" t="s">
        <v>30</v>
      </c>
      <c r="AJ1455">
        <v>1200</v>
      </c>
      <c r="AK1455">
        <v>1370</v>
      </c>
      <c r="AL1455">
        <v>3650</v>
      </c>
      <c r="AM1455">
        <v>50</v>
      </c>
      <c r="AN1455">
        <v>70</v>
      </c>
      <c r="AO1455">
        <v>0</v>
      </c>
      <c r="AP1455">
        <v>0</v>
      </c>
      <c r="AQ1455">
        <v>0</v>
      </c>
      <c r="AR1455">
        <v>10</v>
      </c>
      <c r="AS1455">
        <v>150</v>
      </c>
      <c r="AT1455">
        <v>6500</v>
      </c>
      <c r="AU1455" t="s">
        <v>35</v>
      </c>
    </row>
    <row r="1456" spans="1:47" x14ac:dyDescent="0.2">
      <c r="A1456">
        <v>2142</v>
      </c>
      <c r="B1456" t="s">
        <v>791</v>
      </c>
      <c r="C1456">
        <v>52</v>
      </c>
      <c r="D1456" t="s">
        <v>373</v>
      </c>
      <c r="G1456" t="str">
        <f t="shared" si="22"/>
        <v>SWL201552BarC3</v>
      </c>
      <c r="H1456">
        <v>71.330299999999994</v>
      </c>
      <c r="I1456">
        <v>-157.3288</v>
      </c>
      <c r="J1456" s="3">
        <v>20150721</v>
      </c>
      <c r="K1456">
        <v>2015</v>
      </c>
      <c r="L1456">
        <v>1.6980500000000001</v>
      </c>
      <c r="M1456">
        <v>0.55898000000000003</v>
      </c>
      <c r="N1456">
        <v>0.96906000000000003</v>
      </c>
      <c r="O1456">
        <v>2.6099999999999999E-3</v>
      </c>
      <c r="P1456">
        <v>7.1399999999999996E-3</v>
      </c>
      <c r="Q1456">
        <v>0</v>
      </c>
      <c r="R1456">
        <v>0</v>
      </c>
      <c r="S1456">
        <v>1.009E-2</v>
      </c>
      <c r="T1456">
        <v>3.0689999999999999E-2</v>
      </c>
      <c r="U1456">
        <v>4.63626</v>
      </c>
      <c r="V1456">
        <v>7.9128800000000004</v>
      </c>
      <c r="W1456" t="s">
        <v>18</v>
      </c>
      <c r="X1456">
        <v>24.992000000000001</v>
      </c>
      <c r="Y1456">
        <v>15.964</v>
      </c>
      <c r="Z1456">
        <v>13.287000000000001</v>
      </c>
      <c r="AA1456">
        <v>5.8000000000000003E-2</v>
      </c>
      <c r="AB1456">
        <v>0.51</v>
      </c>
      <c r="AC1456">
        <v>0</v>
      </c>
      <c r="AD1456">
        <v>0</v>
      </c>
      <c r="AE1456">
        <v>0.246</v>
      </c>
      <c r="AF1456">
        <v>0.33</v>
      </c>
      <c r="AG1456">
        <v>218.828</v>
      </c>
      <c r="AH1456">
        <v>274.21499999999997</v>
      </c>
      <c r="AI1456" t="s">
        <v>30</v>
      </c>
      <c r="AJ1456">
        <v>1420</v>
      </c>
      <c r="AK1456">
        <v>440</v>
      </c>
      <c r="AL1456">
        <v>3780</v>
      </c>
      <c r="AM1456">
        <v>30</v>
      </c>
      <c r="AN1456">
        <v>60</v>
      </c>
      <c r="AO1456">
        <v>0</v>
      </c>
      <c r="AP1456">
        <v>0</v>
      </c>
      <c r="AQ1456">
        <v>10</v>
      </c>
      <c r="AR1456">
        <v>10</v>
      </c>
      <c r="AS1456">
        <v>2370</v>
      </c>
      <c r="AT1456">
        <v>8120</v>
      </c>
      <c r="AU1456" t="s">
        <v>35</v>
      </c>
    </row>
    <row r="1457" spans="1:47" x14ac:dyDescent="0.2">
      <c r="A1457">
        <v>2143</v>
      </c>
      <c r="B1457" t="s">
        <v>791</v>
      </c>
      <c r="C1457">
        <v>53</v>
      </c>
      <c r="D1457" t="s">
        <v>372</v>
      </c>
      <c r="G1457" t="str">
        <f t="shared" si="22"/>
        <v>SWL201553BarC2</v>
      </c>
      <c r="H1457">
        <v>71.288200000000003</v>
      </c>
      <c r="I1457">
        <v>-157.24529999999999</v>
      </c>
      <c r="J1457" s="3">
        <v>20150721</v>
      </c>
      <c r="K1457">
        <v>2015</v>
      </c>
      <c r="L1457">
        <v>12.265750000000001</v>
      </c>
      <c r="M1457">
        <v>1.02085</v>
      </c>
      <c r="N1457">
        <v>2.8394699999999999</v>
      </c>
      <c r="O1457">
        <v>5.3537400000000002</v>
      </c>
      <c r="P1457">
        <v>0.17680999999999999</v>
      </c>
      <c r="Q1457">
        <v>0</v>
      </c>
      <c r="R1457">
        <v>4.4533699999999996</v>
      </c>
      <c r="S1457">
        <v>103.59389</v>
      </c>
      <c r="T1457">
        <v>0.24273</v>
      </c>
      <c r="U1457">
        <v>26.547429999999999</v>
      </c>
      <c r="V1457">
        <v>156.49404000000001</v>
      </c>
      <c r="W1457" t="s">
        <v>16</v>
      </c>
      <c r="X1457">
        <v>176.6</v>
      </c>
      <c r="Y1457">
        <v>36.722000000000001</v>
      </c>
      <c r="Z1457">
        <v>40.322000000000003</v>
      </c>
      <c r="AA1457">
        <v>118.97199999999999</v>
      </c>
      <c r="AB1457">
        <v>12.629</v>
      </c>
      <c r="AC1457">
        <v>0</v>
      </c>
      <c r="AD1457">
        <v>92.356999999999999</v>
      </c>
      <c r="AE1457">
        <v>2526.8020000000001</v>
      </c>
      <c r="AF1457">
        <v>2.61</v>
      </c>
      <c r="AG1457">
        <v>1160.126</v>
      </c>
      <c r="AH1457">
        <v>4167.1400000000003</v>
      </c>
      <c r="AI1457" t="s">
        <v>28</v>
      </c>
      <c r="AJ1457">
        <v>6450</v>
      </c>
      <c r="AK1457">
        <v>2380</v>
      </c>
      <c r="AL1457">
        <v>6900</v>
      </c>
      <c r="AM1457">
        <v>150</v>
      </c>
      <c r="AN1457">
        <v>90</v>
      </c>
      <c r="AO1457">
        <v>0</v>
      </c>
      <c r="AP1457">
        <v>0</v>
      </c>
      <c r="AQ1457">
        <v>80</v>
      </c>
      <c r="AR1457">
        <v>80</v>
      </c>
      <c r="AS1457">
        <v>400</v>
      </c>
      <c r="AT1457">
        <v>16530</v>
      </c>
      <c r="AU1457" t="s">
        <v>35</v>
      </c>
    </row>
    <row r="1458" spans="1:47" x14ac:dyDescent="0.2">
      <c r="A1458">
        <v>2144</v>
      </c>
      <c r="B1458" t="s">
        <v>791</v>
      </c>
      <c r="C1458">
        <v>54</v>
      </c>
      <c r="D1458" t="s">
        <v>371</v>
      </c>
      <c r="G1458" t="str">
        <f t="shared" si="22"/>
        <v>SWL201554BarC1</v>
      </c>
      <c r="H1458">
        <v>71.247200000000007</v>
      </c>
      <c r="I1458">
        <v>-157.16130000000001</v>
      </c>
      <c r="J1458" s="3">
        <v>20150721</v>
      </c>
      <c r="K1458">
        <v>2015</v>
      </c>
      <c r="L1458">
        <v>1.58847</v>
      </c>
      <c r="M1458">
        <v>0.60126000000000002</v>
      </c>
      <c r="N1458">
        <v>1.43974</v>
      </c>
      <c r="O1458">
        <v>9.0000000000000006E-5</v>
      </c>
      <c r="P1458">
        <v>2.1800000000000001E-3</v>
      </c>
      <c r="Q1458">
        <v>0</v>
      </c>
      <c r="R1458">
        <v>2.4756300000000002</v>
      </c>
      <c r="S1458">
        <v>0</v>
      </c>
      <c r="T1458">
        <v>1.9529999999999999E-2</v>
      </c>
      <c r="U1458">
        <v>6.9279999999999994E-2</v>
      </c>
      <c r="V1458">
        <v>6.19618</v>
      </c>
      <c r="W1458" t="s">
        <v>15</v>
      </c>
      <c r="X1458">
        <v>21.981000000000002</v>
      </c>
      <c r="Y1458">
        <v>26.811</v>
      </c>
      <c r="Z1458">
        <v>20.696999999999999</v>
      </c>
      <c r="AA1458">
        <v>2E-3</v>
      </c>
      <c r="AB1458">
        <v>0.156</v>
      </c>
      <c r="AC1458">
        <v>0</v>
      </c>
      <c r="AD1458">
        <v>40.584000000000003</v>
      </c>
      <c r="AE1458">
        <v>0</v>
      </c>
      <c r="AF1458">
        <v>0.21</v>
      </c>
      <c r="AG1458">
        <v>2.0819999999999999</v>
      </c>
      <c r="AH1458">
        <v>112.523</v>
      </c>
      <c r="AI1458" t="s">
        <v>27</v>
      </c>
      <c r="AJ1458">
        <v>2090</v>
      </c>
      <c r="AK1458">
        <v>300</v>
      </c>
      <c r="AL1458">
        <v>2700</v>
      </c>
      <c r="AM1458">
        <v>10</v>
      </c>
      <c r="AN1458">
        <v>0</v>
      </c>
      <c r="AO1458">
        <v>0</v>
      </c>
      <c r="AP1458">
        <v>10</v>
      </c>
      <c r="AQ1458">
        <v>0</v>
      </c>
      <c r="AR1458">
        <v>10</v>
      </c>
      <c r="AS1458">
        <v>40</v>
      </c>
      <c r="AT1458">
        <v>5160</v>
      </c>
      <c r="AU1458" t="s">
        <v>35</v>
      </c>
    </row>
    <row r="1459" spans="1:47" x14ac:dyDescent="0.2">
      <c r="A1459">
        <v>2211</v>
      </c>
      <c r="B1459" t="s">
        <v>830</v>
      </c>
      <c r="C1459">
        <v>10</v>
      </c>
      <c r="D1459" t="s">
        <v>831</v>
      </c>
      <c r="G1459" t="str">
        <f t="shared" si="22"/>
        <v>AMBON201510CL0</v>
      </c>
      <c r="H1459">
        <v>68.899000000000001</v>
      </c>
      <c r="I1459">
        <v>-166.423</v>
      </c>
      <c r="J1459" s="3">
        <v>20150813</v>
      </c>
      <c r="K1459">
        <v>2015</v>
      </c>
      <c r="L1459">
        <v>0.1023</v>
      </c>
      <c r="M1459">
        <v>1.1610000000000001E-2</v>
      </c>
      <c r="N1459">
        <v>1.745E-2</v>
      </c>
      <c r="O1459">
        <v>2.7E-4</v>
      </c>
      <c r="P1459">
        <v>1.1199999999999999E-3</v>
      </c>
      <c r="Q1459">
        <v>0</v>
      </c>
      <c r="R1459">
        <v>0</v>
      </c>
      <c r="S1459">
        <v>4.6656000000000004</v>
      </c>
      <c r="T1459">
        <v>0</v>
      </c>
      <c r="U1459">
        <v>9.4119999999999995E-2</v>
      </c>
      <c r="V1459">
        <v>4.8924700000000003</v>
      </c>
      <c r="W1459" t="s">
        <v>16</v>
      </c>
      <c r="X1459">
        <v>1.482</v>
      </c>
      <c r="Y1459">
        <v>0.41499999999999998</v>
      </c>
      <c r="Z1459">
        <v>0.23599999999999999</v>
      </c>
      <c r="AA1459">
        <v>6.0000000000000001E-3</v>
      </c>
      <c r="AB1459">
        <v>0.08</v>
      </c>
      <c r="AC1459">
        <v>0</v>
      </c>
      <c r="AD1459">
        <v>0</v>
      </c>
      <c r="AE1459">
        <v>130.005</v>
      </c>
      <c r="AF1459">
        <v>0</v>
      </c>
      <c r="AG1459">
        <v>5.008</v>
      </c>
      <c r="AH1459">
        <v>137.232</v>
      </c>
      <c r="AI1459" t="s">
        <v>28</v>
      </c>
      <c r="AJ1459">
        <v>180</v>
      </c>
      <c r="AK1459">
        <v>30</v>
      </c>
      <c r="AL1459">
        <v>80</v>
      </c>
      <c r="AM1459">
        <v>10</v>
      </c>
      <c r="AN1459">
        <v>40</v>
      </c>
      <c r="AO1459">
        <v>0</v>
      </c>
      <c r="AP1459">
        <v>0</v>
      </c>
      <c r="AQ1459">
        <v>80</v>
      </c>
      <c r="AR1459">
        <v>0</v>
      </c>
      <c r="AS1459">
        <v>30</v>
      </c>
      <c r="AT1459">
        <v>450</v>
      </c>
      <c r="AU1459" t="s">
        <v>33</v>
      </c>
    </row>
    <row r="1460" spans="1:47" x14ac:dyDescent="0.2">
      <c r="A1460">
        <v>2212</v>
      </c>
      <c r="B1460" t="s">
        <v>830</v>
      </c>
      <c r="C1460">
        <v>12</v>
      </c>
      <c r="D1460" t="s">
        <v>462</v>
      </c>
      <c r="G1460" t="str">
        <f t="shared" si="22"/>
        <v>AMBON201512CL1</v>
      </c>
      <c r="H1460">
        <v>68.947999999999993</v>
      </c>
      <c r="I1460">
        <v>-166.90799999999999</v>
      </c>
      <c r="J1460" s="3">
        <v>20150813</v>
      </c>
      <c r="K1460">
        <v>2015</v>
      </c>
      <c r="L1460">
        <v>0.67420999999999998</v>
      </c>
      <c r="M1460">
        <v>1.14588</v>
      </c>
      <c r="N1460">
        <v>2.8900000000000002E-3</v>
      </c>
      <c r="O1460">
        <v>0</v>
      </c>
      <c r="P1460">
        <v>1.2999999999999999E-4</v>
      </c>
      <c r="Q1460">
        <v>0</v>
      </c>
      <c r="R1460">
        <v>0</v>
      </c>
      <c r="S1460">
        <v>0</v>
      </c>
      <c r="T1460">
        <v>0</v>
      </c>
      <c r="U1460">
        <v>2.613E-2</v>
      </c>
      <c r="V1460">
        <v>1.84924</v>
      </c>
      <c r="W1460" t="s">
        <v>10</v>
      </c>
      <c r="X1460">
        <v>11.215</v>
      </c>
      <c r="Y1460">
        <v>56.863999999999997</v>
      </c>
      <c r="Z1460">
        <v>3.9E-2</v>
      </c>
      <c r="AA1460">
        <v>0</v>
      </c>
      <c r="AB1460">
        <v>8.9999999999999993E-3</v>
      </c>
      <c r="AC1460">
        <v>0</v>
      </c>
      <c r="AD1460">
        <v>0</v>
      </c>
      <c r="AE1460">
        <v>0</v>
      </c>
      <c r="AF1460">
        <v>0</v>
      </c>
      <c r="AG1460">
        <v>0.82</v>
      </c>
      <c r="AH1460">
        <v>68.947000000000003</v>
      </c>
      <c r="AI1460" t="s">
        <v>22</v>
      </c>
      <c r="AJ1460">
        <v>470</v>
      </c>
      <c r="AK1460">
        <v>2830</v>
      </c>
      <c r="AL1460">
        <v>35</v>
      </c>
      <c r="AM1460">
        <v>0</v>
      </c>
      <c r="AN1460">
        <v>15</v>
      </c>
      <c r="AO1460">
        <v>0</v>
      </c>
      <c r="AP1460">
        <v>0</v>
      </c>
      <c r="AQ1460">
        <v>0</v>
      </c>
      <c r="AR1460">
        <v>0</v>
      </c>
      <c r="AS1460">
        <v>87.5</v>
      </c>
      <c r="AT1460">
        <v>3437.5</v>
      </c>
      <c r="AU1460" t="s">
        <v>34</v>
      </c>
    </row>
    <row r="1461" spans="1:47" x14ac:dyDescent="0.2">
      <c r="A1461">
        <v>2213</v>
      </c>
      <c r="B1461" t="s">
        <v>830</v>
      </c>
      <c r="C1461">
        <v>13</v>
      </c>
      <c r="D1461" t="s">
        <v>463</v>
      </c>
      <c r="G1461" t="str">
        <f t="shared" si="22"/>
        <v>AMBON201513CL3</v>
      </c>
      <c r="H1461">
        <v>69.034000000000006</v>
      </c>
      <c r="I1461">
        <v>-168.893</v>
      </c>
      <c r="J1461" s="3">
        <v>20150814</v>
      </c>
      <c r="K1461">
        <v>2015</v>
      </c>
      <c r="L1461">
        <v>1.9010199999999999</v>
      </c>
      <c r="M1461">
        <v>3.1013199999999999</v>
      </c>
      <c r="N1461">
        <v>0.35982999999999998</v>
      </c>
      <c r="O1461">
        <v>0</v>
      </c>
      <c r="P1461">
        <v>5.9000000000000003E-4</v>
      </c>
      <c r="Q1461">
        <v>0</v>
      </c>
      <c r="R1461">
        <v>0</v>
      </c>
      <c r="S1461">
        <v>0</v>
      </c>
      <c r="T1461">
        <v>0.87912999999999997</v>
      </c>
      <c r="U1461">
        <v>2.647E-2</v>
      </c>
      <c r="V1461">
        <v>6.2683600000000004</v>
      </c>
      <c r="W1461" t="s">
        <v>10</v>
      </c>
      <c r="X1461">
        <v>27.49</v>
      </c>
      <c r="Y1461">
        <v>147.238</v>
      </c>
      <c r="Z1461">
        <v>4.6399999999999997</v>
      </c>
      <c r="AA1461">
        <v>0</v>
      </c>
      <c r="AB1461">
        <v>4.2000000000000003E-2</v>
      </c>
      <c r="AC1461">
        <v>0</v>
      </c>
      <c r="AD1461">
        <v>0</v>
      </c>
      <c r="AE1461">
        <v>0</v>
      </c>
      <c r="AF1461">
        <v>9.4529999999999994</v>
      </c>
      <c r="AG1461">
        <v>0.42699999999999999</v>
      </c>
      <c r="AH1461">
        <v>189.29</v>
      </c>
      <c r="AI1461" t="s">
        <v>22</v>
      </c>
      <c r="AJ1461">
        <v>312.5</v>
      </c>
      <c r="AK1461">
        <v>3172.5</v>
      </c>
      <c r="AL1461">
        <v>467.5</v>
      </c>
      <c r="AM1461">
        <v>0</v>
      </c>
      <c r="AN1461">
        <v>30</v>
      </c>
      <c r="AO1461">
        <v>0</v>
      </c>
      <c r="AP1461">
        <v>0</v>
      </c>
      <c r="AQ1461">
        <v>0</v>
      </c>
      <c r="AR1461">
        <v>2.5</v>
      </c>
      <c r="AS1461">
        <v>352.5</v>
      </c>
      <c r="AT1461">
        <v>4337.5</v>
      </c>
      <c r="AU1461" t="s">
        <v>34</v>
      </c>
    </row>
    <row r="1462" spans="1:47" x14ac:dyDescent="0.2">
      <c r="A1462">
        <v>2214</v>
      </c>
      <c r="B1462" t="s">
        <v>830</v>
      </c>
      <c r="C1462">
        <v>15</v>
      </c>
      <c r="D1462" t="s">
        <v>832</v>
      </c>
      <c r="G1462" t="str">
        <f t="shared" si="22"/>
        <v>AMBON201515CL2</v>
      </c>
      <c r="H1462">
        <v>69.028999999999996</v>
      </c>
      <c r="I1462">
        <v>-167.934</v>
      </c>
      <c r="J1462" s="3">
        <v>20150814</v>
      </c>
      <c r="K1462">
        <v>2015</v>
      </c>
      <c r="L1462">
        <v>2.3820999999999999</v>
      </c>
      <c r="M1462">
        <v>6.08E-2</v>
      </c>
      <c r="N1462">
        <v>7.7149999999999996E-2</v>
      </c>
      <c r="O1462">
        <v>1.5444500000000001</v>
      </c>
      <c r="P1462">
        <v>2.8700000000000002E-3</v>
      </c>
      <c r="Q1462">
        <v>0</v>
      </c>
      <c r="R1462">
        <v>0</v>
      </c>
      <c r="S1462">
        <v>0</v>
      </c>
      <c r="T1462">
        <v>0</v>
      </c>
      <c r="U1462">
        <v>2.214E-2</v>
      </c>
      <c r="V1462">
        <v>4.0895099999999998</v>
      </c>
      <c r="W1462" t="s">
        <v>9</v>
      </c>
      <c r="X1462">
        <v>32.744</v>
      </c>
      <c r="Y1462">
        <v>2.1019999999999999</v>
      </c>
      <c r="Z1462">
        <v>1.0469999999999999</v>
      </c>
      <c r="AA1462">
        <v>34.320999999999998</v>
      </c>
      <c r="AB1462">
        <v>0.20499999999999999</v>
      </c>
      <c r="AC1462">
        <v>0</v>
      </c>
      <c r="AD1462">
        <v>0</v>
      </c>
      <c r="AE1462">
        <v>0</v>
      </c>
      <c r="AF1462">
        <v>0</v>
      </c>
      <c r="AG1462">
        <v>0.64200000000000002</v>
      </c>
      <c r="AH1462">
        <v>71.061000000000007</v>
      </c>
      <c r="AI1462" t="s">
        <v>24</v>
      </c>
      <c r="AJ1462">
        <v>345</v>
      </c>
      <c r="AK1462">
        <v>87.5</v>
      </c>
      <c r="AL1462">
        <v>452.5</v>
      </c>
      <c r="AM1462">
        <v>2.5</v>
      </c>
      <c r="AN1462">
        <v>20</v>
      </c>
      <c r="AO1462">
        <v>0</v>
      </c>
      <c r="AP1462">
        <v>0</v>
      </c>
      <c r="AQ1462">
        <v>0</v>
      </c>
      <c r="AR1462">
        <v>0</v>
      </c>
      <c r="AS1462">
        <v>25</v>
      </c>
      <c r="AT1462">
        <v>932.5</v>
      </c>
      <c r="AU1462" t="s">
        <v>35</v>
      </c>
    </row>
    <row r="1463" spans="1:47" x14ac:dyDescent="0.2">
      <c r="A1463">
        <v>2215</v>
      </c>
      <c r="B1463" t="s">
        <v>830</v>
      </c>
      <c r="C1463">
        <v>17</v>
      </c>
      <c r="D1463" t="s">
        <v>833</v>
      </c>
      <c r="G1463" t="str">
        <f t="shared" si="22"/>
        <v>AMBON201517ML6.1</v>
      </c>
      <c r="H1463">
        <v>70.087000000000003</v>
      </c>
      <c r="I1463">
        <v>-163.96</v>
      </c>
      <c r="J1463" s="3">
        <v>20150815</v>
      </c>
      <c r="K1463">
        <v>2015</v>
      </c>
      <c r="L1463">
        <v>0.24238000000000001</v>
      </c>
      <c r="M1463">
        <v>0.27246999999999999</v>
      </c>
      <c r="N1463">
        <v>1.2540000000000001E-2</v>
      </c>
      <c r="O1463">
        <v>5.0000000000000002E-5</v>
      </c>
      <c r="P1463">
        <v>0</v>
      </c>
      <c r="Q1463">
        <v>12.811820000000001</v>
      </c>
      <c r="R1463">
        <v>7.9000000000000001E-4</v>
      </c>
      <c r="S1463">
        <v>0.16675000000000001</v>
      </c>
      <c r="T1463">
        <v>5.5999999999999995E-4</v>
      </c>
      <c r="U1463">
        <v>1.11236</v>
      </c>
      <c r="V1463">
        <v>14.619719999999999</v>
      </c>
      <c r="W1463" t="s">
        <v>14</v>
      </c>
      <c r="X1463">
        <v>3.516</v>
      </c>
      <c r="Y1463">
        <v>7.7750000000000004</v>
      </c>
      <c r="Z1463">
        <v>0.16900000000000001</v>
      </c>
      <c r="AA1463">
        <v>1E-3</v>
      </c>
      <c r="AB1463">
        <v>0</v>
      </c>
      <c r="AC1463">
        <v>1601.4780000000001</v>
      </c>
      <c r="AD1463">
        <v>1.2999999999999999E-2</v>
      </c>
      <c r="AE1463">
        <v>4.0670000000000002</v>
      </c>
      <c r="AF1463">
        <v>6.0000000000000001E-3</v>
      </c>
      <c r="AG1463">
        <v>23.481999999999999</v>
      </c>
      <c r="AH1463">
        <v>1640.5070000000001</v>
      </c>
      <c r="AI1463" t="s">
        <v>26</v>
      </c>
      <c r="AJ1463">
        <v>545</v>
      </c>
      <c r="AK1463">
        <v>757.5</v>
      </c>
      <c r="AL1463">
        <v>110</v>
      </c>
      <c r="AM1463">
        <v>2.5</v>
      </c>
      <c r="AN1463">
        <v>0</v>
      </c>
      <c r="AO1463">
        <v>762.5</v>
      </c>
      <c r="AP1463">
        <v>0</v>
      </c>
      <c r="AQ1463">
        <v>12.5</v>
      </c>
      <c r="AR1463">
        <v>5</v>
      </c>
      <c r="AS1463">
        <v>60</v>
      </c>
      <c r="AT1463">
        <v>2255</v>
      </c>
      <c r="AU1463" t="s">
        <v>38</v>
      </c>
    </row>
    <row r="1464" spans="1:47" x14ac:dyDescent="0.2">
      <c r="A1464">
        <v>2216</v>
      </c>
      <c r="B1464" t="s">
        <v>830</v>
      </c>
      <c r="C1464">
        <v>18</v>
      </c>
      <c r="D1464" t="s">
        <v>834</v>
      </c>
      <c r="G1464" t="str">
        <f t="shared" si="22"/>
        <v>AMBON201518ML6.2</v>
      </c>
      <c r="H1464">
        <v>70.266999999999996</v>
      </c>
      <c r="I1464">
        <v>-163.40799999999999</v>
      </c>
      <c r="J1464" s="3">
        <v>20150815</v>
      </c>
      <c r="K1464">
        <v>2015</v>
      </c>
      <c r="L1464">
        <v>7.7429999999999999E-2</v>
      </c>
      <c r="M1464">
        <v>0.32200000000000001</v>
      </c>
      <c r="N1464">
        <v>2.086E-2</v>
      </c>
      <c r="O1464">
        <v>0</v>
      </c>
      <c r="P1464">
        <v>0</v>
      </c>
      <c r="Q1464">
        <v>7.0304500000000001</v>
      </c>
      <c r="R1464">
        <v>0.13774</v>
      </c>
      <c r="S1464">
        <v>3.4809000000000001</v>
      </c>
      <c r="T1464">
        <v>1.9000000000000001E-4</v>
      </c>
      <c r="U1464">
        <v>8.43E-3</v>
      </c>
      <c r="V1464">
        <v>11.077999999999999</v>
      </c>
      <c r="W1464" t="s">
        <v>14</v>
      </c>
      <c r="X1464">
        <v>1.157</v>
      </c>
      <c r="Y1464">
        <v>10.346</v>
      </c>
      <c r="Z1464">
        <v>0.28199999999999997</v>
      </c>
      <c r="AA1464">
        <v>0</v>
      </c>
      <c r="AB1464">
        <v>0</v>
      </c>
      <c r="AC1464">
        <v>878.80600000000004</v>
      </c>
      <c r="AD1464">
        <v>2.258</v>
      </c>
      <c r="AE1464">
        <v>84.9</v>
      </c>
      <c r="AF1464">
        <v>2E-3</v>
      </c>
      <c r="AG1464">
        <v>0.84099999999999997</v>
      </c>
      <c r="AH1464">
        <v>978.59199999999998</v>
      </c>
      <c r="AI1464" t="s">
        <v>26</v>
      </c>
      <c r="AJ1464">
        <v>352.5</v>
      </c>
      <c r="AK1464">
        <v>532.5</v>
      </c>
      <c r="AL1464">
        <v>225</v>
      </c>
      <c r="AM1464">
        <v>0</v>
      </c>
      <c r="AN1464">
        <v>0</v>
      </c>
      <c r="AO1464">
        <v>435</v>
      </c>
      <c r="AP1464">
        <v>0</v>
      </c>
      <c r="AQ1464">
        <v>5</v>
      </c>
      <c r="AR1464">
        <v>2.5</v>
      </c>
      <c r="AS1464">
        <v>57.5</v>
      </c>
      <c r="AT1464">
        <v>1610</v>
      </c>
      <c r="AU1464" t="s">
        <v>34</v>
      </c>
    </row>
    <row r="1465" spans="1:47" x14ac:dyDescent="0.2">
      <c r="A1465">
        <v>2217</v>
      </c>
      <c r="B1465" t="s">
        <v>830</v>
      </c>
      <c r="C1465">
        <v>19</v>
      </c>
      <c r="D1465" t="s">
        <v>835</v>
      </c>
      <c r="G1465" t="str">
        <f t="shared" si="22"/>
        <v>AMBON201519ML6.3</v>
      </c>
      <c r="H1465">
        <v>70.388999999999996</v>
      </c>
      <c r="I1465">
        <v>-163.02199999999999</v>
      </c>
      <c r="J1465" s="3">
        <v>20150815</v>
      </c>
      <c r="K1465">
        <v>2015</v>
      </c>
      <c r="L1465">
        <v>3.295E-2</v>
      </c>
      <c r="M1465">
        <v>9.4560000000000005E-2</v>
      </c>
      <c r="N1465">
        <v>1.1140000000000001E-2</v>
      </c>
      <c r="O1465">
        <v>0</v>
      </c>
      <c r="P1465">
        <v>2.7E-4</v>
      </c>
      <c r="Q1465">
        <v>16.055900000000001</v>
      </c>
      <c r="R1465">
        <v>0</v>
      </c>
      <c r="S1465">
        <v>0</v>
      </c>
      <c r="T1465">
        <v>0</v>
      </c>
      <c r="U1465">
        <v>6.0000000000000001E-3</v>
      </c>
      <c r="V1465">
        <v>16.20082</v>
      </c>
      <c r="W1465" t="s">
        <v>14</v>
      </c>
      <c r="X1465">
        <v>0.47699999999999998</v>
      </c>
      <c r="Y1465">
        <v>3.0979999999999999</v>
      </c>
      <c r="Z1465">
        <v>0.14799999999999999</v>
      </c>
      <c r="AA1465">
        <v>0</v>
      </c>
      <c r="AB1465">
        <v>1.9E-2</v>
      </c>
      <c r="AC1465">
        <v>2006.9870000000001</v>
      </c>
      <c r="AD1465">
        <v>0</v>
      </c>
      <c r="AE1465">
        <v>0</v>
      </c>
      <c r="AF1465">
        <v>0</v>
      </c>
      <c r="AG1465">
        <v>0.53900000000000003</v>
      </c>
      <c r="AH1465">
        <v>2011.268</v>
      </c>
      <c r="AI1465" t="s">
        <v>26</v>
      </c>
      <c r="AJ1465">
        <v>215</v>
      </c>
      <c r="AK1465">
        <v>252.5</v>
      </c>
      <c r="AL1465">
        <v>137.5</v>
      </c>
      <c r="AM1465">
        <v>0</v>
      </c>
      <c r="AN1465">
        <v>2.5</v>
      </c>
      <c r="AO1465">
        <v>920</v>
      </c>
      <c r="AP1465">
        <v>0</v>
      </c>
      <c r="AQ1465">
        <v>0</v>
      </c>
      <c r="AR1465">
        <v>0</v>
      </c>
      <c r="AS1465">
        <v>12.5</v>
      </c>
      <c r="AT1465">
        <v>1540</v>
      </c>
      <c r="AU1465" t="s">
        <v>38</v>
      </c>
    </row>
    <row r="1466" spans="1:47" x14ac:dyDescent="0.2">
      <c r="A1466">
        <v>2218</v>
      </c>
      <c r="B1466" t="s">
        <v>830</v>
      </c>
      <c r="C1466">
        <v>20</v>
      </c>
      <c r="D1466" t="s">
        <v>836</v>
      </c>
      <c r="G1466" t="str">
        <f t="shared" si="22"/>
        <v>AMBON201520ML6.4</v>
      </c>
      <c r="H1466">
        <v>70.509</v>
      </c>
      <c r="I1466">
        <v>-162.64400000000001</v>
      </c>
      <c r="J1466" s="3">
        <v>20150815</v>
      </c>
      <c r="K1466">
        <v>2015</v>
      </c>
      <c r="L1466">
        <v>0.15919</v>
      </c>
      <c r="M1466">
        <v>6.77597</v>
      </c>
      <c r="N1466">
        <v>0.13197</v>
      </c>
      <c r="O1466">
        <v>0</v>
      </c>
      <c r="P1466">
        <v>6.2E-4</v>
      </c>
      <c r="Q1466">
        <v>10.548019999999999</v>
      </c>
      <c r="R1466">
        <v>1.1900000000000001E-2</v>
      </c>
      <c r="S1466">
        <v>0</v>
      </c>
      <c r="T1466">
        <v>4.3699999999999998E-3</v>
      </c>
      <c r="U1466">
        <v>0.05</v>
      </c>
      <c r="V1466">
        <v>17.682040000000001</v>
      </c>
      <c r="W1466" t="s">
        <v>14</v>
      </c>
      <c r="X1466">
        <v>2.1419999999999999</v>
      </c>
      <c r="Y1466">
        <v>242.10400000000001</v>
      </c>
      <c r="Z1466">
        <v>1.645</v>
      </c>
      <c r="AA1466">
        <v>0</v>
      </c>
      <c r="AB1466">
        <v>4.3999999999999997E-2</v>
      </c>
      <c r="AC1466">
        <v>1318.502</v>
      </c>
      <c r="AD1466">
        <v>0.19500000000000001</v>
      </c>
      <c r="AE1466">
        <v>0</v>
      </c>
      <c r="AF1466">
        <v>4.7E-2</v>
      </c>
      <c r="AG1466">
        <v>0.88200000000000001</v>
      </c>
      <c r="AH1466">
        <v>1565.5609999999999</v>
      </c>
      <c r="AI1466" t="s">
        <v>26</v>
      </c>
      <c r="AJ1466">
        <v>142.5</v>
      </c>
      <c r="AK1466">
        <v>305</v>
      </c>
      <c r="AL1466">
        <v>100</v>
      </c>
      <c r="AM1466">
        <v>0</v>
      </c>
      <c r="AN1466">
        <v>5</v>
      </c>
      <c r="AO1466">
        <v>375</v>
      </c>
      <c r="AP1466">
        <v>0</v>
      </c>
      <c r="AQ1466">
        <v>0</v>
      </c>
      <c r="AR1466">
        <v>5</v>
      </c>
      <c r="AS1466">
        <v>5</v>
      </c>
      <c r="AT1466">
        <v>937.5</v>
      </c>
      <c r="AU1466" t="s">
        <v>38</v>
      </c>
    </row>
    <row r="1467" spans="1:47" x14ac:dyDescent="0.2">
      <c r="A1467">
        <v>2219</v>
      </c>
      <c r="B1467" t="s">
        <v>830</v>
      </c>
      <c r="C1467">
        <v>21</v>
      </c>
      <c r="D1467" t="s">
        <v>837</v>
      </c>
      <c r="G1467" t="str">
        <f t="shared" si="22"/>
        <v>AMBON201521ML6.5</v>
      </c>
      <c r="H1467">
        <v>70.626999999999995</v>
      </c>
      <c r="I1467">
        <v>-162.249</v>
      </c>
      <c r="J1467" s="3">
        <v>20150816</v>
      </c>
      <c r="K1467">
        <v>2015</v>
      </c>
      <c r="L1467">
        <v>2.8150000000000001E-2</v>
      </c>
      <c r="M1467">
        <v>6.9629999999999997E-2</v>
      </c>
      <c r="N1467">
        <v>4.7299999999999998E-3</v>
      </c>
      <c r="O1467">
        <v>0</v>
      </c>
      <c r="P1467">
        <v>3.5E-4</v>
      </c>
      <c r="Q1467">
        <v>16.784829999999999</v>
      </c>
      <c r="R1467">
        <v>0.10002</v>
      </c>
      <c r="S1467">
        <v>8.6499999999999997E-3</v>
      </c>
      <c r="T1467">
        <v>1.67E-3</v>
      </c>
      <c r="U1467">
        <v>8.7739999999999999E-2</v>
      </c>
      <c r="V1467">
        <v>17.08577</v>
      </c>
      <c r="W1467" t="s">
        <v>14</v>
      </c>
      <c r="X1467">
        <v>0.4</v>
      </c>
      <c r="Y1467">
        <v>2.4910000000000001</v>
      </c>
      <c r="Z1467">
        <v>6.4000000000000001E-2</v>
      </c>
      <c r="AA1467">
        <v>0</v>
      </c>
      <c r="AB1467">
        <v>2.5000000000000001E-2</v>
      </c>
      <c r="AC1467">
        <v>2098.1039999999998</v>
      </c>
      <c r="AD1467">
        <v>1.64</v>
      </c>
      <c r="AE1467">
        <v>0.21099999999999999</v>
      </c>
      <c r="AF1467">
        <v>1.7999999999999999E-2</v>
      </c>
      <c r="AG1467">
        <v>3.8959999999999999</v>
      </c>
      <c r="AH1467">
        <v>2106.8490000000002</v>
      </c>
      <c r="AI1467" t="s">
        <v>26</v>
      </c>
      <c r="AJ1467">
        <v>132.5</v>
      </c>
      <c r="AK1467">
        <v>255</v>
      </c>
      <c r="AL1467">
        <v>47.5</v>
      </c>
      <c r="AM1467">
        <v>0</v>
      </c>
      <c r="AN1467">
        <v>15</v>
      </c>
      <c r="AO1467">
        <v>672.5</v>
      </c>
      <c r="AP1467">
        <v>2.5</v>
      </c>
      <c r="AQ1467">
        <v>2.5</v>
      </c>
      <c r="AR1467">
        <v>5</v>
      </c>
      <c r="AS1467">
        <v>30</v>
      </c>
      <c r="AT1467">
        <v>1162.5</v>
      </c>
      <c r="AU1467" t="s">
        <v>38</v>
      </c>
    </row>
    <row r="1468" spans="1:47" x14ac:dyDescent="0.2">
      <c r="A1468">
        <v>2220</v>
      </c>
      <c r="B1468" t="s">
        <v>830</v>
      </c>
      <c r="C1468">
        <v>22</v>
      </c>
      <c r="D1468" t="s">
        <v>838</v>
      </c>
      <c r="G1468" t="str">
        <f t="shared" si="22"/>
        <v>AMBON201522ML6.6</v>
      </c>
      <c r="H1468">
        <v>70.725999999999999</v>
      </c>
      <c r="I1468">
        <v>-161.94</v>
      </c>
      <c r="J1468" s="3">
        <v>20150816</v>
      </c>
      <c r="K1468">
        <v>2015</v>
      </c>
      <c r="L1468">
        <v>1.59866</v>
      </c>
      <c r="M1468">
        <v>0.93967999999999996</v>
      </c>
      <c r="N1468">
        <v>1.2447999999999999</v>
      </c>
      <c r="O1468">
        <v>2.2370000000000001E-2</v>
      </c>
      <c r="P1468">
        <v>7.077E-2</v>
      </c>
      <c r="Q1468">
        <v>0</v>
      </c>
      <c r="R1468">
        <v>1.76851</v>
      </c>
      <c r="S1468">
        <v>0.10936</v>
      </c>
      <c r="T1468">
        <v>2.5579999999999999E-2</v>
      </c>
      <c r="U1468">
        <v>0.12556</v>
      </c>
      <c r="V1468">
        <v>5.9052899999999999</v>
      </c>
      <c r="W1468" t="s">
        <v>15</v>
      </c>
      <c r="X1468">
        <v>22.221</v>
      </c>
      <c r="Y1468">
        <v>27.61</v>
      </c>
      <c r="Z1468">
        <v>17.928000000000001</v>
      </c>
      <c r="AA1468">
        <v>0.497</v>
      </c>
      <c r="AB1468">
        <v>5.0549999999999997</v>
      </c>
      <c r="AC1468">
        <v>0</v>
      </c>
      <c r="AD1468">
        <v>28.992000000000001</v>
      </c>
      <c r="AE1468">
        <v>5.4640000000000004</v>
      </c>
      <c r="AF1468">
        <v>0.27500000000000002</v>
      </c>
      <c r="AG1468">
        <v>8.0449999999999999</v>
      </c>
      <c r="AH1468">
        <v>116.087</v>
      </c>
      <c r="AI1468" t="s">
        <v>27</v>
      </c>
      <c r="AJ1468">
        <v>935</v>
      </c>
      <c r="AK1468">
        <v>672.5</v>
      </c>
      <c r="AL1468">
        <v>2667.5</v>
      </c>
      <c r="AM1468">
        <v>22.5</v>
      </c>
      <c r="AN1468">
        <v>62.5</v>
      </c>
      <c r="AO1468">
        <v>0</v>
      </c>
      <c r="AP1468">
        <v>12.5</v>
      </c>
      <c r="AQ1468">
        <v>5</v>
      </c>
      <c r="AR1468">
        <v>32.5</v>
      </c>
      <c r="AS1468">
        <v>37.5</v>
      </c>
      <c r="AT1468">
        <v>4447.5</v>
      </c>
      <c r="AU1468" t="s">
        <v>35</v>
      </c>
    </row>
    <row r="1469" spans="1:47" x14ac:dyDescent="0.2">
      <c r="A1469">
        <v>2221</v>
      </c>
      <c r="B1469" t="s">
        <v>830</v>
      </c>
      <c r="C1469">
        <v>23</v>
      </c>
      <c r="D1469" t="s">
        <v>839</v>
      </c>
      <c r="G1469" t="str">
        <f t="shared" si="22"/>
        <v>AMBON201523ML6.7</v>
      </c>
      <c r="H1469">
        <v>70.843999999999994</v>
      </c>
      <c r="I1469">
        <v>-161.53800000000001</v>
      </c>
      <c r="J1469" s="3">
        <v>20150816</v>
      </c>
      <c r="K1469">
        <v>2015</v>
      </c>
      <c r="L1469">
        <v>3.8900800000000002</v>
      </c>
      <c r="M1469">
        <v>3.3016000000000001</v>
      </c>
      <c r="N1469">
        <v>0.94874000000000003</v>
      </c>
      <c r="O1469">
        <v>0.99863999999999997</v>
      </c>
      <c r="P1469">
        <v>3.0599999999999998E-3</v>
      </c>
      <c r="Q1469">
        <v>0</v>
      </c>
      <c r="R1469">
        <v>3.3275600000000001</v>
      </c>
      <c r="S1469">
        <v>1.75406</v>
      </c>
      <c r="T1469">
        <v>6.9750000000000006E-2</v>
      </c>
      <c r="U1469">
        <v>2.1610900000000002</v>
      </c>
      <c r="V1469">
        <v>16.45458</v>
      </c>
      <c r="W1469" t="s">
        <v>9</v>
      </c>
      <c r="X1469">
        <v>56.942</v>
      </c>
      <c r="Y1469">
        <v>186.35</v>
      </c>
      <c r="Z1469">
        <v>13.391999999999999</v>
      </c>
      <c r="AA1469">
        <v>22.192</v>
      </c>
      <c r="AB1469">
        <v>0.219</v>
      </c>
      <c r="AC1469">
        <v>0</v>
      </c>
      <c r="AD1469">
        <v>65.391000000000005</v>
      </c>
      <c r="AE1469">
        <v>97.364000000000004</v>
      </c>
      <c r="AF1469">
        <v>0.75</v>
      </c>
      <c r="AG1469">
        <v>94.974000000000004</v>
      </c>
      <c r="AH1469">
        <v>537.57399999999996</v>
      </c>
      <c r="AI1469" t="s">
        <v>22</v>
      </c>
      <c r="AJ1469">
        <v>2067.5</v>
      </c>
      <c r="AK1469">
        <v>947.5</v>
      </c>
      <c r="AL1469">
        <v>2430</v>
      </c>
      <c r="AM1469">
        <v>47.5</v>
      </c>
      <c r="AN1469">
        <v>35</v>
      </c>
      <c r="AO1469">
        <v>0</v>
      </c>
      <c r="AP1469">
        <v>12.5</v>
      </c>
      <c r="AQ1469">
        <v>22.5</v>
      </c>
      <c r="AR1469">
        <v>25</v>
      </c>
      <c r="AS1469">
        <v>35</v>
      </c>
      <c r="AT1469">
        <v>5622.5</v>
      </c>
      <c r="AU1469" t="s">
        <v>35</v>
      </c>
    </row>
    <row r="1470" spans="1:47" x14ac:dyDescent="0.2">
      <c r="A1470">
        <v>2222</v>
      </c>
      <c r="B1470" t="s">
        <v>830</v>
      </c>
      <c r="C1470">
        <v>24</v>
      </c>
      <c r="D1470" t="s">
        <v>840</v>
      </c>
      <c r="G1470" t="str">
        <f t="shared" si="22"/>
        <v>AMBON201524ML6.8</v>
      </c>
      <c r="H1470">
        <v>70.959999999999994</v>
      </c>
      <c r="I1470">
        <v>-161.13800000000001</v>
      </c>
      <c r="J1470" s="3">
        <v>20150816</v>
      </c>
      <c r="K1470">
        <v>2015</v>
      </c>
      <c r="L1470">
        <v>1.6486400000000001</v>
      </c>
      <c r="M1470">
        <v>4.2432600000000003</v>
      </c>
      <c r="N1470">
        <v>2.9773999999999998</v>
      </c>
      <c r="O1470">
        <v>2.4760000000000001E-2</v>
      </c>
      <c r="P1470">
        <v>1.7569999999999999E-2</v>
      </c>
      <c r="Q1470">
        <v>0</v>
      </c>
      <c r="R1470">
        <v>0</v>
      </c>
      <c r="S1470">
        <v>0.21542</v>
      </c>
      <c r="T1470">
        <v>0</v>
      </c>
      <c r="U1470">
        <v>4.3299999999999996E-3</v>
      </c>
      <c r="V1470">
        <v>9.1313800000000001</v>
      </c>
      <c r="W1470" t="s">
        <v>10</v>
      </c>
      <c r="X1470">
        <v>23.853000000000002</v>
      </c>
      <c r="Y1470">
        <v>200.84</v>
      </c>
      <c r="Z1470">
        <v>41.259</v>
      </c>
      <c r="AA1470">
        <v>0.55000000000000004</v>
      </c>
      <c r="AB1470">
        <v>1.2549999999999999</v>
      </c>
      <c r="AC1470">
        <v>0</v>
      </c>
      <c r="AD1470">
        <v>0</v>
      </c>
      <c r="AE1470">
        <v>13.603</v>
      </c>
      <c r="AF1470">
        <v>0</v>
      </c>
      <c r="AG1470">
        <v>0.219</v>
      </c>
      <c r="AH1470">
        <v>281.57900000000001</v>
      </c>
      <c r="AI1470" t="s">
        <v>22</v>
      </c>
      <c r="AJ1470">
        <v>1300</v>
      </c>
      <c r="AK1470">
        <v>630</v>
      </c>
      <c r="AL1470">
        <v>3950</v>
      </c>
      <c r="AM1470">
        <v>30</v>
      </c>
      <c r="AN1470">
        <v>50</v>
      </c>
      <c r="AO1470">
        <v>0</v>
      </c>
      <c r="AP1470">
        <v>0</v>
      </c>
      <c r="AQ1470">
        <v>60</v>
      </c>
      <c r="AR1470">
        <v>0</v>
      </c>
      <c r="AS1470">
        <v>30</v>
      </c>
      <c r="AT1470">
        <v>6050</v>
      </c>
      <c r="AU1470" t="s">
        <v>35</v>
      </c>
    </row>
    <row r="1471" spans="1:47" x14ac:dyDescent="0.2">
      <c r="A1471">
        <v>2223</v>
      </c>
      <c r="B1471" t="s">
        <v>830</v>
      </c>
      <c r="C1471">
        <v>25</v>
      </c>
      <c r="D1471" t="s">
        <v>841</v>
      </c>
      <c r="G1471" t="str">
        <f t="shared" si="22"/>
        <v>AMBON201525ML6.9</v>
      </c>
      <c r="H1471">
        <v>71.075000000000003</v>
      </c>
      <c r="I1471">
        <v>-160.73500000000001</v>
      </c>
      <c r="J1471" s="3">
        <v>20150816</v>
      </c>
      <c r="K1471">
        <v>2015</v>
      </c>
      <c r="L1471">
        <v>4.7883800000000001</v>
      </c>
      <c r="M1471">
        <v>3.6766999999999999</v>
      </c>
      <c r="N1471">
        <v>1.66276</v>
      </c>
      <c r="O1471">
        <v>2.8670000000000001E-2</v>
      </c>
      <c r="P1471">
        <v>0</v>
      </c>
      <c r="Q1471">
        <v>0</v>
      </c>
      <c r="R1471">
        <v>1.07494</v>
      </c>
      <c r="S1471">
        <v>0.1356</v>
      </c>
      <c r="T1471">
        <v>9.11E-3</v>
      </c>
      <c r="U1471">
        <v>9.6734299999999998</v>
      </c>
      <c r="V1471">
        <v>21.049589999999998</v>
      </c>
      <c r="W1471" t="s">
        <v>18</v>
      </c>
      <c r="X1471">
        <v>67.444999999999993</v>
      </c>
      <c r="Y1471">
        <v>219.95500000000001</v>
      </c>
      <c r="Z1471">
        <v>24.183</v>
      </c>
      <c r="AA1471">
        <v>0.63700000000000001</v>
      </c>
      <c r="AB1471">
        <v>0</v>
      </c>
      <c r="AC1471">
        <v>0</v>
      </c>
      <c r="AD1471">
        <v>17.622</v>
      </c>
      <c r="AE1471">
        <v>9.6859999999999999</v>
      </c>
      <c r="AF1471">
        <v>9.8000000000000004E-2</v>
      </c>
      <c r="AG1471">
        <v>271.13499999999999</v>
      </c>
      <c r="AH1471">
        <v>610.76099999999997</v>
      </c>
      <c r="AI1471" t="s">
        <v>30</v>
      </c>
      <c r="AJ1471">
        <v>1620</v>
      </c>
      <c r="AK1471">
        <v>760</v>
      </c>
      <c r="AL1471">
        <v>4830</v>
      </c>
      <c r="AM1471">
        <v>70</v>
      </c>
      <c r="AN1471">
        <v>0</v>
      </c>
      <c r="AO1471">
        <v>0</v>
      </c>
      <c r="AP1471">
        <v>30</v>
      </c>
      <c r="AQ1471">
        <v>10</v>
      </c>
      <c r="AR1471">
        <v>40</v>
      </c>
      <c r="AS1471">
        <v>50</v>
      </c>
      <c r="AT1471">
        <v>7410</v>
      </c>
      <c r="AU1471" t="s">
        <v>35</v>
      </c>
    </row>
    <row r="1472" spans="1:47" x14ac:dyDescent="0.2">
      <c r="A1472">
        <v>2224</v>
      </c>
      <c r="B1472" t="s">
        <v>830</v>
      </c>
      <c r="C1472">
        <v>26</v>
      </c>
      <c r="D1472" t="s">
        <v>842</v>
      </c>
      <c r="G1472" t="str">
        <f t="shared" si="22"/>
        <v>AMBON201526ML4.1</v>
      </c>
      <c r="H1472">
        <v>70.891999999999996</v>
      </c>
      <c r="I1472">
        <v>-159.393</v>
      </c>
      <c r="J1472" s="3">
        <v>20150819</v>
      </c>
      <c r="K1472">
        <v>2015</v>
      </c>
      <c r="L1472">
        <v>0.20455999999999999</v>
      </c>
      <c r="M1472">
        <v>7.4700000000000001E-3</v>
      </c>
      <c r="N1472">
        <v>0.15085999999999999</v>
      </c>
      <c r="O1472">
        <v>2.5200000000000001E-3</v>
      </c>
      <c r="P1472">
        <v>1.2899999999999999E-3</v>
      </c>
      <c r="Q1472">
        <v>0</v>
      </c>
      <c r="R1472">
        <v>35.960740000000001</v>
      </c>
      <c r="S1472">
        <v>0</v>
      </c>
      <c r="T1472">
        <v>0</v>
      </c>
      <c r="U1472">
        <v>0</v>
      </c>
      <c r="V1472">
        <v>36.327440000000003</v>
      </c>
      <c r="W1472" t="s">
        <v>15</v>
      </c>
      <c r="X1472">
        <v>2.8980000000000001</v>
      </c>
      <c r="Y1472">
        <v>0.26700000000000002</v>
      </c>
      <c r="Z1472">
        <v>2.0449999999999999</v>
      </c>
      <c r="AA1472">
        <v>5.6000000000000001E-2</v>
      </c>
      <c r="AB1472">
        <v>9.1999999999999998E-2</v>
      </c>
      <c r="AC1472">
        <v>0</v>
      </c>
      <c r="AD1472">
        <v>879.94</v>
      </c>
      <c r="AE1472">
        <v>0</v>
      </c>
      <c r="AF1472">
        <v>0</v>
      </c>
      <c r="AG1472">
        <v>0</v>
      </c>
      <c r="AH1472">
        <v>885.298</v>
      </c>
      <c r="AI1472" t="s">
        <v>27</v>
      </c>
      <c r="AJ1472">
        <v>360</v>
      </c>
      <c r="AK1472">
        <v>40</v>
      </c>
      <c r="AL1472">
        <v>740</v>
      </c>
      <c r="AM1472">
        <v>10</v>
      </c>
      <c r="AN1472">
        <v>10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1160</v>
      </c>
      <c r="AU1472" t="s">
        <v>35</v>
      </c>
    </row>
    <row r="1473" spans="1:47" x14ac:dyDescent="0.2">
      <c r="A1473">
        <v>2225</v>
      </c>
      <c r="B1473" t="s">
        <v>830</v>
      </c>
      <c r="C1473">
        <v>27</v>
      </c>
      <c r="D1473" t="s">
        <v>843</v>
      </c>
      <c r="G1473" t="str">
        <f t="shared" si="22"/>
        <v>AMBON201527ML4.2</v>
      </c>
      <c r="H1473">
        <v>70.932000000000002</v>
      </c>
      <c r="I1473">
        <v>-159.50399999999999</v>
      </c>
      <c r="J1473" s="3">
        <v>20150819</v>
      </c>
      <c r="K1473">
        <v>2015</v>
      </c>
      <c r="L1473">
        <v>1.66591</v>
      </c>
      <c r="M1473">
        <v>0.24501999999999999</v>
      </c>
      <c r="N1473">
        <v>0.5423</v>
      </c>
      <c r="O1473">
        <v>0.89195000000000002</v>
      </c>
      <c r="P1473">
        <v>0.17774999999999999</v>
      </c>
      <c r="Q1473">
        <v>0.14735000000000001</v>
      </c>
      <c r="R1473">
        <v>0.31969999999999998</v>
      </c>
      <c r="S1473">
        <v>2.4599999999999999E-3</v>
      </c>
      <c r="T1473">
        <v>0</v>
      </c>
      <c r="U1473">
        <v>8.9413400000000003</v>
      </c>
      <c r="V1473">
        <v>12.93378</v>
      </c>
      <c r="W1473" t="s">
        <v>18</v>
      </c>
      <c r="X1473">
        <v>23.562000000000001</v>
      </c>
      <c r="Y1473">
        <v>10.494</v>
      </c>
      <c r="Z1473">
        <v>7.335</v>
      </c>
      <c r="AA1473">
        <v>19.821000000000002</v>
      </c>
      <c r="AB1473">
        <v>12.696</v>
      </c>
      <c r="AC1473">
        <v>13.395</v>
      </c>
      <c r="AD1473">
        <v>5.2409999999999997</v>
      </c>
      <c r="AE1473">
        <v>0.06</v>
      </c>
      <c r="AF1473">
        <v>0</v>
      </c>
      <c r="AG1473">
        <v>384.18700000000001</v>
      </c>
      <c r="AH1473">
        <v>476.791</v>
      </c>
      <c r="AI1473" t="s">
        <v>30</v>
      </c>
      <c r="AJ1473">
        <v>1750</v>
      </c>
      <c r="AK1473">
        <v>292.5</v>
      </c>
      <c r="AL1473">
        <v>1037.5</v>
      </c>
      <c r="AM1473">
        <v>2.5</v>
      </c>
      <c r="AN1473">
        <v>522.5</v>
      </c>
      <c r="AO1473">
        <v>5</v>
      </c>
      <c r="AP1473">
        <v>0</v>
      </c>
      <c r="AQ1473">
        <v>5</v>
      </c>
      <c r="AR1473">
        <v>0</v>
      </c>
      <c r="AS1473">
        <v>100</v>
      </c>
      <c r="AT1473">
        <v>3715</v>
      </c>
      <c r="AU1473" t="s">
        <v>33</v>
      </c>
    </row>
    <row r="1474" spans="1:47" x14ac:dyDescent="0.2">
      <c r="A1474">
        <v>2226</v>
      </c>
      <c r="B1474" t="s">
        <v>830</v>
      </c>
      <c r="C1474">
        <v>28</v>
      </c>
      <c r="D1474" t="s">
        <v>844</v>
      </c>
      <c r="G1474" t="str">
        <f t="shared" si="22"/>
        <v>AMBON201528ML4.3</v>
      </c>
      <c r="H1474">
        <v>71.063000000000002</v>
      </c>
      <c r="I1474">
        <v>-159.88200000000001</v>
      </c>
      <c r="J1474" s="3">
        <v>20150819</v>
      </c>
      <c r="K1474">
        <v>2015</v>
      </c>
      <c r="L1474">
        <v>2.22675</v>
      </c>
      <c r="M1474">
        <v>4.0320000000000002E-2</v>
      </c>
      <c r="N1474">
        <v>0.50800000000000001</v>
      </c>
      <c r="O1474">
        <v>0</v>
      </c>
      <c r="P1474">
        <v>4.4000000000000003E-3</v>
      </c>
      <c r="Q1474">
        <v>0</v>
      </c>
      <c r="R1474">
        <v>3.1055100000000002</v>
      </c>
      <c r="S1474">
        <v>0</v>
      </c>
      <c r="T1474">
        <v>4.7890000000000002E-2</v>
      </c>
      <c r="U1474">
        <v>3.4298299999999999</v>
      </c>
      <c r="V1474">
        <v>9.3627000000000002</v>
      </c>
      <c r="W1474" t="s">
        <v>18</v>
      </c>
      <c r="X1474">
        <v>31.92</v>
      </c>
      <c r="Y1474">
        <v>1.462</v>
      </c>
      <c r="Z1474">
        <v>7.1829999999999998</v>
      </c>
      <c r="AA1474">
        <v>0</v>
      </c>
      <c r="AB1474">
        <v>0.314</v>
      </c>
      <c r="AC1474">
        <v>0</v>
      </c>
      <c r="AD1474">
        <v>50.91</v>
      </c>
      <c r="AE1474">
        <v>0</v>
      </c>
      <c r="AF1474">
        <v>0.51500000000000001</v>
      </c>
      <c r="AG1474">
        <v>146.80600000000001</v>
      </c>
      <c r="AH1474">
        <v>239.11</v>
      </c>
      <c r="AI1474" t="s">
        <v>30</v>
      </c>
      <c r="AJ1474">
        <v>770</v>
      </c>
      <c r="AK1474">
        <v>290</v>
      </c>
      <c r="AL1474">
        <v>730</v>
      </c>
      <c r="AM1474">
        <v>0</v>
      </c>
      <c r="AN1474">
        <v>10</v>
      </c>
      <c r="AO1474">
        <v>0</v>
      </c>
      <c r="AP1474">
        <v>0</v>
      </c>
      <c r="AQ1474">
        <v>0</v>
      </c>
      <c r="AR1474">
        <v>20</v>
      </c>
      <c r="AS1474">
        <v>80</v>
      </c>
      <c r="AT1474">
        <v>1900</v>
      </c>
      <c r="AU1474" t="s">
        <v>33</v>
      </c>
    </row>
    <row r="1475" spans="1:47" x14ac:dyDescent="0.2">
      <c r="A1475">
        <v>2227</v>
      </c>
      <c r="B1475" t="s">
        <v>830</v>
      </c>
      <c r="C1475">
        <v>29</v>
      </c>
      <c r="D1475" t="s">
        <v>845</v>
      </c>
      <c r="E1475" s="3" t="s">
        <v>938</v>
      </c>
      <c r="F1475" s="4" t="s">
        <v>845</v>
      </c>
      <c r="G1475" t="str">
        <f t="shared" ref="G1475:G1538" si="23">CONCATENATE(B1475,C1475,D1475)</f>
        <v>AMBON201529DBO4.1n</v>
      </c>
      <c r="H1475">
        <v>71.192999999999998</v>
      </c>
      <c r="I1475">
        <v>-160.27000000000001</v>
      </c>
      <c r="J1475" s="3">
        <v>20150819</v>
      </c>
      <c r="K1475">
        <v>2015</v>
      </c>
      <c r="L1475">
        <v>16.073869999999999</v>
      </c>
      <c r="M1475">
        <v>4.7562699999999998</v>
      </c>
      <c r="N1475">
        <v>4.0045400000000004</v>
      </c>
      <c r="O1475">
        <v>1.18791</v>
      </c>
      <c r="P1475">
        <v>0.16682</v>
      </c>
      <c r="Q1475">
        <v>1.0000000000000001E-5</v>
      </c>
      <c r="R1475">
        <v>4.8999999999999998E-4</v>
      </c>
      <c r="S1475">
        <v>0.44148999999999999</v>
      </c>
      <c r="T1475">
        <v>0.31025000000000003</v>
      </c>
      <c r="U1475">
        <v>2.4379999999999999E-2</v>
      </c>
      <c r="V1475">
        <v>26.96603</v>
      </c>
      <c r="W1475" t="s">
        <v>9</v>
      </c>
      <c r="X1475">
        <v>227.01900000000001</v>
      </c>
      <c r="Y1475">
        <v>286.87200000000001</v>
      </c>
      <c r="Z1475">
        <v>57.857999999999997</v>
      </c>
      <c r="AA1475">
        <v>26.398</v>
      </c>
      <c r="AB1475">
        <v>11.916</v>
      </c>
      <c r="AC1475">
        <v>1E-3</v>
      </c>
      <c r="AD1475">
        <v>8.0000000000000002E-3</v>
      </c>
      <c r="AE1475">
        <v>31.535</v>
      </c>
      <c r="AF1475">
        <v>3.3359999999999999</v>
      </c>
      <c r="AG1475">
        <v>0.58099999999999996</v>
      </c>
      <c r="AH1475">
        <v>645.524</v>
      </c>
      <c r="AI1475" t="s">
        <v>22</v>
      </c>
      <c r="AJ1475">
        <v>14945</v>
      </c>
      <c r="AK1475">
        <v>542.5</v>
      </c>
      <c r="AL1475">
        <v>10555</v>
      </c>
      <c r="AM1475">
        <v>100</v>
      </c>
      <c r="AN1475">
        <v>110</v>
      </c>
      <c r="AO1475">
        <v>2.5</v>
      </c>
      <c r="AP1475">
        <v>2.5</v>
      </c>
      <c r="AQ1475">
        <v>22.5</v>
      </c>
      <c r="AR1475">
        <v>165</v>
      </c>
      <c r="AS1475">
        <v>105</v>
      </c>
      <c r="AT1475">
        <v>26550</v>
      </c>
      <c r="AU1475" t="s">
        <v>33</v>
      </c>
    </row>
    <row r="1476" spans="1:47" x14ac:dyDescent="0.2">
      <c r="A1476">
        <v>2228</v>
      </c>
      <c r="B1476" t="s">
        <v>830</v>
      </c>
      <c r="C1476">
        <v>30</v>
      </c>
      <c r="D1476" t="s">
        <v>846</v>
      </c>
      <c r="G1476" t="str">
        <f t="shared" si="23"/>
        <v>AMBON201530ML6.11</v>
      </c>
      <c r="H1476">
        <v>71.361000000000004</v>
      </c>
      <c r="I1476">
        <v>-159.69300000000001</v>
      </c>
      <c r="J1476" s="3">
        <v>20150819</v>
      </c>
      <c r="K1476">
        <v>2015</v>
      </c>
      <c r="L1476">
        <v>5.1765600000000003</v>
      </c>
      <c r="M1476">
        <v>3.4092799999999999</v>
      </c>
      <c r="N1476">
        <v>1.48539</v>
      </c>
      <c r="O1476">
        <v>1.0790599999999999</v>
      </c>
      <c r="P1476">
        <v>0.36057</v>
      </c>
      <c r="Q1476">
        <v>0</v>
      </c>
      <c r="R1476">
        <v>0.56315000000000004</v>
      </c>
      <c r="S1476">
        <v>0.30951000000000001</v>
      </c>
      <c r="T1476">
        <v>8.4440000000000001E-2</v>
      </c>
      <c r="U1476">
        <v>0.37303999999999998</v>
      </c>
      <c r="V1476">
        <v>12.840999999999999</v>
      </c>
      <c r="W1476" t="s">
        <v>9</v>
      </c>
      <c r="X1476">
        <v>71.765000000000001</v>
      </c>
      <c r="Y1476">
        <v>126.26300000000001</v>
      </c>
      <c r="Z1476">
        <v>21.506</v>
      </c>
      <c r="AA1476">
        <v>23.978999999999999</v>
      </c>
      <c r="AB1476">
        <v>25.754999999999999</v>
      </c>
      <c r="AC1476">
        <v>0</v>
      </c>
      <c r="AD1476">
        <v>9.4109999999999996</v>
      </c>
      <c r="AE1476">
        <v>15.837</v>
      </c>
      <c r="AF1476">
        <v>0.90800000000000003</v>
      </c>
      <c r="AG1476">
        <v>21.765999999999998</v>
      </c>
      <c r="AH1476">
        <v>317.19</v>
      </c>
      <c r="AI1476" t="s">
        <v>22</v>
      </c>
      <c r="AJ1476">
        <v>2535</v>
      </c>
      <c r="AK1476">
        <v>780</v>
      </c>
      <c r="AL1476">
        <v>1337.5</v>
      </c>
      <c r="AM1476">
        <v>40</v>
      </c>
      <c r="AN1476">
        <v>37.5</v>
      </c>
      <c r="AO1476">
        <v>0</v>
      </c>
      <c r="AP1476">
        <v>12.5</v>
      </c>
      <c r="AQ1476">
        <v>35</v>
      </c>
      <c r="AR1476">
        <v>32.5</v>
      </c>
      <c r="AS1476">
        <v>175</v>
      </c>
      <c r="AT1476">
        <v>4985</v>
      </c>
      <c r="AU1476" t="s">
        <v>33</v>
      </c>
    </row>
    <row r="1477" spans="1:47" x14ac:dyDescent="0.2">
      <c r="A1477">
        <v>2229</v>
      </c>
      <c r="B1477" t="s">
        <v>830</v>
      </c>
      <c r="C1477">
        <v>31</v>
      </c>
      <c r="D1477" t="s">
        <v>847</v>
      </c>
      <c r="E1477" s="3" t="s">
        <v>939</v>
      </c>
      <c r="F1477" s="4" t="s">
        <v>847</v>
      </c>
      <c r="G1477" t="str">
        <f t="shared" si="23"/>
        <v>AMBON201531DBO4.2n</v>
      </c>
      <c r="H1477">
        <v>71.323999999999998</v>
      </c>
      <c r="I1477">
        <v>-160.65600000000001</v>
      </c>
      <c r="J1477" s="3">
        <v>20150820</v>
      </c>
      <c r="K1477">
        <v>2015</v>
      </c>
      <c r="L1477">
        <v>3.2097000000000002</v>
      </c>
      <c r="M1477">
        <v>11.50836</v>
      </c>
      <c r="N1477">
        <v>2.9260799999999998</v>
      </c>
      <c r="O1477">
        <v>3.2967900000000001</v>
      </c>
      <c r="P1477">
        <v>0.77332999999999996</v>
      </c>
      <c r="Q1477">
        <v>0</v>
      </c>
      <c r="R1477">
        <v>8.7200000000000003E-3</v>
      </c>
      <c r="S1477">
        <v>0.23916000000000001</v>
      </c>
      <c r="T1477">
        <v>2.9266200000000002</v>
      </c>
      <c r="U1477">
        <v>0.30841000000000002</v>
      </c>
      <c r="V1477">
        <v>25.19717</v>
      </c>
      <c r="W1477" t="s">
        <v>10</v>
      </c>
      <c r="X1477">
        <v>45.33</v>
      </c>
      <c r="Y1477">
        <v>401.69200000000001</v>
      </c>
      <c r="Z1477">
        <v>42.896000000000001</v>
      </c>
      <c r="AA1477">
        <v>73.262</v>
      </c>
      <c r="AB1477">
        <v>55.238</v>
      </c>
      <c r="AC1477">
        <v>0</v>
      </c>
      <c r="AD1477">
        <v>0.14299999999999999</v>
      </c>
      <c r="AE1477">
        <v>14.631</v>
      </c>
      <c r="AF1477">
        <v>31.469000000000001</v>
      </c>
      <c r="AG1477">
        <v>8.2579999999999991</v>
      </c>
      <c r="AH1477">
        <v>672.91899999999998</v>
      </c>
      <c r="AI1477" t="s">
        <v>22</v>
      </c>
      <c r="AJ1477">
        <v>2672.5</v>
      </c>
      <c r="AK1477">
        <v>1935</v>
      </c>
      <c r="AL1477">
        <v>1077.5</v>
      </c>
      <c r="AM1477">
        <v>40</v>
      </c>
      <c r="AN1477">
        <v>42.5</v>
      </c>
      <c r="AO1477">
        <v>0</v>
      </c>
      <c r="AP1477">
        <v>0</v>
      </c>
      <c r="AQ1477">
        <v>12.5</v>
      </c>
      <c r="AR1477">
        <v>30</v>
      </c>
      <c r="AS1477">
        <v>185</v>
      </c>
      <c r="AT1477">
        <v>5995</v>
      </c>
      <c r="AU1477" t="s">
        <v>33</v>
      </c>
    </row>
    <row r="1478" spans="1:47" x14ac:dyDescent="0.2">
      <c r="A1478">
        <v>2230</v>
      </c>
      <c r="B1478" t="s">
        <v>830</v>
      </c>
      <c r="C1478">
        <v>32</v>
      </c>
      <c r="D1478" t="s">
        <v>848</v>
      </c>
      <c r="E1478" s="3" t="s">
        <v>940</v>
      </c>
      <c r="F1478" s="4" t="s">
        <v>848</v>
      </c>
      <c r="G1478" t="str">
        <f t="shared" si="23"/>
        <v>AMBON201532DBO4.3n</v>
      </c>
      <c r="H1478">
        <v>71.454999999999998</v>
      </c>
      <c r="I1478">
        <v>-161.03800000000001</v>
      </c>
      <c r="J1478" s="3">
        <v>20150820</v>
      </c>
      <c r="K1478">
        <v>2015</v>
      </c>
      <c r="L1478">
        <v>1.90489</v>
      </c>
      <c r="M1478">
        <v>10.769299999999999</v>
      </c>
      <c r="N1478">
        <v>0.13702</v>
      </c>
      <c r="O1478">
        <v>5.0000000000000002E-5</v>
      </c>
      <c r="P1478">
        <v>2.0930000000000001E-2</v>
      </c>
      <c r="Q1478">
        <v>0</v>
      </c>
      <c r="R1478">
        <v>3.6600000000000001E-3</v>
      </c>
      <c r="S1478">
        <v>0</v>
      </c>
      <c r="T1478">
        <v>0.64151000000000002</v>
      </c>
      <c r="U1478">
        <v>7.8899999999999998E-2</v>
      </c>
      <c r="V1478">
        <v>13.55626</v>
      </c>
      <c r="W1478" t="s">
        <v>10</v>
      </c>
      <c r="X1478">
        <v>27.939</v>
      </c>
      <c r="Y1478">
        <v>309.07799999999997</v>
      </c>
      <c r="Z1478">
        <v>1.9710000000000001</v>
      </c>
      <c r="AA1478">
        <v>1E-3</v>
      </c>
      <c r="AB1478">
        <v>1.4950000000000001</v>
      </c>
      <c r="AC1478">
        <v>0</v>
      </c>
      <c r="AD1478">
        <v>0.06</v>
      </c>
      <c r="AE1478">
        <v>0</v>
      </c>
      <c r="AF1478">
        <v>6.8979999999999997</v>
      </c>
      <c r="AG1478">
        <v>2.7360000000000002</v>
      </c>
      <c r="AH1478">
        <v>350.178</v>
      </c>
      <c r="AI1478" t="s">
        <v>22</v>
      </c>
      <c r="AJ1478">
        <v>3407.5</v>
      </c>
      <c r="AK1478">
        <v>1392.5</v>
      </c>
      <c r="AL1478">
        <v>207.5</v>
      </c>
      <c r="AM1478">
        <v>2.5</v>
      </c>
      <c r="AN1478">
        <v>10</v>
      </c>
      <c r="AO1478">
        <v>0</v>
      </c>
      <c r="AP1478">
        <v>5</v>
      </c>
      <c r="AQ1478">
        <v>0</v>
      </c>
      <c r="AR1478">
        <v>30</v>
      </c>
      <c r="AS1478">
        <v>80</v>
      </c>
      <c r="AT1478">
        <v>5135</v>
      </c>
      <c r="AU1478" t="s">
        <v>33</v>
      </c>
    </row>
    <row r="1479" spans="1:47" x14ac:dyDescent="0.2">
      <c r="A1479">
        <v>2231</v>
      </c>
      <c r="B1479" t="s">
        <v>830</v>
      </c>
      <c r="C1479">
        <v>33</v>
      </c>
      <c r="D1479" t="s">
        <v>849</v>
      </c>
      <c r="E1479" s="3" t="s">
        <v>941</v>
      </c>
      <c r="F1479" s="4" t="s">
        <v>849</v>
      </c>
      <c r="G1479" t="str">
        <f t="shared" si="23"/>
        <v>AMBON201533DBO4.4n</v>
      </c>
      <c r="H1479">
        <v>71.587999999999994</v>
      </c>
      <c r="I1479">
        <v>-161.40100000000001</v>
      </c>
      <c r="J1479" s="3">
        <v>20150820</v>
      </c>
      <c r="K1479">
        <v>2015</v>
      </c>
      <c r="L1479">
        <v>2.4866000000000001</v>
      </c>
      <c r="M1479">
        <v>16.840579999999999</v>
      </c>
      <c r="N1479">
        <v>2.8199999999999999E-2</v>
      </c>
      <c r="O1479">
        <v>0.20363000000000001</v>
      </c>
      <c r="P1479">
        <v>0.26637</v>
      </c>
      <c r="Q1479">
        <v>0</v>
      </c>
      <c r="R1479">
        <v>0.18110999999999999</v>
      </c>
      <c r="S1479">
        <v>0.27660000000000001</v>
      </c>
      <c r="T1479">
        <v>4.3208700000000002</v>
      </c>
      <c r="U1479">
        <v>0.18362999999999999</v>
      </c>
      <c r="V1479">
        <v>24.787590000000002</v>
      </c>
      <c r="W1479" t="s">
        <v>10</v>
      </c>
      <c r="X1479">
        <v>39.344000000000001</v>
      </c>
      <c r="Y1479">
        <v>538.64300000000003</v>
      </c>
      <c r="Z1479">
        <v>0.377</v>
      </c>
      <c r="AA1479">
        <v>4.5250000000000004</v>
      </c>
      <c r="AB1479">
        <v>19.026</v>
      </c>
      <c r="AC1479">
        <v>0</v>
      </c>
      <c r="AD1479">
        <v>2.9689999999999999</v>
      </c>
      <c r="AE1479">
        <v>19.757000000000001</v>
      </c>
      <c r="AF1479">
        <v>46.460999999999999</v>
      </c>
      <c r="AG1479">
        <v>5.2720000000000002</v>
      </c>
      <c r="AH1479">
        <v>676.37400000000002</v>
      </c>
      <c r="AI1479" t="s">
        <v>22</v>
      </c>
      <c r="AJ1479">
        <v>2952.5</v>
      </c>
      <c r="AK1479">
        <v>2222.5</v>
      </c>
      <c r="AL1479">
        <v>120</v>
      </c>
      <c r="AM1479">
        <v>25</v>
      </c>
      <c r="AN1479">
        <v>30</v>
      </c>
      <c r="AO1479">
        <v>0</v>
      </c>
      <c r="AP1479">
        <v>7.5</v>
      </c>
      <c r="AQ1479">
        <v>20</v>
      </c>
      <c r="AR1479">
        <v>57.5</v>
      </c>
      <c r="AS1479">
        <v>110</v>
      </c>
      <c r="AT1479">
        <v>5545</v>
      </c>
      <c r="AU1479" t="s">
        <v>33</v>
      </c>
    </row>
    <row r="1480" spans="1:47" x14ac:dyDescent="0.2">
      <c r="A1480">
        <v>2232</v>
      </c>
      <c r="B1480" t="s">
        <v>830</v>
      </c>
      <c r="C1480">
        <v>35</v>
      </c>
      <c r="D1480" t="s">
        <v>850</v>
      </c>
      <c r="E1480" s="3" t="s">
        <v>942</v>
      </c>
      <c r="F1480" s="4" t="s">
        <v>850</v>
      </c>
      <c r="G1480" t="str">
        <f t="shared" si="23"/>
        <v>AMBON201535DBO4.5n</v>
      </c>
      <c r="H1480">
        <v>71.718999999999994</v>
      </c>
      <c r="I1480">
        <v>-161.773</v>
      </c>
      <c r="J1480" s="3">
        <v>20150821</v>
      </c>
      <c r="K1480">
        <v>2015</v>
      </c>
      <c r="L1480">
        <v>2.9975800000000001</v>
      </c>
      <c r="M1480">
        <v>20.64837</v>
      </c>
      <c r="N1480">
        <v>0.31125000000000003</v>
      </c>
      <c r="O1480">
        <v>1.634E-2</v>
      </c>
      <c r="P1480">
        <v>4.8559999999999999E-2</v>
      </c>
      <c r="Q1480">
        <v>0</v>
      </c>
      <c r="R1480">
        <v>3.6600000000000001E-2</v>
      </c>
      <c r="S1480">
        <v>1.3679999999999999E-2</v>
      </c>
      <c r="T1480">
        <v>4.5379999999999997E-2</v>
      </c>
      <c r="U1480">
        <v>6.6030000000000005E-2</v>
      </c>
      <c r="V1480">
        <v>24.183789999999998</v>
      </c>
      <c r="W1480" t="s">
        <v>10</v>
      </c>
      <c r="X1480">
        <v>41.26</v>
      </c>
      <c r="Y1480">
        <v>599.94799999999998</v>
      </c>
      <c r="Z1480">
        <v>4.5510000000000002</v>
      </c>
      <c r="AA1480">
        <v>0.36299999999999999</v>
      </c>
      <c r="AB1480">
        <v>3.4689999999999999</v>
      </c>
      <c r="AC1480">
        <v>0</v>
      </c>
      <c r="AD1480">
        <v>0.6</v>
      </c>
      <c r="AE1480">
        <v>0.97699999999999998</v>
      </c>
      <c r="AF1480">
        <v>0.48799999999999999</v>
      </c>
      <c r="AG1480">
        <v>1.3220000000000001</v>
      </c>
      <c r="AH1480">
        <v>652.97799999999995</v>
      </c>
      <c r="AI1480" t="s">
        <v>22</v>
      </c>
      <c r="AJ1480">
        <v>2012.5</v>
      </c>
      <c r="AK1480">
        <v>1582.5</v>
      </c>
      <c r="AL1480">
        <v>137.5</v>
      </c>
      <c r="AM1480">
        <v>5</v>
      </c>
      <c r="AN1480">
        <v>10</v>
      </c>
      <c r="AO1480">
        <v>0</v>
      </c>
      <c r="AP1480">
        <v>5</v>
      </c>
      <c r="AQ1480">
        <v>2.5</v>
      </c>
      <c r="AR1480">
        <v>25</v>
      </c>
      <c r="AS1480">
        <v>32.5</v>
      </c>
      <c r="AT1480">
        <v>3812.5</v>
      </c>
      <c r="AU1480" t="s">
        <v>33</v>
      </c>
    </row>
    <row r="1481" spans="1:47" x14ac:dyDescent="0.2">
      <c r="A1481">
        <v>2233</v>
      </c>
      <c r="B1481" t="s">
        <v>830</v>
      </c>
      <c r="C1481">
        <v>36</v>
      </c>
      <c r="D1481" t="s">
        <v>851</v>
      </c>
      <c r="E1481" s="3" t="s">
        <v>943</v>
      </c>
      <c r="F1481" s="4" t="s">
        <v>851</v>
      </c>
      <c r="G1481" t="str">
        <f t="shared" si="23"/>
        <v>AMBON201536DBO4.6n</v>
      </c>
      <c r="H1481">
        <v>71.850999999999999</v>
      </c>
      <c r="I1481">
        <v>-162.15799999999999</v>
      </c>
      <c r="J1481" s="3">
        <v>20150821</v>
      </c>
      <c r="K1481">
        <v>2015</v>
      </c>
      <c r="L1481">
        <v>3.1757</v>
      </c>
      <c r="M1481">
        <v>26.171489999999999</v>
      </c>
      <c r="N1481">
        <v>1.1969399999999999</v>
      </c>
      <c r="O1481">
        <v>7.6780000000000001E-2</v>
      </c>
      <c r="P1481">
        <v>4.4999999999999999E-4</v>
      </c>
      <c r="Q1481">
        <v>0</v>
      </c>
      <c r="R1481">
        <v>0.21643000000000001</v>
      </c>
      <c r="S1481">
        <v>0.21004</v>
      </c>
      <c r="T1481">
        <v>0.26793</v>
      </c>
      <c r="U1481">
        <v>0.19566</v>
      </c>
      <c r="V1481">
        <v>31.511420000000001</v>
      </c>
      <c r="W1481" t="s">
        <v>10</v>
      </c>
      <c r="X1481">
        <v>46.198</v>
      </c>
      <c r="Y1481">
        <v>853.70600000000002</v>
      </c>
      <c r="Z1481">
        <v>16.414999999999999</v>
      </c>
      <c r="AA1481">
        <v>1.706</v>
      </c>
      <c r="AB1481">
        <v>3.2000000000000001E-2</v>
      </c>
      <c r="AC1481">
        <v>0</v>
      </c>
      <c r="AD1481">
        <v>3.548</v>
      </c>
      <c r="AE1481">
        <v>15.003</v>
      </c>
      <c r="AF1481">
        <v>2.8809999999999998</v>
      </c>
      <c r="AG1481">
        <v>5.1040000000000001</v>
      </c>
      <c r="AH1481">
        <v>944.59299999999996</v>
      </c>
      <c r="AI1481" t="s">
        <v>22</v>
      </c>
      <c r="AJ1481">
        <v>1842.5</v>
      </c>
      <c r="AK1481">
        <v>2087.5</v>
      </c>
      <c r="AL1481">
        <v>387.5</v>
      </c>
      <c r="AM1481">
        <v>52.5</v>
      </c>
      <c r="AN1481">
        <v>7.5</v>
      </c>
      <c r="AO1481">
        <v>0</v>
      </c>
      <c r="AP1481">
        <v>7.5</v>
      </c>
      <c r="AQ1481">
        <v>12.5</v>
      </c>
      <c r="AR1481">
        <v>30</v>
      </c>
      <c r="AS1481">
        <v>92.5</v>
      </c>
      <c r="AT1481">
        <v>4520</v>
      </c>
      <c r="AU1481" t="s">
        <v>34</v>
      </c>
    </row>
    <row r="1482" spans="1:47" x14ac:dyDescent="0.2">
      <c r="A1482">
        <v>2234</v>
      </c>
      <c r="B1482" t="s">
        <v>830</v>
      </c>
      <c r="C1482">
        <v>37</v>
      </c>
      <c r="D1482" t="s">
        <v>852</v>
      </c>
      <c r="G1482" t="str">
        <f t="shared" si="23"/>
        <v>AMBON201537ML4.10</v>
      </c>
      <c r="H1482">
        <v>71.98</v>
      </c>
      <c r="I1482">
        <v>-162.541</v>
      </c>
      <c r="J1482" s="3">
        <v>20150821</v>
      </c>
      <c r="K1482">
        <v>2015</v>
      </c>
      <c r="L1482">
        <v>1.84155</v>
      </c>
      <c r="M1482">
        <v>6.2902199999999997</v>
      </c>
      <c r="N1482">
        <v>1.83955</v>
      </c>
      <c r="O1482">
        <v>0.59341999999999995</v>
      </c>
      <c r="P1482">
        <v>2.351E-2</v>
      </c>
      <c r="Q1482">
        <v>0</v>
      </c>
      <c r="R1482">
        <v>0.83648999999999996</v>
      </c>
      <c r="S1482">
        <v>0.36781000000000003</v>
      </c>
      <c r="T1482">
        <v>0.17474999999999999</v>
      </c>
      <c r="U1482">
        <v>0.33008999999999999</v>
      </c>
      <c r="V1482">
        <v>12.29739</v>
      </c>
      <c r="W1482" t="s">
        <v>10</v>
      </c>
      <c r="X1482">
        <v>25.806999999999999</v>
      </c>
      <c r="Y1482">
        <v>384.99200000000002</v>
      </c>
      <c r="Z1482">
        <v>25.884</v>
      </c>
      <c r="AA1482">
        <v>13.186999999999999</v>
      </c>
      <c r="AB1482">
        <v>1.679</v>
      </c>
      <c r="AC1482">
        <v>0</v>
      </c>
      <c r="AD1482">
        <v>13.712999999999999</v>
      </c>
      <c r="AE1482">
        <v>14.673</v>
      </c>
      <c r="AF1482">
        <v>1.879</v>
      </c>
      <c r="AG1482">
        <v>15.398999999999999</v>
      </c>
      <c r="AH1482">
        <v>497.21300000000002</v>
      </c>
      <c r="AI1482" t="s">
        <v>22</v>
      </c>
      <c r="AJ1482">
        <v>3275</v>
      </c>
      <c r="AK1482">
        <v>835</v>
      </c>
      <c r="AL1482">
        <v>3837.5</v>
      </c>
      <c r="AM1482">
        <v>35</v>
      </c>
      <c r="AN1482">
        <v>45</v>
      </c>
      <c r="AO1482">
        <v>0</v>
      </c>
      <c r="AP1482">
        <v>22.5</v>
      </c>
      <c r="AQ1482">
        <v>50</v>
      </c>
      <c r="AR1482">
        <v>47.5</v>
      </c>
      <c r="AS1482">
        <v>25</v>
      </c>
      <c r="AT1482">
        <v>8172.5</v>
      </c>
      <c r="AU1482" t="s">
        <v>35</v>
      </c>
    </row>
    <row r="1483" spans="1:47" x14ac:dyDescent="0.2">
      <c r="A1483">
        <v>2235</v>
      </c>
      <c r="B1483" t="s">
        <v>830</v>
      </c>
      <c r="C1483">
        <v>38</v>
      </c>
      <c r="D1483" t="s">
        <v>853</v>
      </c>
      <c r="G1483" t="str">
        <f t="shared" si="23"/>
        <v>AMBON201538ML4.11</v>
      </c>
      <c r="H1483">
        <v>72.108999999999995</v>
      </c>
      <c r="I1483">
        <v>-162.92400000000001</v>
      </c>
      <c r="J1483" s="3">
        <v>20150821</v>
      </c>
      <c r="K1483">
        <v>2015</v>
      </c>
      <c r="L1483">
        <v>2.5057</v>
      </c>
      <c r="M1483">
        <v>7.9126799999999999</v>
      </c>
      <c r="N1483">
        <v>0.36026999999999998</v>
      </c>
      <c r="O1483">
        <v>3.2161499999999998</v>
      </c>
      <c r="P1483">
        <v>1.495E-2</v>
      </c>
      <c r="Q1483">
        <v>0</v>
      </c>
      <c r="R1483">
        <v>1.5900000000000001E-3</v>
      </c>
      <c r="S1483">
        <v>6.7999999999999996E-3</v>
      </c>
      <c r="T1483">
        <v>0.10750999999999999</v>
      </c>
      <c r="U1483">
        <v>0.42383999999999999</v>
      </c>
      <c r="V1483">
        <v>14.54949</v>
      </c>
      <c r="W1483" t="s">
        <v>10</v>
      </c>
      <c r="X1483">
        <v>37.984000000000002</v>
      </c>
      <c r="Y1483">
        <v>223.874</v>
      </c>
      <c r="Z1483">
        <v>5.125</v>
      </c>
      <c r="AA1483">
        <v>71.47</v>
      </c>
      <c r="AB1483">
        <v>1.0680000000000001</v>
      </c>
      <c r="AC1483">
        <v>0</v>
      </c>
      <c r="AD1483">
        <v>2.5999999999999999E-2</v>
      </c>
      <c r="AE1483">
        <v>0.48599999999999999</v>
      </c>
      <c r="AF1483">
        <v>1.1559999999999999</v>
      </c>
      <c r="AG1483">
        <v>9.5289999999999999</v>
      </c>
      <c r="AH1483">
        <v>350.71800000000002</v>
      </c>
      <c r="AI1483" t="s">
        <v>22</v>
      </c>
      <c r="AJ1483">
        <v>2110</v>
      </c>
      <c r="AK1483">
        <v>1330</v>
      </c>
      <c r="AL1483">
        <v>247.5</v>
      </c>
      <c r="AM1483">
        <v>17.5</v>
      </c>
      <c r="AN1483">
        <v>30</v>
      </c>
      <c r="AO1483">
        <v>0</v>
      </c>
      <c r="AP1483">
        <v>12.5</v>
      </c>
      <c r="AQ1483">
        <v>2.5</v>
      </c>
      <c r="AR1483">
        <v>40</v>
      </c>
      <c r="AS1483">
        <v>97.5</v>
      </c>
      <c r="AT1483">
        <v>3887.5</v>
      </c>
      <c r="AU1483" t="s">
        <v>33</v>
      </c>
    </row>
    <row r="1484" spans="1:47" x14ac:dyDescent="0.2">
      <c r="A1484">
        <v>2236</v>
      </c>
      <c r="B1484" t="s">
        <v>830</v>
      </c>
      <c r="C1484">
        <v>41</v>
      </c>
      <c r="D1484" t="s">
        <v>854</v>
      </c>
      <c r="G1484" t="str">
        <f t="shared" si="23"/>
        <v>AMBON201541ML4.12</v>
      </c>
      <c r="H1484">
        <v>72.239000000000004</v>
      </c>
      <c r="I1484">
        <v>-163.31700000000001</v>
      </c>
      <c r="J1484" s="3">
        <v>20150822</v>
      </c>
      <c r="K1484">
        <v>2015</v>
      </c>
      <c r="L1484">
        <v>3.7395900000000002</v>
      </c>
      <c r="M1484">
        <v>5.4503899999999996</v>
      </c>
      <c r="N1484">
        <v>0.67634000000000005</v>
      </c>
      <c r="O1484">
        <v>2.7921200000000002</v>
      </c>
      <c r="P1484">
        <v>8.0000000000000007E-5</v>
      </c>
      <c r="Q1484">
        <v>0</v>
      </c>
      <c r="R1484">
        <v>0</v>
      </c>
      <c r="S1484">
        <v>0.10297000000000001</v>
      </c>
      <c r="T1484">
        <v>0.72001000000000004</v>
      </c>
      <c r="U1484">
        <v>2.6790000000000001E-2</v>
      </c>
      <c r="V1484">
        <v>13.508290000000001</v>
      </c>
      <c r="W1484" t="s">
        <v>10</v>
      </c>
      <c r="X1484">
        <v>51.500999999999998</v>
      </c>
      <c r="Y1484">
        <v>234.595</v>
      </c>
      <c r="Z1484">
        <v>9.4030000000000005</v>
      </c>
      <c r="AA1484">
        <v>62.046999999999997</v>
      </c>
      <c r="AB1484">
        <v>6.0000000000000001E-3</v>
      </c>
      <c r="AC1484">
        <v>0</v>
      </c>
      <c r="AD1484">
        <v>0</v>
      </c>
      <c r="AE1484">
        <v>7.3550000000000004</v>
      </c>
      <c r="AF1484">
        <v>7.742</v>
      </c>
      <c r="AG1484">
        <v>0.67100000000000004</v>
      </c>
      <c r="AH1484">
        <v>373.32</v>
      </c>
      <c r="AI1484" t="s">
        <v>22</v>
      </c>
      <c r="AJ1484">
        <v>1182.5</v>
      </c>
      <c r="AK1484">
        <v>2235</v>
      </c>
      <c r="AL1484">
        <v>420</v>
      </c>
      <c r="AM1484">
        <v>35</v>
      </c>
      <c r="AN1484">
        <v>2.5</v>
      </c>
      <c r="AO1484">
        <v>0</v>
      </c>
      <c r="AP1484">
        <v>0</v>
      </c>
      <c r="AQ1484">
        <v>32.5</v>
      </c>
      <c r="AR1484">
        <v>35</v>
      </c>
      <c r="AS1484">
        <v>87.5</v>
      </c>
      <c r="AT1484">
        <v>4030</v>
      </c>
      <c r="AU1484" t="s">
        <v>34</v>
      </c>
    </row>
    <row r="1485" spans="1:47" x14ac:dyDescent="0.2">
      <c r="A1485">
        <v>2237</v>
      </c>
      <c r="B1485" t="s">
        <v>830</v>
      </c>
      <c r="C1485">
        <v>42</v>
      </c>
      <c r="D1485" t="s">
        <v>855</v>
      </c>
      <c r="G1485" t="str">
        <f t="shared" si="23"/>
        <v>AMBON201542ML4.13</v>
      </c>
      <c r="H1485">
        <v>72.364999999999995</v>
      </c>
      <c r="I1485">
        <v>-163.72200000000001</v>
      </c>
      <c r="J1485" s="3">
        <v>20150822</v>
      </c>
      <c r="K1485">
        <v>2015</v>
      </c>
      <c r="L1485">
        <v>2.8230599999999999</v>
      </c>
      <c r="M1485">
        <v>10.146559999999999</v>
      </c>
      <c r="N1485">
        <v>2.4279999999999999E-2</v>
      </c>
      <c r="O1485">
        <v>0</v>
      </c>
      <c r="P1485">
        <v>4.6170000000000003E-2</v>
      </c>
      <c r="Q1485">
        <v>0</v>
      </c>
      <c r="R1485">
        <v>6.4700000000000001E-3</v>
      </c>
      <c r="S1485">
        <v>0</v>
      </c>
      <c r="T1485">
        <v>0.10574</v>
      </c>
      <c r="U1485">
        <v>0.15554000000000001</v>
      </c>
      <c r="V1485">
        <v>13.30782</v>
      </c>
      <c r="W1485" t="s">
        <v>10</v>
      </c>
      <c r="X1485">
        <v>42.098999999999997</v>
      </c>
      <c r="Y1485">
        <v>290.01600000000002</v>
      </c>
      <c r="Z1485">
        <v>0.34899999999999998</v>
      </c>
      <c r="AA1485">
        <v>0</v>
      </c>
      <c r="AB1485">
        <v>3.298</v>
      </c>
      <c r="AC1485">
        <v>0</v>
      </c>
      <c r="AD1485">
        <v>0.106</v>
      </c>
      <c r="AE1485">
        <v>0</v>
      </c>
      <c r="AF1485">
        <v>1.137</v>
      </c>
      <c r="AG1485">
        <v>3.6669999999999998</v>
      </c>
      <c r="AH1485">
        <v>340.67200000000003</v>
      </c>
      <c r="AI1485" t="s">
        <v>22</v>
      </c>
      <c r="AJ1485">
        <v>635</v>
      </c>
      <c r="AK1485">
        <v>1105</v>
      </c>
      <c r="AL1485">
        <v>37.5</v>
      </c>
      <c r="AM1485">
        <v>2.5</v>
      </c>
      <c r="AN1485">
        <v>2.5</v>
      </c>
      <c r="AO1485">
        <v>0</v>
      </c>
      <c r="AP1485">
        <v>2.5</v>
      </c>
      <c r="AQ1485">
        <v>0</v>
      </c>
      <c r="AR1485">
        <v>15</v>
      </c>
      <c r="AS1485">
        <v>100</v>
      </c>
      <c r="AT1485">
        <v>1900</v>
      </c>
      <c r="AU1485" t="s">
        <v>34</v>
      </c>
    </row>
    <row r="1486" spans="1:47" x14ac:dyDescent="0.2">
      <c r="A1486">
        <v>2238</v>
      </c>
      <c r="B1486" t="s">
        <v>830</v>
      </c>
      <c r="C1486">
        <v>43</v>
      </c>
      <c r="D1486" t="s">
        <v>856</v>
      </c>
      <c r="G1486" t="str">
        <f t="shared" si="23"/>
        <v>AMBON201543ML4.14</v>
      </c>
      <c r="H1486">
        <v>72.497</v>
      </c>
      <c r="I1486">
        <v>-164.10300000000001</v>
      </c>
      <c r="J1486" s="3">
        <v>20150822</v>
      </c>
      <c r="K1486">
        <v>2015</v>
      </c>
      <c r="L1486">
        <v>1.64127</v>
      </c>
      <c r="M1486">
        <v>13.080349999999999</v>
      </c>
      <c r="N1486">
        <v>4.7879999999999999E-2</v>
      </c>
      <c r="O1486">
        <v>2.0237400000000001</v>
      </c>
      <c r="P1486">
        <v>0.47282000000000002</v>
      </c>
      <c r="Q1486">
        <v>0</v>
      </c>
      <c r="R1486">
        <v>0</v>
      </c>
      <c r="S1486">
        <v>0</v>
      </c>
      <c r="T1486">
        <v>1.274E-2</v>
      </c>
      <c r="U1486">
        <v>0.56044000000000005</v>
      </c>
      <c r="V1486">
        <v>17.83924</v>
      </c>
      <c r="W1486" t="s">
        <v>10</v>
      </c>
      <c r="X1486">
        <v>19.983000000000001</v>
      </c>
      <c r="Y1486">
        <v>381.30900000000003</v>
      </c>
      <c r="Z1486">
        <v>0.66800000000000004</v>
      </c>
      <c r="AA1486">
        <v>44.972000000000001</v>
      </c>
      <c r="AB1486">
        <v>33.773000000000003</v>
      </c>
      <c r="AC1486">
        <v>0</v>
      </c>
      <c r="AD1486">
        <v>0</v>
      </c>
      <c r="AE1486">
        <v>0</v>
      </c>
      <c r="AF1486">
        <v>0.13700000000000001</v>
      </c>
      <c r="AG1486">
        <v>12.457000000000001</v>
      </c>
      <c r="AH1486">
        <v>493.29899999999998</v>
      </c>
      <c r="AI1486" t="s">
        <v>22</v>
      </c>
      <c r="AJ1486">
        <v>635</v>
      </c>
      <c r="AK1486">
        <v>647.5</v>
      </c>
      <c r="AL1486">
        <v>40</v>
      </c>
      <c r="AM1486">
        <v>2.5</v>
      </c>
      <c r="AN1486">
        <v>40</v>
      </c>
      <c r="AO1486">
        <v>0</v>
      </c>
      <c r="AP1486">
        <v>0</v>
      </c>
      <c r="AQ1486">
        <v>0</v>
      </c>
      <c r="AR1486">
        <v>5</v>
      </c>
      <c r="AS1486">
        <v>27.5</v>
      </c>
      <c r="AT1486">
        <v>1397.5</v>
      </c>
      <c r="AU1486" t="s">
        <v>34</v>
      </c>
    </row>
    <row r="1487" spans="1:47" x14ac:dyDescent="0.2">
      <c r="A1487">
        <v>2239</v>
      </c>
      <c r="B1487" t="s">
        <v>830</v>
      </c>
      <c r="C1487">
        <v>44</v>
      </c>
      <c r="D1487" t="s">
        <v>857</v>
      </c>
      <c r="G1487" t="str">
        <f t="shared" si="23"/>
        <v>AMBON201544ML3.14</v>
      </c>
      <c r="H1487">
        <v>72.12</v>
      </c>
      <c r="I1487">
        <v>-165.35900000000001</v>
      </c>
      <c r="J1487" s="3">
        <v>20150822</v>
      </c>
      <c r="K1487">
        <v>2015</v>
      </c>
      <c r="L1487">
        <v>3.5416799999999999</v>
      </c>
      <c r="M1487">
        <v>3.6787299999999998</v>
      </c>
      <c r="N1487">
        <v>0.23738999999999999</v>
      </c>
      <c r="O1487">
        <v>2.82524</v>
      </c>
      <c r="P1487">
        <v>7.1000000000000002E-4</v>
      </c>
      <c r="Q1487">
        <v>0</v>
      </c>
      <c r="R1487">
        <v>0</v>
      </c>
      <c r="S1487">
        <v>0</v>
      </c>
      <c r="T1487">
        <v>0.17168</v>
      </c>
      <c r="U1487">
        <v>7.7249999999999999E-2</v>
      </c>
      <c r="V1487">
        <v>10.532679999999999</v>
      </c>
      <c r="W1487" t="s">
        <v>10</v>
      </c>
      <c r="X1487">
        <v>50.256999999999998</v>
      </c>
      <c r="Y1487">
        <v>106.57</v>
      </c>
      <c r="Z1487">
        <v>3.2450000000000001</v>
      </c>
      <c r="AA1487">
        <v>62.783000000000001</v>
      </c>
      <c r="AB1487">
        <v>5.0999999999999997E-2</v>
      </c>
      <c r="AC1487">
        <v>0</v>
      </c>
      <c r="AD1487">
        <v>0</v>
      </c>
      <c r="AE1487">
        <v>0</v>
      </c>
      <c r="AF1487">
        <v>1.8460000000000001</v>
      </c>
      <c r="AG1487">
        <v>1.3</v>
      </c>
      <c r="AH1487">
        <v>226.05199999999999</v>
      </c>
      <c r="AI1487" t="s">
        <v>22</v>
      </c>
      <c r="AJ1487">
        <v>627.5</v>
      </c>
      <c r="AK1487">
        <v>1612.5</v>
      </c>
      <c r="AL1487">
        <v>372.5</v>
      </c>
      <c r="AM1487">
        <v>10</v>
      </c>
      <c r="AN1487">
        <v>12.5</v>
      </c>
      <c r="AO1487">
        <v>0</v>
      </c>
      <c r="AP1487">
        <v>0</v>
      </c>
      <c r="AQ1487">
        <v>0</v>
      </c>
      <c r="AR1487">
        <v>25</v>
      </c>
      <c r="AS1487">
        <v>147.5</v>
      </c>
      <c r="AT1487">
        <v>2807.5</v>
      </c>
      <c r="AU1487" t="s">
        <v>34</v>
      </c>
    </row>
    <row r="1488" spans="1:47" x14ac:dyDescent="0.2">
      <c r="A1488">
        <v>2240</v>
      </c>
      <c r="B1488" t="s">
        <v>830</v>
      </c>
      <c r="C1488">
        <v>45</v>
      </c>
      <c r="D1488" t="s">
        <v>858</v>
      </c>
      <c r="G1488" t="str">
        <f t="shared" si="23"/>
        <v>AMBON201545ML3.13</v>
      </c>
      <c r="H1488">
        <v>71.994</v>
      </c>
      <c r="I1488">
        <v>-164.95400000000001</v>
      </c>
      <c r="J1488" s="3">
        <v>20150823</v>
      </c>
      <c r="K1488">
        <v>2015</v>
      </c>
      <c r="L1488">
        <v>4.1614599999999999</v>
      </c>
      <c r="M1488">
        <v>0.95270999999999995</v>
      </c>
      <c r="N1488">
        <v>0.30149999999999999</v>
      </c>
      <c r="O1488">
        <v>1.7613000000000001</v>
      </c>
      <c r="P1488">
        <v>6.1700000000000001E-3</v>
      </c>
      <c r="Q1488">
        <v>0</v>
      </c>
      <c r="R1488">
        <v>0</v>
      </c>
      <c r="S1488">
        <v>9.8799999999999999E-3</v>
      </c>
      <c r="T1488">
        <v>3.5619999999999999E-2</v>
      </c>
      <c r="U1488">
        <v>4.82E-2</v>
      </c>
      <c r="V1488">
        <v>7.27684</v>
      </c>
      <c r="W1488" t="s">
        <v>9</v>
      </c>
      <c r="X1488">
        <v>58.985999999999997</v>
      </c>
      <c r="Y1488">
        <v>24.922000000000001</v>
      </c>
      <c r="Z1488">
        <v>4.2190000000000003</v>
      </c>
      <c r="AA1488">
        <v>39.14</v>
      </c>
      <c r="AB1488">
        <v>0.441</v>
      </c>
      <c r="AC1488">
        <v>0</v>
      </c>
      <c r="AD1488">
        <v>0</v>
      </c>
      <c r="AE1488">
        <v>0.70599999999999996</v>
      </c>
      <c r="AF1488">
        <v>0.38300000000000001</v>
      </c>
      <c r="AG1488">
        <v>0.90200000000000002</v>
      </c>
      <c r="AH1488">
        <v>129.69900000000001</v>
      </c>
      <c r="AI1488" t="s">
        <v>21</v>
      </c>
      <c r="AJ1488">
        <v>847.5</v>
      </c>
      <c r="AK1488">
        <v>1697.5</v>
      </c>
      <c r="AL1488">
        <v>627.5</v>
      </c>
      <c r="AM1488">
        <v>7.5</v>
      </c>
      <c r="AN1488">
        <v>25</v>
      </c>
      <c r="AO1488">
        <v>0</v>
      </c>
      <c r="AP1488">
        <v>0</v>
      </c>
      <c r="AQ1488">
        <v>2.5</v>
      </c>
      <c r="AR1488">
        <v>12.5</v>
      </c>
      <c r="AS1488">
        <v>62.5</v>
      </c>
      <c r="AT1488">
        <v>3282.5</v>
      </c>
      <c r="AU1488" t="s">
        <v>34</v>
      </c>
    </row>
    <row r="1489" spans="1:47" x14ac:dyDescent="0.2">
      <c r="A1489">
        <v>2241</v>
      </c>
      <c r="B1489" t="s">
        <v>830</v>
      </c>
      <c r="C1489">
        <v>46</v>
      </c>
      <c r="D1489" t="s">
        <v>859</v>
      </c>
      <c r="G1489" t="str">
        <f t="shared" si="23"/>
        <v>AMBON201546ML3.12</v>
      </c>
      <c r="H1489">
        <v>71.870999999999995</v>
      </c>
      <c r="I1489">
        <v>-164.55600000000001</v>
      </c>
      <c r="J1489" s="3">
        <v>20150823</v>
      </c>
      <c r="K1489">
        <v>2015</v>
      </c>
      <c r="L1489">
        <v>3.3569499999999999</v>
      </c>
      <c r="M1489">
        <v>1.6408199999999999</v>
      </c>
      <c r="N1489">
        <v>0.34616999999999998</v>
      </c>
      <c r="O1489">
        <v>0.97960999999999998</v>
      </c>
      <c r="P1489">
        <v>6.9999999999999999E-4</v>
      </c>
      <c r="Q1489">
        <v>0</v>
      </c>
      <c r="R1489">
        <v>6.5799999999999999E-3</v>
      </c>
      <c r="S1489">
        <v>4.3709999999999999E-2</v>
      </c>
      <c r="T1489">
        <v>0.66151000000000004</v>
      </c>
      <c r="U1489">
        <v>1.46E-2</v>
      </c>
      <c r="V1489">
        <v>7.0506500000000001</v>
      </c>
      <c r="W1489" t="s">
        <v>9</v>
      </c>
      <c r="X1489">
        <v>46.033999999999999</v>
      </c>
      <c r="Y1489">
        <v>46.491999999999997</v>
      </c>
      <c r="Z1489">
        <v>5.0190000000000001</v>
      </c>
      <c r="AA1489">
        <v>21.768999999999998</v>
      </c>
      <c r="AB1489">
        <v>0.05</v>
      </c>
      <c r="AC1489">
        <v>0</v>
      </c>
      <c r="AD1489">
        <v>0.11</v>
      </c>
      <c r="AE1489">
        <v>3.1219999999999999</v>
      </c>
      <c r="AF1489">
        <v>7.1130000000000004</v>
      </c>
      <c r="AG1489">
        <v>0.65100000000000002</v>
      </c>
      <c r="AH1489">
        <v>130.36000000000001</v>
      </c>
      <c r="AI1489" t="s">
        <v>22</v>
      </c>
      <c r="AJ1489">
        <v>690</v>
      </c>
      <c r="AK1489">
        <v>3362.5</v>
      </c>
      <c r="AL1489">
        <v>577.5</v>
      </c>
      <c r="AM1489">
        <v>22.5</v>
      </c>
      <c r="AN1489">
        <v>7.5</v>
      </c>
      <c r="AO1489">
        <v>0</v>
      </c>
      <c r="AP1489">
        <v>0</v>
      </c>
      <c r="AQ1489">
        <v>15</v>
      </c>
      <c r="AR1489">
        <v>17.5</v>
      </c>
      <c r="AS1489">
        <v>52.5</v>
      </c>
      <c r="AT1489">
        <v>4745</v>
      </c>
      <c r="AU1489" t="s">
        <v>34</v>
      </c>
    </row>
    <row r="1490" spans="1:47" x14ac:dyDescent="0.2">
      <c r="A1490">
        <v>2242</v>
      </c>
      <c r="B1490" t="s">
        <v>830</v>
      </c>
      <c r="C1490">
        <v>47</v>
      </c>
      <c r="D1490" t="s">
        <v>860</v>
      </c>
      <c r="G1490" t="str">
        <f t="shared" si="23"/>
        <v>AMBON201547ML3.11</v>
      </c>
      <c r="H1490">
        <v>71.745000000000005</v>
      </c>
      <c r="I1490">
        <v>-164.166</v>
      </c>
      <c r="J1490" s="3">
        <v>20150823</v>
      </c>
      <c r="K1490">
        <v>2015</v>
      </c>
      <c r="L1490">
        <v>7.8626100000000001</v>
      </c>
      <c r="M1490">
        <v>2.0042499999999999</v>
      </c>
      <c r="N1490">
        <v>0.97316000000000003</v>
      </c>
      <c r="O1490">
        <v>1.92947</v>
      </c>
      <c r="P1490">
        <v>7.2100000000000003E-3</v>
      </c>
      <c r="Q1490">
        <v>0</v>
      </c>
      <c r="R1490">
        <v>3.9239999999999997E-2</v>
      </c>
      <c r="S1490">
        <v>0.37557000000000001</v>
      </c>
      <c r="T1490">
        <v>0.33062000000000002</v>
      </c>
      <c r="U1490">
        <v>0.12534000000000001</v>
      </c>
      <c r="V1490">
        <v>13.64747</v>
      </c>
      <c r="W1490" t="s">
        <v>9</v>
      </c>
      <c r="X1490">
        <v>108.80500000000001</v>
      </c>
      <c r="Y1490">
        <v>104.616</v>
      </c>
      <c r="Z1490">
        <v>14.189</v>
      </c>
      <c r="AA1490">
        <v>42.877000000000002</v>
      </c>
      <c r="AB1490">
        <v>0.51500000000000001</v>
      </c>
      <c r="AC1490">
        <v>0</v>
      </c>
      <c r="AD1490">
        <v>0.98099999999999998</v>
      </c>
      <c r="AE1490">
        <v>24.026</v>
      </c>
      <c r="AF1490">
        <v>3.5550000000000002</v>
      </c>
      <c r="AG1490">
        <v>3.9289999999999998</v>
      </c>
      <c r="AH1490">
        <v>303.49299999999999</v>
      </c>
      <c r="AI1490" t="s">
        <v>21</v>
      </c>
      <c r="AJ1490">
        <v>1522.5</v>
      </c>
      <c r="AK1490">
        <v>1072.5</v>
      </c>
      <c r="AL1490">
        <v>2337.5</v>
      </c>
      <c r="AM1490">
        <v>50</v>
      </c>
      <c r="AN1490">
        <v>50</v>
      </c>
      <c r="AO1490">
        <v>0</v>
      </c>
      <c r="AP1490">
        <v>0</v>
      </c>
      <c r="AQ1490">
        <v>30</v>
      </c>
      <c r="AR1490">
        <v>32.5</v>
      </c>
      <c r="AS1490">
        <v>145</v>
      </c>
      <c r="AT1490">
        <v>5240</v>
      </c>
      <c r="AU1490" t="s">
        <v>35</v>
      </c>
    </row>
    <row r="1491" spans="1:47" x14ac:dyDescent="0.2">
      <c r="A1491">
        <v>2243</v>
      </c>
      <c r="B1491" t="s">
        <v>830</v>
      </c>
      <c r="C1491">
        <v>61</v>
      </c>
      <c r="D1491" t="s">
        <v>861</v>
      </c>
      <c r="G1491" t="str">
        <f t="shared" si="23"/>
        <v>AMBON201561ML3.3</v>
      </c>
      <c r="H1491">
        <v>70.715000000000003</v>
      </c>
      <c r="I1491">
        <v>-161.179</v>
      </c>
      <c r="J1491" s="3">
        <v>20150825</v>
      </c>
      <c r="K1491">
        <v>2015</v>
      </c>
      <c r="L1491">
        <v>1.2581800000000001</v>
      </c>
      <c r="M1491">
        <v>1.1602300000000001</v>
      </c>
      <c r="N1491">
        <v>0.73611000000000004</v>
      </c>
      <c r="O1491">
        <v>7.11E-3</v>
      </c>
      <c r="P1491">
        <v>1.4499999999999999E-3</v>
      </c>
      <c r="Q1491">
        <v>0</v>
      </c>
      <c r="R1491">
        <v>1.4330000000000001E-2</v>
      </c>
      <c r="S1491">
        <v>3.5470000000000002E-2</v>
      </c>
      <c r="T1491">
        <v>3.2829999999999998E-2</v>
      </c>
      <c r="U1491">
        <v>3.5317599999999998</v>
      </c>
      <c r="V1491">
        <v>6.7774700000000001</v>
      </c>
      <c r="W1491" t="s">
        <v>18</v>
      </c>
      <c r="X1491">
        <v>18.257999999999999</v>
      </c>
      <c r="Y1491">
        <v>59.737000000000002</v>
      </c>
      <c r="Z1491">
        <v>10.705</v>
      </c>
      <c r="AA1491">
        <v>0.158</v>
      </c>
      <c r="AB1491">
        <v>0.104</v>
      </c>
      <c r="AC1491">
        <v>0</v>
      </c>
      <c r="AD1491">
        <v>0.23499999999999999</v>
      </c>
      <c r="AE1491">
        <v>0.86499999999999999</v>
      </c>
      <c r="AF1491">
        <v>0.35299999999999998</v>
      </c>
      <c r="AG1491">
        <v>158.68600000000001</v>
      </c>
      <c r="AH1491">
        <v>249.101</v>
      </c>
      <c r="AI1491" t="s">
        <v>30</v>
      </c>
      <c r="AJ1491">
        <v>837.5</v>
      </c>
      <c r="AK1491">
        <v>285</v>
      </c>
      <c r="AL1491">
        <v>880</v>
      </c>
      <c r="AM1491">
        <v>10</v>
      </c>
      <c r="AN1491">
        <v>17.5</v>
      </c>
      <c r="AO1491">
        <v>0</v>
      </c>
      <c r="AP1491">
        <v>0</v>
      </c>
      <c r="AQ1491">
        <v>7.5</v>
      </c>
      <c r="AR1491">
        <v>25</v>
      </c>
      <c r="AS1491">
        <v>30</v>
      </c>
      <c r="AT1491">
        <v>2092.5</v>
      </c>
      <c r="AU1491" t="s">
        <v>35</v>
      </c>
    </row>
    <row r="1492" spans="1:47" x14ac:dyDescent="0.2">
      <c r="A1492">
        <v>2244</v>
      </c>
      <c r="B1492" t="s">
        <v>830</v>
      </c>
      <c r="C1492">
        <v>62</v>
      </c>
      <c r="D1492" t="s">
        <v>862</v>
      </c>
      <c r="G1492" t="str">
        <f t="shared" si="23"/>
        <v>AMBON201562ML3.2</v>
      </c>
      <c r="H1492">
        <v>70.578000000000003</v>
      </c>
      <c r="I1492">
        <v>-160.83600000000001</v>
      </c>
      <c r="J1492" s="3">
        <v>20150825</v>
      </c>
      <c r="K1492">
        <v>2015</v>
      </c>
      <c r="L1492">
        <v>0.49043999999999999</v>
      </c>
      <c r="M1492">
        <v>0.78136000000000005</v>
      </c>
      <c r="N1492">
        <v>0.16989000000000001</v>
      </c>
      <c r="O1492">
        <v>0</v>
      </c>
      <c r="P1492">
        <v>2.47E-3</v>
      </c>
      <c r="Q1492">
        <v>9.0000000000000006E-5</v>
      </c>
      <c r="R1492">
        <v>1.17059</v>
      </c>
      <c r="S1492">
        <v>0</v>
      </c>
      <c r="T1492">
        <v>1.49E-3</v>
      </c>
      <c r="U1492">
        <v>2.894E-2</v>
      </c>
      <c r="V1492">
        <v>2.64527</v>
      </c>
      <c r="W1492" t="s">
        <v>15</v>
      </c>
      <c r="X1492">
        <v>7.5730000000000004</v>
      </c>
      <c r="Y1492">
        <v>26.893000000000001</v>
      </c>
      <c r="Z1492">
        <v>2.4220000000000002</v>
      </c>
      <c r="AA1492">
        <v>0</v>
      </c>
      <c r="AB1492">
        <v>0.17599999999999999</v>
      </c>
      <c r="AC1492">
        <v>8.0000000000000002E-3</v>
      </c>
      <c r="AD1492">
        <v>19.190000000000001</v>
      </c>
      <c r="AE1492">
        <v>0</v>
      </c>
      <c r="AF1492">
        <v>1.6E-2</v>
      </c>
      <c r="AG1492">
        <v>0.49199999999999999</v>
      </c>
      <c r="AH1492">
        <v>56.77</v>
      </c>
      <c r="AI1492" t="s">
        <v>22</v>
      </c>
      <c r="AJ1492">
        <v>297.5</v>
      </c>
      <c r="AK1492">
        <v>192.5</v>
      </c>
      <c r="AL1492">
        <v>355</v>
      </c>
      <c r="AM1492">
        <v>0</v>
      </c>
      <c r="AN1492">
        <v>12.5</v>
      </c>
      <c r="AO1492">
        <v>10</v>
      </c>
      <c r="AP1492">
        <v>12.5</v>
      </c>
      <c r="AQ1492">
        <v>0</v>
      </c>
      <c r="AR1492">
        <v>7.5</v>
      </c>
      <c r="AS1492">
        <v>35</v>
      </c>
      <c r="AT1492">
        <v>922.5</v>
      </c>
      <c r="AU1492" t="s">
        <v>35</v>
      </c>
    </row>
    <row r="1493" spans="1:47" x14ac:dyDescent="0.2">
      <c r="A1493">
        <v>2245</v>
      </c>
      <c r="B1493" t="s">
        <v>830</v>
      </c>
      <c r="C1493">
        <v>63</v>
      </c>
      <c r="D1493" t="s">
        <v>863</v>
      </c>
      <c r="G1493" t="str">
        <f t="shared" si="23"/>
        <v>AMBON201563ML3.1</v>
      </c>
      <c r="H1493">
        <v>70.495999999999995</v>
      </c>
      <c r="I1493">
        <v>-160.62200000000001</v>
      </c>
      <c r="J1493" s="3">
        <v>20150825</v>
      </c>
      <c r="K1493">
        <v>2015</v>
      </c>
      <c r="L1493">
        <v>3.8159999999999999E-2</v>
      </c>
      <c r="M1493">
        <v>1.32E-3</v>
      </c>
      <c r="N1493">
        <v>8.8000000000000003E-4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4.036E-2</v>
      </c>
      <c r="W1493" t="s">
        <v>9</v>
      </c>
      <c r="X1493">
        <v>0.54400000000000004</v>
      </c>
      <c r="Y1493">
        <v>4.7E-2</v>
      </c>
      <c r="Z1493">
        <v>1.2999999999999999E-2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0.60399999999999998</v>
      </c>
      <c r="AI1493" t="s">
        <v>21</v>
      </c>
      <c r="AJ1493">
        <v>90</v>
      </c>
      <c r="AK1493">
        <v>10</v>
      </c>
      <c r="AL1493">
        <v>10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110</v>
      </c>
      <c r="AU1493" t="s">
        <v>33</v>
      </c>
    </row>
    <row r="1494" spans="1:47" x14ac:dyDescent="0.2">
      <c r="A1494">
        <v>2246</v>
      </c>
      <c r="B1494" t="s">
        <v>830</v>
      </c>
      <c r="C1494">
        <v>65</v>
      </c>
      <c r="D1494" t="s">
        <v>864</v>
      </c>
      <c r="G1494" t="str">
        <f t="shared" si="23"/>
        <v>AMBON201565ML5.10</v>
      </c>
      <c r="H1494">
        <v>71.602999999999994</v>
      </c>
      <c r="I1494">
        <v>-162.202</v>
      </c>
      <c r="J1494" s="3">
        <v>20150830</v>
      </c>
      <c r="K1494">
        <v>2015</v>
      </c>
      <c r="L1494">
        <v>3.8647</v>
      </c>
      <c r="M1494">
        <v>4.92143</v>
      </c>
      <c r="N1494">
        <v>0.21212</v>
      </c>
      <c r="O1494">
        <v>7.2399999999999999E-3</v>
      </c>
      <c r="P1494">
        <v>0</v>
      </c>
      <c r="Q1494">
        <v>0</v>
      </c>
      <c r="R1494">
        <v>6.0400000000000002E-3</v>
      </c>
      <c r="S1494">
        <v>4.4229999999999998E-2</v>
      </c>
      <c r="T1494">
        <v>0.70308000000000004</v>
      </c>
      <c r="U1494">
        <v>0.17371</v>
      </c>
      <c r="V1494">
        <v>9.9325500000000009</v>
      </c>
      <c r="W1494" t="s">
        <v>10</v>
      </c>
      <c r="X1494">
        <v>60.508000000000003</v>
      </c>
      <c r="Y1494">
        <v>144.851</v>
      </c>
      <c r="Z1494">
        <v>3.1030000000000002</v>
      </c>
      <c r="AA1494">
        <v>0.161</v>
      </c>
      <c r="AB1494">
        <v>0</v>
      </c>
      <c r="AC1494">
        <v>0</v>
      </c>
      <c r="AD1494">
        <v>9.9000000000000005E-2</v>
      </c>
      <c r="AE1494">
        <v>3.1589999999999998</v>
      </c>
      <c r="AF1494">
        <v>7.56</v>
      </c>
      <c r="AG1494">
        <v>3.6619999999999999</v>
      </c>
      <c r="AH1494">
        <v>223.10300000000001</v>
      </c>
      <c r="AI1494" t="s">
        <v>22</v>
      </c>
      <c r="AJ1494">
        <v>2177.5</v>
      </c>
      <c r="AK1494">
        <v>997.5</v>
      </c>
      <c r="AL1494">
        <v>212.5</v>
      </c>
      <c r="AM1494">
        <v>7.5</v>
      </c>
      <c r="AN1494">
        <v>0</v>
      </c>
      <c r="AO1494">
        <v>0</v>
      </c>
      <c r="AP1494">
        <v>2.5</v>
      </c>
      <c r="AQ1494">
        <v>5</v>
      </c>
      <c r="AR1494">
        <v>35</v>
      </c>
      <c r="AS1494">
        <v>92.5</v>
      </c>
      <c r="AT1494">
        <v>3530</v>
      </c>
      <c r="AU1494" t="s">
        <v>33</v>
      </c>
    </row>
    <row r="1495" spans="1:47" x14ac:dyDescent="0.2">
      <c r="A1495">
        <v>2247</v>
      </c>
      <c r="B1495" t="s">
        <v>830</v>
      </c>
      <c r="C1495">
        <v>66</v>
      </c>
      <c r="D1495" t="s">
        <v>865</v>
      </c>
      <c r="G1495" t="str">
        <f t="shared" si="23"/>
        <v>AMBON201566ML5.9</v>
      </c>
      <c r="H1495">
        <v>71.483000000000004</v>
      </c>
      <c r="I1495">
        <v>-162.60400000000001</v>
      </c>
      <c r="J1495" s="3">
        <v>20150830</v>
      </c>
      <c r="K1495">
        <v>2015</v>
      </c>
      <c r="L1495">
        <v>7.5658099999999999</v>
      </c>
      <c r="M1495">
        <v>6.9151100000000003</v>
      </c>
      <c r="N1495">
        <v>0.42697000000000002</v>
      </c>
      <c r="O1495">
        <v>9.9860000000000004E-2</v>
      </c>
      <c r="P1495">
        <v>0.57547000000000004</v>
      </c>
      <c r="Q1495">
        <v>0</v>
      </c>
      <c r="R1495">
        <v>0</v>
      </c>
      <c r="S1495">
        <v>0.23063</v>
      </c>
      <c r="T1495">
        <v>0.30597000000000002</v>
      </c>
      <c r="U1495">
        <v>0.49409999999999998</v>
      </c>
      <c r="V1495">
        <v>16.61392</v>
      </c>
      <c r="W1495" t="s">
        <v>9</v>
      </c>
      <c r="X1495">
        <v>107.524</v>
      </c>
      <c r="Y1495">
        <v>209.68</v>
      </c>
      <c r="Z1495">
        <v>6.0490000000000004</v>
      </c>
      <c r="AA1495">
        <v>2.2189999999999999</v>
      </c>
      <c r="AB1495">
        <v>41.104999999999997</v>
      </c>
      <c r="AC1495">
        <v>0</v>
      </c>
      <c r="AD1495">
        <v>0</v>
      </c>
      <c r="AE1495">
        <v>10.452999999999999</v>
      </c>
      <c r="AF1495">
        <v>3.29</v>
      </c>
      <c r="AG1495">
        <v>20.117000000000001</v>
      </c>
      <c r="AH1495">
        <v>400.43700000000001</v>
      </c>
      <c r="AI1495" t="s">
        <v>22</v>
      </c>
      <c r="AJ1495">
        <v>7110</v>
      </c>
      <c r="AK1495">
        <v>655</v>
      </c>
      <c r="AL1495">
        <v>1415</v>
      </c>
      <c r="AM1495">
        <v>87.5</v>
      </c>
      <c r="AN1495">
        <v>47.5</v>
      </c>
      <c r="AO1495">
        <v>0</v>
      </c>
      <c r="AP1495">
        <v>0</v>
      </c>
      <c r="AQ1495">
        <v>27.5</v>
      </c>
      <c r="AR1495">
        <v>27.5</v>
      </c>
      <c r="AS1495">
        <v>237.5</v>
      </c>
      <c r="AT1495">
        <v>9607.5</v>
      </c>
      <c r="AU1495" t="s">
        <v>33</v>
      </c>
    </row>
    <row r="1496" spans="1:47" x14ac:dyDescent="0.2">
      <c r="A1496">
        <v>2248</v>
      </c>
      <c r="B1496" t="s">
        <v>830</v>
      </c>
      <c r="C1496">
        <v>68</v>
      </c>
      <c r="D1496" t="s">
        <v>866</v>
      </c>
      <c r="G1496" t="str">
        <f t="shared" si="23"/>
        <v>AMBON201568ML5.7</v>
      </c>
      <c r="H1496">
        <v>71.241</v>
      </c>
      <c r="I1496">
        <v>-163.404</v>
      </c>
      <c r="J1496" s="3">
        <v>20150830</v>
      </c>
      <c r="K1496">
        <v>2015</v>
      </c>
      <c r="L1496">
        <v>4.66981</v>
      </c>
      <c r="M1496">
        <v>3.0771899999999999</v>
      </c>
      <c r="N1496">
        <v>0.71326999999999996</v>
      </c>
      <c r="O1496">
        <v>4.6982699999999999</v>
      </c>
      <c r="P1496">
        <v>0.62361</v>
      </c>
      <c r="Q1496">
        <v>0</v>
      </c>
      <c r="R1496">
        <v>0</v>
      </c>
      <c r="S1496">
        <v>0</v>
      </c>
      <c r="T1496">
        <v>5.7009999999999998E-2</v>
      </c>
      <c r="U1496">
        <v>4.7919999999999997E-2</v>
      </c>
      <c r="V1496">
        <v>13.887079999999999</v>
      </c>
      <c r="W1496" t="s">
        <v>12</v>
      </c>
      <c r="X1496">
        <v>66.926000000000002</v>
      </c>
      <c r="Y1496">
        <v>98.947000000000003</v>
      </c>
      <c r="Z1496">
        <v>9.8930000000000007</v>
      </c>
      <c r="AA1496">
        <v>104.40600000000001</v>
      </c>
      <c r="AB1496">
        <v>44.543999999999997</v>
      </c>
      <c r="AC1496">
        <v>0</v>
      </c>
      <c r="AD1496">
        <v>0</v>
      </c>
      <c r="AE1496">
        <v>0</v>
      </c>
      <c r="AF1496">
        <v>0.61299999999999999</v>
      </c>
      <c r="AG1496">
        <v>0.93500000000000005</v>
      </c>
      <c r="AH1496">
        <v>326.26400000000001</v>
      </c>
      <c r="AI1496" t="s">
        <v>24</v>
      </c>
      <c r="AJ1496">
        <v>855</v>
      </c>
      <c r="AK1496">
        <v>672.5</v>
      </c>
      <c r="AL1496">
        <v>2082.5</v>
      </c>
      <c r="AM1496">
        <v>20</v>
      </c>
      <c r="AN1496">
        <v>132.5</v>
      </c>
      <c r="AO1496">
        <v>0</v>
      </c>
      <c r="AP1496">
        <v>0</v>
      </c>
      <c r="AQ1496">
        <v>0</v>
      </c>
      <c r="AR1496">
        <v>15</v>
      </c>
      <c r="AS1496">
        <v>67.5</v>
      </c>
      <c r="AT1496">
        <v>3845</v>
      </c>
      <c r="AU1496" t="s">
        <v>35</v>
      </c>
    </row>
    <row r="1497" spans="1:47" x14ac:dyDescent="0.2">
      <c r="A1497">
        <v>2249</v>
      </c>
      <c r="B1497" t="s">
        <v>830</v>
      </c>
      <c r="C1497">
        <v>69</v>
      </c>
      <c r="D1497" t="s">
        <v>867</v>
      </c>
      <c r="G1497" t="str">
        <f t="shared" si="23"/>
        <v>AMBON201569ML5.6</v>
      </c>
      <c r="H1497">
        <v>71.117999999999995</v>
      </c>
      <c r="I1497">
        <v>-163.80600000000001</v>
      </c>
      <c r="J1497" s="3">
        <v>20150831</v>
      </c>
      <c r="K1497">
        <v>2015</v>
      </c>
      <c r="L1497">
        <v>7.2463600000000001</v>
      </c>
      <c r="M1497">
        <v>2.8828999999999998</v>
      </c>
      <c r="N1497">
        <v>0.40927000000000002</v>
      </c>
      <c r="O1497">
        <v>0.24615000000000001</v>
      </c>
      <c r="P1497">
        <v>0.50910999999999995</v>
      </c>
      <c r="Q1497">
        <v>0</v>
      </c>
      <c r="R1497">
        <v>0.23380999999999999</v>
      </c>
      <c r="S1497">
        <v>0</v>
      </c>
      <c r="T1497">
        <v>0.40753</v>
      </c>
      <c r="U1497">
        <v>6.5970000000000001E-2</v>
      </c>
      <c r="V1497">
        <v>12.001099999999999</v>
      </c>
      <c r="W1497" t="s">
        <v>9</v>
      </c>
      <c r="X1497">
        <v>107.301</v>
      </c>
      <c r="Y1497">
        <v>143.96</v>
      </c>
      <c r="Z1497">
        <v>5.6589999999999998</v>
      </c>
      <c r="AA1497">
        <v>5.47</v>
      </c>
      <c r="AB1497">
        <v>36.365000000000002</v>
      </c>
      <c r="AC1497">
        <v>0</v>
      </c>
      <c r="AD1497">
        <v>3.8330000000000002</v>
      </c>
      <c r="AE1497">
        <v>0</v>
      </c>
      <c r="AF1497">
        <v>4.3819999999999997</v>
      </c>
      <c r="AG1497">
        <v>1.45</v>
      </c>
      <c r="AH1497">
        <v>308.42</v>
      </c>
      <c r="AI1497" t="s">
        <v>22</v>
      </c>
      <c r="AJ1497">
        <v>932.5</v>
      </c>
      <c r="AK1497">
        <v>532.5</v>
      </c>
      <c r="AL1497">
        <v>1510</v>
      </c>
      <c r="AM1497">
        <v>17.5</v>
      </c>
      <c r="AN1497">
        <v>117.5</v>
      </c>
      <c r="AO1497">
        <v>0</v>
      </c>
      <c r="AP1497">
        <v>10</v>
      </c>
      <c r="AQ1497">
        <v>0</v>
      </c>
      <c r="AR1497">
        <v>30</v>
      </c>
      <c r="AS1497">
        <v>110</v>
      </c>
      <c r="AT1497">
        <v>3260</v>
      </c>
      <c r="AU1497" t="s">
        <v>35</v>
      </c>
    </row>
    <row r="1498" spans="1:47" x14ac:dyDescent="0.2">
      <c r="A1498">
        <v>2250</v>
      </c>
      <c r="B1498" t="s">
        <v>830</v>
      </c>
      <c r="C1498">
        <v>70</v>
      </c>
      <c r="D1498" t="s">
        <v>868</v>
      </c>
      <c r="G1498" t="str">
        <f t="shared" si="23"/>
        <v>AMBON201570ML5.5</v>
      </c>
      <c r="H1498">
        <v>71.147000000000006</v>
      </c>
      <c r="I1498">
        <v>-164.48599999999999</v>
      </c>
      <c r="J1498" s="3">
        <v>20150831</v>
      </c>
      <c r="K1498">
        <v>2015</v>
      </c>
      <c r="L1498">
        <v>6.5240400000000003</v>
      </c>
      <c r="M1498">
        <v>1.58751</v>
      </c>
      <c r="N1498">
        <v>9.4500000000000001E-2</v>
      </c>
      <c r="O1498">
        <v>0.71972999999999998</v>
      </c>
      <c r="P1498">
        <v>0.43147999999999997</v>
      </c>
      <c r="Q1498">
        <v>0</v>
      </c>
      <c r="R1498">
        <v>0</v>
      </c>
      <c r="S1498">
        <v>0</v>
      </c>
      <c r="T1498">
        <v>0.12239</v>
      </c>
      <c r="U1498">
        <v>0.12246</v>
      </c>
      <c r="V1498">
        <v>9.6021099999999997</v>
      </c>
      <c r="W1498" t="s">
        <v>9</v>
      </c>
      <c r="X1498">
        <v>94.991</v>
      </c>
      <c r="Y1498">
        <v>63.667000000000002</v>
      </c>
      <c r="Z1498">
        <v>1.2949999999999999</v>
      </c>
      <c r="AA1498">
        <v>15.994</v>
      </c>
      <c r="AB1498">
        <v>30.82</v>
      </c>
      <c r="AC1498">
        <v>0</v>
      </c>
      <c r="AD1498">
        <v>0</v>
      </c>
      <c r="AE1498">
        <v>0</v>
      </c>
      <c r="AF1498">
        <v>1.3160000000000001</v>
      </c>
      <c r="AG1498">
        <v>2.5099999999999998</v>
      </c>
      <c r="AH1498">
        <v>210.59299999999999</v>
      </c>
      <c r="AI1498" t="s">
        <v>21</v>
      </c>
      <c r="AJ1498">
        <v>755</v>
      </c>
      <c r="AK1498">
        <v>815</v>
      </c>
      <c r="AL1498">
        <v>462.5</v>
      </c>
      <c r="AM1498">
        <v>2.5</v>
      </c>
      <c r="AN1498">
        <v>85</v>
      </c>
      <c r="AO1498">
        <v>0</v>
      </c>
      <c r="AP1498">
        <v>0</v>
      </c>
      <c r="AQ1498">
        <v>0</v>
      </c>
      <c r="AR1498">
        <v>22.5</v>
      </c>
      <c r="AS1498">
        <v>152.5</v>
      </c>
      <c r="AT1498">
        <v>2295</v>
      </c>
      <c r="AU1498" t="s">
        <v>34</v>
      </c>
    </row>
    <row r="1499" spans="1:47" x14ac:dyDescent="0.2">
      <c r="A1499">
        <v>2251</v>
      </c>
      <c r="B1499" t="s">
        <v>830</v>
      </c>
      <c r="C1499">
        <v>71</v>
      </c>
      <c r="D1499" t="s">
        <v>869</v>
      </c>
      <c r="G1499" t="str">
        <f t="shared" si="23"/>
        <v>AMBON201571ML5.4</v>
      </c>
      <c r="H1499">
        <v>71.022999999999996</v>
      </c>
      <c r="I1499">
        <v>-164.87700000000001</v>
      </c>
      <c r="J1499" s="3">
        <v>20150831</v>
      </c>
      <c r="K1499">
        <v>2015</v>
      </c>
      <c r="L1499">
        <v>1.63289</v>
      </c>
      <c r="M1499">
        <v>0</v>
      </c>
      <c r="N1499">
        <v>6.1240000000000003E-2</v>
      </c>
      <c r="O1499">
        <v>0</v>
      </c>
      <c r="P1499">
        <v>0</v>
      </c>
      <c r="Q1499">
        <v>0.20016</v>
      </c>
      <c r="R1499">
        <v>0.80023999999999995</v>
      </c>
      <c r="S1499">
        <v>0</v>
      </c>
      <c r="T1499">
        <v>1.321E-2</v>
      </c>
      <c r="U1499">
        <v>0.75422</v>
      </c>
      <c r="V1499">
        <v>3.4619599999999999</v>
      </c>
      <c r="W1499" t="s">
        <v>9</v>
      </c>
      <c r="X1499">
        <v>22.338999999999999</v>
      </c>
      <c r="Y1499">
        <v>0</v>
      </c>
      <c r="Z1499">
        <v>0.89300000000000002</v>
      </c>
      <c r="AA1499">
        <v>0</v>
      </c>
      <c r="AB1499">
        <v>0</v>
      </c>
      <c r="AC1499">
        <v>18.196000000000002</v>
      </c>
      <c r="AD1499">
        <v>20.006</v>
      </c>
      <c r="AE1499">
        <v>0</v>
      </c>
      <c r="AF1499">
        <v>0.14199999999999999</v>
      </c>
      <c r="AG1499">
        <v>35.914999999999999</v>
      </c>
      <c r="AH1499">
        <v>97.491</v>
      </c>
      <c r="AI1499" t="s">
        <v>30</v>
      </c>
      <c r="AJ1499">
        <v>990</v>
      </c>
      <c r="AK1499">
        <v>0</v>
      </c>
      <c r="AL1499">
        <v>180</v>
      </c>
      <c r="AM1499">
        <v>0</v>
      </c>
      <c r="AN1499">
        <v>0</v>
      </c>
      <c r="AO1499">
        <v>10</v>
      </c>
      <c r="AP1499">
        <v>0</v>
      </c>
      <c r="AQ1499">
        <v>0</v>
      </c>
      <c r="AR1499">
        <v>10</v>
      </c>
      <c r="AS1499">
        <v>10</v>
      </c>
      <c r="AT1499">
        <v>1200</v>
      </c>
      <c r="AU1499" t="s">
        <v>33</v>
      </c>
    </row>
    <row r="1500" spans="1:47" x14ac:dyDescent="0.2">
      <c r="A1500">
        <v>2252</v>
      </c>
      <c r="B1500" t="s">
        <v>830</v>
      </c>
      <c r="C1500">
        <v>73</v>
      </c>
      <c r="D1500" t="s">
        <v>870</v>
      </c>
      <c r="G1500" t="str">
        <f t="shared" si="23"/>
        <v>AMBON201573ML5.2</v>
      </c>
      <c r="H1500">
        <v>70.772000000000006</v>
      </c>
      <c r="I1500">
        <v>-165.62799999999999</v>
      </c>
      <c r="J1500" s="3">
        <v>20150831</v>
      </c>
      <c r="K1500">
        <v>2015</v>
      </c>
      <c r="L1500">
        <v>6.6140600000000003</v>
      </c>
      <c r="M1500">
        <v>0.89054999999999995</v>
      </c>
      <c r="N1500">
        <v>0.38230999999999998</v>
      </c>
      <c r="O1500">
        <v>0.51417999999999997</v>
      </c>
      <c r="P1500">
        <v>1.4E-3</v>
      </c>
      <c r="Q1500">
        <v>0</v>
      </c>
      <c r="R1500">
        <v>0.11115999999999999</v>
      </c>
      <c r="S1500">
        <v>0.62709000000000004</v>
      </c>
      <c r="T1500">
        <v>1.4470799999999999</v>
      </c>
      <c r="U1500">
        <v>0.10059</v>
      </c>
      <c r="V1500">
        <v>10.688420000000001</v>
      </c>
      <c r="W1500" t="s">
        <v>9</v>
      </c>
      <c r="X1500">
        <v>93.02</v>
      </c>
      <c r="Y1500">
        <v>33.107999999999997</v>
      </c>
      <c r="Z1500">
        <v>5.3259999999999996</v>
      </c>
      <c r="AA1500">
        <v>11.426</v>
      </c>
      <c r="AB1500">
        <v>0.1</v>
      </c>
      <c r="AC1500">
        <v>0</v>
      </c>
      <c r="AD1500">
        <v>2.7789999999999999</v>
      </c>
      <c r="AE1500">
        <v>26.202999999999999</v>
      </c>
      <c r="AF1500">
        <v>15.56</v>
      </c>
      <c r="AG1500">
        <v>2.234</v>
      </c>
      <c r="AH1500">
        <v>189.756</v>
      </c>
      <c r="AI1500" t="s">
        <v>21</v>
      </c>
      <c r="AJ1500">
        <v>802.5</v>
      </c>
      <c r="AK1500">
        <v>277.5</v>
      </c>
      <c r="AL1500">
        <v>555</v>
      </c>
      <c r="AM1500">
        <v>22.5</v>
      </c>
      <c r="AN1500">
        <v>15</v>
      </c>
      <c r="AO1500">
        <v>0</v>
      </c>
      <c r="AP1500">
        <v>0</v>
      </c>
      <c r="AQ1500">
        <v>25</v>
      </c>
      <c r="AR1500">
        <v>17.5</v>
      </c>
      <c r="AS1500">
        <v>77.5</v>
      </c>
      <c r="AT1500">
        <v>1792.5</v>
      </c>
      <c r="AU1500" t="s">
        <v>33</v>
      </c>
    </row>
    <row r="1501" spans="1:47" x14ac:dyDescent="0.2">
      <c r="A1501">
        <v>2253</v>
      </c>
      <c r="B1501" t="s">
        <v>830</v>
      </c>
      <c r="C1501">
        <v>74</v>
      </c>
      <c r="D1501" t="s">
        <v>871</v>
      </c>
      <c r="G1501" t="str">
        <f t="shared" si="23"/>
        <v>AMBON201574ML5.1</v>
      </c>
      <c r="H1501">
        <v>70.647999999999996</v>
      </c>
      <c r="I1501">
        <v>-165.99600000000001</v>
      </c>
      <c r="J1501" s="3">
        <v>20150831</v>
      </c>
      <c r="K1501">
        <v>2015</v>
      </c>
      <c r="L1501">
        <v>10.135</v>
      </c>
      <c r="M1501">
        <v>0.50968999999999998</v>
      </c>
      <c r="N1501">
        <v>0.22031000000000001</v>
      </c>
      <c r="O1501">
        <v>5.9000000000000003E-4</v>
      </c>
      <c r="P1501">
        <v>4.4979999999999999E-2</v>
      </c>
      <c r="Q1501">
        <v>0</v>
      </c>
      <c r="R1501">
        <v>0.15407999999999999</v>
      </c>
      <c r="S1501">
        <v>1.45211</v>
      </c>
      <c r="T1501">
        <v>0</v>
      </c>
      <c r="U1501">
        <v>9.6110000000000001E-2</v>
      </c>
      <c r="V1501">
        <v>12.612869999999999</v>
      </c>
      <c r="W1501" t="s">
        <v>9</v>
      </c>
      <c r="X1501">
        <v>155.399</v>
      </c>
      <c r="Y1501">
        <v>33.552</v>
      </c>
      <c r="Z1501">
        <v>3.0760000000000001</v>
      </c>
      <c r="AA1501">
        <v>1.2999999999999999E-2</v>
      </c>
      <c r="AB1501">
        <v>3.2130000000000001</v>
      </c>
      <c r="AC1501">
        <v>0</v>
      </c>
      <c r="AD1501">
        <v>3.8519999999999999</v>
      </c>
      <c r="AE1501">
        <v>80.673000000000002</v>
      </c>
      <c r="AF1501">
        <v>0</v>
      </c>
      <c r="AG1501">
        <v>1.867</v>
      </c>
      <c r="AH1501">
        <v>281.64499999999998</v>
      </c>
      <c r="AI1501" t="s">
        <v>21</v>
      </c>
      <c r="AJ1501">
        <v>1020</v>
      </c>
      <c r="AK1501">
        <v>110</v>
      </c>
      <c r="AL1501">
        <v>340</v>
      </c>
      <c r="AM1501">
        <v>10</v>
      </c>
      <c r="AN1501">
        <v>60</v>
      </c>
      <c r="AO1501">
        <v>0</v>
      </c>
      <c r="AP1501">
        <v>0</v>
      </c>
      <c r="AQ1501">
        <v>70</v>
      </c>
      <c r="AR1501">
        <v>0</v>
      </c>
      <c r="AS1501">
        <v>120</v>
      </c>
      <c r="AT1501">
        <v>1730</v>
      </c>
      <c r="AU1501" t="s">
        <v>33</v>
      </c>
    </row>
    <row r="1502" spans="1:47" x14ac:dyDescent="0.2">
      <c r="A1502">
        <v>2254</v>
      </c>
      <c r="B1502" t="s">
        <v>830</v>
      </c>
      <c r="C1502">
        <v>75</v>
      </c>
      <c r="D1502" t="s">
        <v>872</v>
      </c>
      <c r="G1502" t="str">
        <f t="shared" si="23"/>
        <v>AMBON201575ML1.13</v>
      </c>
      <c r="H1502">
        <v>71.507000000000005</v>
      </c>
      <c r="I1502">
        <v>-167.221</v>
      </c>
      <c r="J1502" s="3">
        <v>20150831</v>
      </c>
      <c r="K1502">
        <v>2015</v>
      </c>
      <c r="L1502">
        <v>1.1407700000000001</v>
      </c>
      <c r="M1502">
        <v>2.2213799999999999</v>
      </c>
      <c r="N1502">
        <v>0.26565</v>
      </c>
      <c r="O1502">
        <v>1.7099999999999999E-3</v>
      </c>
      <c r="P1502">
        <v>0</v>
      </c>
      <c r="Q1502">
        <v>0</v>
      </c>
      <c r="R1502">
        <v>0</v>
      </c>
      <c r="S1502">
        <v>0</v>
      </c>
      <c r="T1502">
        <v>1.28833</v>
      </c>
      <c r="U1502">
        <v>2.6769999999999999E-2</v>
      </c>
      <c r="V1502">
        <v>4.9446099999999999</v>
      </c>
      <c r="W1502" t="s">
        <v>10</v>
      </c>
      <c r="X1502">
        <v>17.629000000000001</v>
      </c>
      <c r="Y1502">
        <v>80.777000000000001</v>
      </c>
      <c r="Z1502">
        <v>3.3340000000000001</v>
      </c>
      <c r="AA1502">
        <v>3.7999999999999999E-2</v>
      </c>
      <c r="AB1502">
        <v>0</v>
      </c>
      <c r="AC1502">
        <v>0</v>
      </c>
      <c r="AD1502">
        <v>0</v>
      </c>
      <c r="AE1502">
        <v>0</v>
      </c>
      <c r="AF1502">
        <v>13.853</v>
      </c>
      <c r="AG1502">
        <v>0.48199999999999998</v>
      </c>
      <c r="AH1502">
        <v>116.113</v>
      </c>
      <c r="AI1502" t="s">
        <v>22</v>
      </c>
      <c r="AJ1502">
        <v>375</v>
      </c>
      <c r="AK1502">
        <v>2735</v>
      </c>
      <c r="AL1502">
        <v>325</v>
      </c>
      <c r="AM1502">
        <v>7.5</v>
      </c>
      <c r="AN1502">
        <v>0</v>
      </c>
      <c r="AO1502">
        <v>0</v>
      </c>
      <c r="AP1502">
        <v>0</v>
      </c>
      <c r="AQ1502">
        <v>0</v>
      </c>
      <c r="AR1502">
        <v>15</v>
      </c>
      <c r="AS1502">
        <v>20</v>
      </c>
      <c r="AT1502">
        <v>3477.5</v>
      </c>
      <c r="AU1502" t="s">
        <v>34</v>
      </c>
    </row>
    <row r="1503" spans="1:47" x14ac:dyDescent="0.2">
      <c r="A1503">
        <v>2255</v>
      </c>
      <c r="B1503" t="s">
        <v>830</v>
      </c>
      <c r="C1503">
        <v>76</v>
      </c>
      <c r="D1503" t="s">
        <v>873</v>
      </c>
      <c r="G1503" t="str">
        <f t="shared" si="23"/>
        <v>AMBON201576ML1.12</v>
      </c>
      <c r="H1503">
        <v>71.385999999999996</v>
      </c>
      <c r="I1503">
        <v>-166.82</v>
      </c>
      <c r="J1503" s="3">
        <v>20150901</v>
      </c>
      <c r="K1503">
        <v>2015</v>
      </c>
      <c r="L1503">
        <v>1.0983499999999999</v>
      </c>
      <c r="M1503">
        <v>2.0541299999999998</v>
      </c>
      <c r="N1503">
        <v>0.30317</v>
      </c>
      <c r="O1503">
        <v>9.0000000000000006E-5</v>
      </c>
      <c r="P1503">
        <v>8.9700000000000005E-3</v>
      </c>
      <c r="Q1503">
        <v>0</v>
      </c>
      <c r="R1503">
        <v>0</v>
      </c>
      <c r="S1503">
        <v>0</v>
      </c>
      <c r="T1503">
        <v>1.78095</v>
      </c>
      <c r="U1503">
        <v>2.0990000000000002E-2</v>
      </c>
      <c r="V1503">
        <v>5.2666500000000003</v>
      </c>
      <c r="W1503" t="s">
        <v>10</v>
      </c>
      <c r="X1503">
        <v>16.263999999999999</v>
      </c>
      <c r="Y1503">
        <v>81.174000000000007</v>
      </c>
      <c r="Z1503">
        <v>3.9009999999999998</v>
      </c>
      <c r="AA1503">
        <v>2E-3</v>
      </c>
      <c r="AB1503">
        <v>0.64100000000000001</v>
      </c>
      <c r="AC1503">
        <v>0</v>
      </c>
      <c r="AD1503">
        <v>0</v>
      </c>
      <c r="AE1503">
        <v>0</v>
      </c>
      <c r="AF1503">
        <v>19.149999999999999</v>
      </c>
      <c r="AG1503">
        <v>0.45900000000000002</v>
      </c>
      <c r="AH1503">
        <v>121.59099999999999</v>
      </c>
      <c r="AI1503" t="s">
        <v>22</v>
      </c>
      <c r="AJ1503">
        <v>565</v>
      </c>
      <c r="AK1503">
        <v>3507.5</v>
      </c>
      <c r="AL1503">
        <v>257.5</v>
      </c>
      <c r="AM1503">
        <v>2.5</v>
      </c>
      <c r="AN1503">
        <v>12.5</v>
      </c>
      <c r="AO1503">
        <v>0</v>
      </c>
      <c r="AP1503">
        <v>0</v>
      </c>
      <c r="AQ1503">
        <v>0</v>
      </c>
      <c r="AR1503">
        <v>10</v>
      </c>
      <c r="AS1503">
        <v>70</v>
      </c>
      <c r="AT1503">
        <v>4425</v>
      </c>
      <c r="AU1503" t="s">
        <v>34</v>
      </c>
    </row>
    <row r="1504" spans="1:47" x14ac:dyDescent="0.2">
      <c r="A1504">
        <v>2256</v>
      </c>
      <c r="B1504" t="s">
        <v>830</v>
      </c>
      <c r="C1504">
        <v>78</v>
      </c>
      <c r="D1504" t="s">
        <v>874</v>
      </c>
      <c r="G1504" t="str">
        <f t="shared" si="23"/>
        <v>AMBON201578ML1.11</v>
      </c>
      <c r="H1504">
        <v>71.266000000000005</v>
      </c>
      <c r="I1504">
        <v>-166.42</v>
      </c>
      <c r="J1504" s="3">
        <v>20150901</v>
      </c>
      <c r="K1504">
        <v>2015</v>
      </c>
      <c r="L1504">
        <v>1.53576</v>
      </c>
      <c r="M1504">
        <v>2.3965399999999999</v>
      </c>
      <c r="N1504">
        <v>0.18409</v>
      </c>
      <c r="O1504">
        <v>1.0399999999999999E-3</v>
      </c>
      <c r="P1504">
        <v>2.146E-2</v>
      </c>
      <c r="Q1504">
        <v>0</v>
      </c>
      <c r="R1504">
        <v>0</v>
      </c>
      <c r="S1504">
        <v>0</v>
      </c>
      <c r="T1504">
        <v>2.7899999999999999E-3</v>
      </c>
      <c r="U1504">
        <v>0.10208</v>
      </c>
      <c r="V1504">
        <v>4.24376</v>
      </c>
      <c r="W1504" t="s">
        <v>10</v>
      </c>
      <c r="X1504">
        <v>22.753</v>
      </c>
      <c r="Y1504">
        <v>97.245999999999995</v>
      </c>
      <c r="Z1504">
        <v>2.5640000000000001</v>
      </c>
      <c r="AA1504">
        <v>2.3E-2</v>
      </c>
      <c r="AB1504">
        <v>1.5329999999999999</v>
      </c>
      <c r="AC1504">
        <v>0</v>
      </c>
      <c r="AD1504">
        <v>0</v>
      </c>
      <c r="AE1504">
        <v>0</v>
      </c>
      <c r="AF1504">
        <v>0.03</v>
      </c>
      <c r="AG1504">
        <v>1.879</v>
      </c>
      <c r="AH1504">
        <v>126.02800000000001</v>
      </c>
      <c r="AI1504" t="s">
        <v>22</v>
      </c>
      <c r="AJ1504">
        <v>592.5</v>
      </c>
      <c r="AK1504">
        <v>4730</v>
      </c>
      <c r="AL1504">
        <v>162.5</v>
      </c>
      <c r="AM1504">
        <v>7.5</v>
      </c>
      <c r="AN1504">
        <v>5</v>
      </c>
      <c r="AO1504">
        <v>0</v>
      </c>
      <c r="AP1504">
        <v>0</v>
      </c>
      <c r="AQ1504">
        <v>0</v>
      </c>
      <c r="AR1504">
        <v>2.5</v>
      </c>
      <c r="AS1504">
        <v>135</v>
      </c>
      <c r="AT1504">
        <v>5635</v>
      </c>
      <c r="AU1504" t="s">
        <v>34</v>
      </c>
    </row>
    <row r="1505" spans="1:47" x14ac:dyDescent="0.2">
      <c r="A1505">
        <v>2257</v>
      </c>
      <c r="B1505" t="s">
        <v>830</v>
      </c>
      <c r="C1505">
        <v>79</v>
      </c>
      <c r="D1505" t="s">
        <v>875</v>
      </c>
      <c r="G1505" t="str">
        <f t="shared" si="23"/>
        <v>AMBON201579ML1.10</v>
      </c>
      <c r="H1505">
        <v>71.143000000000001</v>
      </c>
      <c r="I1505">
        <v>-166.02799999999999</v>
      </c>
      <c r="J1505" s="3">
        <v>20150901</v>
      </c>
      <c r="K1505">
        <v>2015</v>
      </c>
      <c r="L1505">
        <v>2.7583500000000001</v>
      </c>
      <c r="M1505">
        <v>1.70909</v>
      </c>
      <c r="N1505">
        <v>0.12583</v>
      </c>
      <c r="O1505">
        <v>0</v>
      </c>
      <c r="P1505">
        <v>3.2000000000000003E-4</v>
      </c>
      <c r="Q1505">
        <v>0</v>
      </c>
      <c r="R1505">
        <v>0</v>
      </c>
      <c r="S1505">
        <v>0</v>
      </c>
      <c r="T1505">
        <v>6.6769999999999996E-2</v>
      </c>
      <c r="U1505">
        <v>7.6819999999999999E-2</v>
      </c>
      <c r="V1505">
        <v>4.7371800000000004</v>
      </c>
      <c r="W1505" t="s">
        <v>9</v>
      </c>
      <c r="X1505">
        <v>42.369</v>
      </c>
      <c r="Y1505">
        <v>74.930999999999997</v>
      </c>
      <c r="Z1505">
        <v>1.819</v>
      </c>
      <c r="AA1505">
        <v>0</v>
      </c>
      <c r="AB1505">
        <v>2.3E-2</v>
      </c>
      <c r="AC1505">
        <v>0</v>
      </c>
      <c r="AD1505">
        <v>0</v>
      </c>
      <c r="AE1505">
        <v>0</v>
      </c>
      <c r="AF1505">
        <v>0.71799999999999997</v>
      </c>
      <c r="AG1505">
        <v>1.64</v>
      </c>
      <c r="AH1505">
        <v>121.5</v>
      </c>
      <c r="AI1505" t="s">
        <v>22</v>
      </c>
      <c r="AJ1505">
        <v>400</v>
      </c>
      <c r="AK1505">
        <v>2225</v>
      </c>
      <c r="AL1505">
        <v>197.5</v>
      </c>
      <c r="AM1505">
        <v>0</v>
      </c>
      <c r="AN1505">
        <v>5</v>
      </c>
      <c r="AO1505">
        <v>0</v>
      </c>
      <c r="AP1505">
        <v>0</v>
      </c>
      <c r="AQ1505">
        <v>0</v>
      </c>
      <c r="AR1505">
        <v>10</v>
      </c>
      <c r="AS1505">
        <v>217.5</v>
      </c>
      <c r="AT1505">
        <v>3055</v>
      </c>
      <c r="AU1505" t="s">
        <v>34</v>
      </c>
    </row>
    <row r="1506" spans="1:47" x14ac:dyDescent="0.2">
      <c r="A1506">
        <v>2258</v>
      </c>
      <c r="B1506" t="s">
        <v>830</v>
      </c>
      <c r="C1506">
        <v>80</v>
      </c>
      <c r="D1506" t="s">
        <v>876</v>
      </c>
      <c r="G1506" t="str">
        <f t="shared" si="23"/>
        <v>AMBON201580ML1.9</v>
      </c>
      <c r="H1506">
        <v>71.02</v>
      </c>
      <c r="I1506">
        <v>-165.64099999999999</v>
      </c>
      <c r="J1506" s="3">
        <v>20150901</v>
      </c>
      <c r="K1506">
        <v>2015</v>
      </c>
      <c r="L1506">
        <v>2.7212200000000002</v>
      </c>
      <c r="M1506">
        <v>1.3130599999999999</v>
      </c>
      <c r="N1506">
        <v>0.16119</v>
      </c>
      <c r="O1506">
        <v>1.8000000000000001E-4</v>
      </c>
      <c r="P1506">
        <v>5.9999999999999995E-4</v>
      </c>
      <c r="Q1506">
        <v>0</v>
      </c>
      <c r="R1506">
        <v>0</v>
      </c>
      <c r="S1506">
        <v>0</v>
      </c>
      <c r="T1506">
        <v>0.86202000000000001</v>
      </c>
      <c r="U1506">
        <v>2.6380000000000001E-2</v>
      </c>
      <c r="V1506">
        <v>5.0846499999999999</v>
      </c>
      <c r="W1506" t="s">
        <v>9</v>
      </c>
      <c r="X1506">
        <v>39.255000000000003</v>
      </c>
      <c r="Y1506">
        <v>61.603999999999999</v>
      </c>
      <c r="Z1506">
        <v>2.3159999999999998</v>
      </c>
      <c r="AA1506">
        <v>4.0000000000000001E-3</v>
      </c>
      <c r="AB1506">
        <v>4.2999999999999997E-2</v>
      </c>
      <c r="AC1506">
        <v>0</v>
      </c>
      <c r="AD1506">
        <v>0</v>
      </c>
      <c r="AE1506">
        <v>0</v>
      </c>
      <c r="AF1506">
        <v>9.2690000000000001</v>
      </c>
      <c r="AG1506">
        <v>0.76100000000000001</v>
      </c>
      <c r="AH1506">
        <v>113.252</v>
      </c>
      <c r="AI1506" t="s">
        <v>22</v>
      </c>
      <c r="AJ1506">
        <v>322.5</v>
      </c>
      <c r="AK1506">
        <v>1335</v>
      </c>
      <c r="AL1506">
        <v>222.5</v>
      </c>
      <c r="AM1506">
        <v>2.5</v>
      </c>
      <c r="AN1506">
        <v>10</v>
      </c>
      <c r="AO1506">
        <v>0</v>
      </c>
      <c r="AP1506">
        <v>0</v>
      </c>
      <c r="AQ1506">
        <v>0</v>
      </c>
      <c r="AR1506">
        <v>12.5</v>
      </c>
      <c r="AS1506">
        <v>37.5</v>
      </c>
      <c r="AT1506">
        <v>1942.5</v>
      </c>
      <c r="AU1506" t="s">
        <v>34</v>
      </c>
    </row>
    <row r="1507" spans="1:47" x14ac:dyDescent="0.2">
      <c r="A1507">
        <v>2259</v>
      </c>
      <c r="B1507" t="s">
        <v>830</v>
      </c>
      <c r="C1507">
        <v>81</v>
      </c>
      <c r="D1507" t="s">
        <v>877</v>
      </c>
      <c r="G1507" t="str">
        <f t="shared" si="23"/>
        <v>AMBON201581ML1.8</v>
      </c>
      <c r="H1507">
        <v>70.897000000000006</v>
      </c>
      <c r="I1507">
        <v>-165.25399999999999</v>
      </c>
      <c r="J1507" s="3">
        <v>20150901</v>
      </c>
      <c r="K1507">
        <v>2015</v>
      </c>
      <c r="L1507">
        <v>5.1684200000000002</v>
      </c>
      <c r="M1507">
        <v>1.3135600000000001</v>
      </c>
      <c r="N1507">
        <v>0.43942999999999999</v>
      </c>
      <c r="O1507">
        <v>1.3815</v>
      </c>
      <c r="P1507">
        <v>8.3400000000000002E-3</v>
      </c>
      <c r="Q1507">
        <v>0</v>
      </c>
      <c r="R1507">
        <v>0</v>
      </c>
      <c r="S1507">
        <v>4.3830000000000001E-2</v>
      </c>
      <c r="T1507">
        <v>0.16880000000000001</v>
      </c>
      <c r="U1507">
        <v>1.5299999999999999E-2</v>
      </c>
      <c r="V1507">
        <v>8.53918</v>
      </c>
      <c r="W1507" t="s">
        <v>9</v>
      </c>
      <c r="X1507">
        <v>75.905000000000001</v>
      </c>
      <c r="Y1507">
        <v>40.802999999999997</v>
      </c>
      <c r="Z1507">
        <v>6.3890000000000002</v>
      </c>
      <c r="AA1507">
        <v>30.7</v>
      </c>
      <c r="AB1507">
        <v>0.59599999999999997</v>
      </c>
      <c r="AC1507">
        <v>0</v>
      </c>
      <c r="AD1507">
        <v>0</v>
      </c>
      <c r="AE1507">
        <v>3.1309999999999998</v>
      </c>
      <c r="AF1507">
        <v>1.8149999999999999</v>
      </c>
      <c r="AG1507">
        <v>0.40400000000000003</v>
      </c>
      <c r="AH1507">
        <v>159.74299999999999</v>
      </c>
      <c r="AI1507" t="s">
        <v>21</v>
      </c>
      <c r="AJ1507">
        <v>652.5</v>
      </c>
      <c r="AK1507">
        <v>407.5</v>
      </c>
      <c r="AL1507">
        <v>692.5</v>
      </c>
      <c r="AM1507">
        <v>2.5</v>
      </c>
      <c r="AN1507">
        <v>17.5</v>
      </c>
      <c r="AO1507">
        <v>0</v>
      </c>
      <c r="AP1507">
        <v>0</v>
      </c>
      <c r="AQ1507">
        <v>2.5</v>
      </c>
      <c r="AR1507">
        <v>7.5</v>
      </c>
      <c r="AS1507">
        <v>27.5</v>
      </c>
      <c r="AT1507">
        <v>1810</v>
      </c>
      <c r="AU1507" t="s">
        <v>35</v>
      </c>
    </row>
    <row r="1508" spans="1:47" x14ac:dyDescent="0.2">
      <c r="A1508">
        <v>2260</v>
      </c>
      <c r="B1508" t="s">
        <v>830</v>
      </c>
      <c r="C1508">
        <v>82</v>
      </c>
      <c r="D1508" t="s">
        <v>878</v>
      </c>
      <c r="G1508" t="str">
        <f t="shared" si="23"/>
        <v>AMBON201582ML1.7</v>
      </c>
      <c r="H1508">
        <v>70.772000000000006</v>
      </c>
      <c r="I1508">
        <v>-164.87799999999999</v>
      </c>
      <c r="J1508" s="3">
        <v>20150902</v>
      </c>
      <c r="K1508">
        <v>2015</v>
      </c>
      <c r="L1508">
        <v>8.4201300000000003</v>
      </c>
      <c r="M1508">
        <v>0.15337000000000001</v>
      </c>
      <c r="N1508">
        <v>0.31387999999999999</v>
      </c>
      <c r="O1508">
        <v>0.30109999999999998</v>
      </c>
      <c r="P1508">
        <v>3.5300000000000002E-3</v>
      </c>
      <c r="Q1508">
        <v>0</v>
      </c>
      <c r="R1508">
        <v>0</v>
      </c>
      <c r="S1508">
        <v>0</v>
      </c>
      <c r="T1508">
        <v>9.3000000000000005E-4</v>
      </c>
      <c r="U1508">
        <v>9.1599999999999997E-3</v>
      </c>
      <c r="V1508">
        <v>9.2020999999999997</v>
      </c>
      <c r="W1508" t="s">
        <v>9</v>
      </c>
      <c r="X1508">
        <v>120.267</v>
      </c>
      <c r="Y1508">
        <v>5.3019999999999996</v>
      </c>
      <c r="Z1508">
        <v>4.5590000000000002</v>
      </c>
      <c r="AA1508">
        <v>6.6909999999999998</v>
      </c>
      <c r="AB1508">
        <v>0.252</v>
      </c>
      <c r="AC1508">
        <v>0</v>
      </c>
      <c r="AD1508">
        <v>0</v>
      </c>
      <c r="AE1508">
        <v>0</v>
      </c>
      <c r="AF1508">
        <v>0.01</v>
      </c>
      <c r="AG1508">
        <v>0.30199999999999999</v>
      </c>
      <c r="AH1508">
        <v>137.38300000000001</v>
      </c>
      <c r="AI1508" t="s">
        <v>21</v>
      </c>
      <c r="AJ1508">
        <v>755</v>
      </c>
      <c r="AK1508">
        <v>260</v>
      </c>
      <c r="AL1508">
        <v>685</v>
      </c>
      <c r="AM1508">
        <v>5</v>
      </c>
      <c r="AN1508">
        <v>5</v>
      </c>
      <c r="AO1508">
        <v>0</v>
      </c>
      <c r="AP1508">
        <v>0</v>
      </c>
      <c r="AQ1508">
        <v>0</v>
      </c>
      <c r="AR1508">
        <v>5</v>
      </c>
      <c r="AS1508">
        <v>12.5</v>
      </c>
      <c r="AT1508">
        <v>1727.5</v>
      </c>
      <c r="AU1508" t="s">
        <v>33</v>
      </c>
    </row>
    <row r="1509" spans="1:47" x14ac:dyDescent="0.2">
      <c r="A1509">
        <v>2261</v>
      </c>
      <c r="B1509" t="s">
        <v>830</v>
      </c>
      <c r="C1509">
        <v>83</v>
      </c>
      <c r="D1509" t="s">
        <v>879</v>
      </c>
      <c r="G1509" t="str">
        <f t="shared" si="23"/>
        <v>AMBON201583ML1.6</v>
      </c>
      <c r="H1509">
        <v>70.647000000000006</v>
      </c>
      <c r="I1509">
        <v>-164.50200000000001</v>
      </c>
      <c r="J1509" s="3">
        <v>20150902</v>
      </c>
      <c r="K1509">
        <v>2015</v>
      </c>
      <c r="L1509">
        <v>5.7197899999999997</v>
      </c>
      <c r="M1509">
        <v>2.5355500000000002</v>
      </c>
      <c r="N1509">
        <v>0.43307000000000001</v>
      </c>
      <c r="O1509">
        <v>1.40432</v>
      </c>
      <c r="P1509">
        <v>3.7870000000000001E-2</v>
      </c>
      <c r="Q1509">
        <v>0</v>
      </c>
      <c r="R1509">
        <v>0</v>
      </c>
      <c r="S1509">
        <v>0</v>
      </c>
      <c r="T1509">
        <v>2.0400000000000001E-3</v>
      </c>
      <c r="U1509">
        <v>0.17237</v>
      </c>
      <c r="V1509">
        <v>10.305009999999999</v>
      </c>
      <c r="W1509" t="s">
        <v>9</v>
      </c>
      <c r="X1509">
        <v>82.067999999999998</v>
      </c>
      <c r="Y1509">
        <v>99.521000000000001</v>
      </c>
      <c r="Z1509">
        <v>6.2859999999999996</v>
      </c>
      <c r="AA1509">
        <v>31.207000000000001</v>
      </c>
      <c r="AB1509">
        <v>2.7050000000000001</v>
      </c>
      <c r="AC1509">
        <v>0</v>
      </c>
      <c r="AD1509">
        <v>0</v>
      </c>
      <c r="AE1509">
        <v>0</v>
      </c>
      <c r="AF1509">
        <v>2.1999999999999999E-2</v>
      </c>
      <c r="AG1509">
        <v>5.58</v>
      </c>
      <c r="AH1509">
        <v>227.38900000000001</v>
      </c>
      <c r="AI1509" t="s">
        <v>22</v>
      </c>
      <c r="AJ1509">
        <v>630</v>
      </c>
      <c r="AK1509">
        <v>565</v>
      </c>
      <c r="AL1509">
        <v>790</v>
      </c>
      <c r="AM1509">
        <v>2.5</v>
      </c>
      <c r="AN1509">
        <v>15</v>
      </c>
      <c r="AO1509">
        <v>0</v>
      </c>
      <c r="AP1509">
        <v>0</v>
      </c>
      <c r="AQ1509">
        <v>0</v>
      </c>
      <c r="AR1509">
        <v>2.5</v>
      </c>
      <c r="AS1509">
        <v>60</v>
      </c>
      <c r="AT1509">
        <v>2065</v>
      </c>
      <c r="AU1509" t="s">
        <v>35</v>
      </c>
    </row>
    <row r="1510" spans="1:47" x14ac:dyDescent="0.2">
      <c r="A1510">
        <v>2262</v>
      </c>
      <c r="B1510" t="s">
        <v>830</v>
      </c>
      <c r="C1510">
        <v>84</v>
      </c>
      <c r="D1510" t="s">
        <v>880</v>
      </c>
      <c r="G1510" t="str">
        <f t="shared" si="23"/>
        <v>AMBON201584ML1.5</v>
      </c>
      <c r="H1510">
        <v>70.524000000000001</v>
      </c>
      <c r="I1510">
        <v>-164.12700000000001</v>
      </c>
      <c r="J1510" s="3">
        <v>20150902</v>
      </c>
      <c r="K1510">
        <v>2015</v>
      </c>
      <c r="L1510">
        <v>4.28613</v>
      </c>
      <c r="M1510">
        <v>7.07369</v>
      </c>
      <c r="N1510">
        <v>0.17344000000000001</v>
      </c>
      <c r="O1510">
        <v>0.74663999999999997</v>
      </c>
      <c r="P1510">
        <v>1.848E-2</v>
      </c>
      <c r="Q1510">
        <v>0</v>
      </c>
      <c r="R1510">
        <v>0</v>
      </c>
      <c r="S1510">
        <v>0</v>
      </c>
      <c r="T1510">
        <v>0.61063999999999996</v>
      </c>
      <c r="U1510">
        <v>3.2070000000000001E-2</v>
      </c>
      <c r="V1510">
        <v>12.941090000000001</v>
      </c>
      <c r="W1510" t="s">
        <v>10</v>
      </c>
      <c r="X1510">
        <v>63.283999999999999</v>
      </c>
      <c r="Y1510">
        <v>418.12200000000001</v>
      </c>
      <c r="Z1510">
        <v>2.5259999999999998</v>
      </c>
      <c r="AA1510">
        <v>16.591999999999999</v>
      </c>
      <c r="AB1510">
        <v>1.32</v>
      </c>
      <c r="AC1510">
        <v>0</v>
      </c>
      <c r="AD1510">
        <v>0</v>
      </c>
      <c r="AE1510">
        <v>0</v>
      </c>
      <c r="AF1510">
        <v>6.5659999999999998</v>
      </c>
      <c r="AG1510">
        <v>1.3120000000000001</v>
      </c>
      <c r="AH1510">
        <v>509.72199999999998</v>
      </c>
      <c r="AI1510" t="s">
        <v>22</v>
      </c>
      <c r="AJ1510">
        <v>972.5</v>
      </c>
      <c r="AK1510">
        <v>680</v>
      </c>
      <c r="AL1510">
        <v>402.5</v>
      </c>
      <c r="AM1510">
        <v>15</v>
      </c>
      <c r="AN1510">
        <v>27.5</v>
      </c>
      <c r="AO1510">
        <v>0</v>
      </c>
      <c r="AP1510">
        <v>0</v>
      </c>
      <c r="AQ1510">
        <v>0</v>
      </c>
      <c r="AR1510">
        <v>7.5</v>
      </c>
      <c r="AS1510">
        <v>35</v>
      </c>
      <c r="AT1510">
        <v>2140</v>
      </c>
      <c r="AU1510" t="s">
        <v>33</v>
      </c>
    </row>
    <row r="1511" spans="1:47" x14ac:dyDescent="0.2">
      <c r="A1511">
        <v>2263</v>
      </c>
      <c r="B1511" t="s">
        <v>830</v>
      </c>
      <c r="C1511">
        <v>85</v>
      </c>
      <c r="D1511" t="s">
        <v>881</v>
      </c>
      <c r="G1511" t="str">
        <f t="shared" si="23"/>
        <v>AMBON201585ML1.4</v>
      </c>
      <c r="H1511">
        <v>70.397999999999996</v>
      </c>
      <c r="I1511">
        <v>-163.76499999999999</v>
      </c>
      <c r="J1511" s="3">
        <v>20150902</v>
      </c>
      <c r="K1511">
        <v>2015</v>
      </c>
      <c r="L1511">
        <v>3.687E-2</v>
      </c>
      <c r="M1511">
        <v>1.1660600000000001</v>
      </c>
      <c r="N1511">
        <v>3.2039999999999999E-2</v>
      </c>
      <c r="O1511">
        <v>0</v>
      </c>
      <c r="P1511">
        <v>0</v>
      </c>
      <c r="Q1511">
        <v>9.6368100000000005</v>
      </c>
      <c r="R1511">
        <v>0</v>
      </c>
      <c r="S1511">
        <v>0</v>
      </c>
      <c r="T1511">
        <v>0</v>
      </c>
      <c r="U1511">
        <v>2.9270000000000001E-2</v>
      </c>
      <c r="V1511">
        <v>10.90105</v>
      </c>
      <c r="W1511" t="s">
        <v>14</v>
      </c>
      <c r="X1511">
        <v>0.53200000000000003</v>
      </c>
      <c r="Y1511">
        <v>68.361999999999995</v>
      </c>
      <c r="Z1511">
        <v>0.433</v>
      </c>
      <c r="AA1511">
        <v>0</v>
      </c>
      <c r="AB1511">
        <v>0</v>
      </c>
      <c r="AC1511">
        <v>1204.6010000000001</v>
      </c>
      <c r="AD1511">
        <v>0</v>
      </c>
      <c r="AE1511">
        <v>0</v>
      </c>
      <c r="AF1511">
        <v>0</v>
      </c>
      <c r="AG1511">
        <v>0.501</v>
      </c>
      <c r="AH1511">
        <v>1274.4290000000001</v>
      </c>
      <c r="AI1511" t="s">
        <v>26</v>
      </c>
      <c r="AJ1511">
        <v>72.5</v>
      </c>
      <c r="AK1511">
        <v>170</v>
      </c>
      <c r="AL1511">
        <v>52.5</v>
      </c>
      <c r="AM1511">
        <v>0</v>
      </c>
      <c r="AN1511">
        <v>0</v>
      </c>
      <c r="AO1511">
        <v>202.5</v>
      </c>
      <c r="AP1511">
        <v>0</v>
      </c>
      <c r="AQ1511">
        <v>0</v>
      </c>
      <c r="AR1511">
        <v>0</v>
      </c>
      <c r="AS1511">
        <v>12.5</v>
      </c>
      <c r="AT1511">
        <v>510</v>
      </c>
      <c r="AU1511" t="s">
        <v>38</v>
      </c>
    </row>
    <row r="1512" spans="1:47" x14ac:dyDescent="0.2">
      <c r="A1512">
        <v>2264</v>
      </c>
      <c r="B1512" t="s">
        <v>830</v>
      </c>
      <c r="C1512">
        <v>87</v>
      </c>
      <c r="D1512" t="s">
        <v>882</v>
      </c>
      <c r="G1512" t="str">
        <f t="shared" si="23"/>
        <v>AMBON201587ML1.2</v>
      </c>
      <c r="H1512">
        <v>70.141000000000005</v>
      </c>
      <c r="I1512">
        <v>-163.05099999999999</v>
      </c>
      <c r="J1512" s="3">
        <v>20150902</v>
      </c>
      <c r="K1512">
        <v>2015</v>
      </c>
      <c r="L1512">
        <v>0.17695</v>
      </c>
      <c r="M1512">
        <v>2.1000000000000001E-2</v>
      </c>
      <c r="N1512">
        <v>1.6109999999999999E-2</v>
      </c>
      <c r="O1512">
        <v>5.5399999999999998E-3</v>
      </c>
      <c r="P1512">
        <v>8.4019999999999997E-2</v>
      </c>
      <c r="Q1512">
        <v>0.68554000000000004</v>
      </c>
      <c r="R1512">
        <v>0.36404999999999998</v>
      </c>
      <c r="S1512">
        <v>0.10088</v>
      </c>
      <c r="T1512">
        <v>0</v>
      </c>
      <c r="U1512">
        <v>8.2680000000000003E-2</v>
      </c>
      <c r="V1512">
        <v>1.53677</v>
      </c>
      <c r="W1512" t="s">
        <v>14</v>
      </c>
      <c r="X1512">
        <v>2.4620000000000002</v>
      </c>
      <c r="Y1512">
        <v>0.78100000000000003</v>
      </c>
      <c r="Z1512">
        <v>0.20599999999999999</v>
      </c>
      <c r="AA1512">
        <v>0.123</v>
      </c>
      <c r="AB1512">
        <v>6.0010000000000003</v>
      </c>
      <c r="AC1512">
        <v>85.692999999999998</v>
      </c>
      <c r="AD1512">
        <v>5.968</v>
      </c>
      <c r="AE1512">
        <v>5.63</v>
      </c>
      <c r="AF1512">
        <v>0</v>
      </c>
      <c r="AG1512">
        <v>2.8730000000000002</v>
      </c>
      <c r="AH1512">
        <v>109.73699999999999</v>
      </c>
      <c r="AI1512" t="s">
        <v>26</v>
      </c>
      <c r="AJ1512">
        <v>177.5</v>
      </c>
      <c r="AK1512">
        <v>115</v>
      </c>
      <c r="AL1512">
        <v>177.5</v>
      </c>
      <c r="AM1512">
        <v>2.5</v>
      </c>
      <c r="AN1512">
        <v>20</v>
      </c>
      <c r="AO1512">
        <v>227.5</v>
      </c>
      <c r="AP1512">
        <v>10</v>
      </c>
      <c r="AQ1512">
        <v>30</v>
      </c>
      <c r="AR1512">
        <v>0</v>
      </c>
      <c r="AS1512">
        <v>112.5</v>
      </c>
      <c r="AT1512">
        <v>872.5</v>
      </c>
      <c r="AU1512" t="s">
        <v>38</v>
      </c>
    </row>
    <row r="1513" spans="1:47" x14ac:dyDescent="0.2">
      <c r="A1513">
        <v>2265</v>
      </c>
      <c r="B1513" t="s">
        <v>830</v>
      </c>
      <c r="C1513">
        <v>88</v>
      </c>
      <c r="D1513" t="s">
        <v>883</v>
      </c>
      <c r="G1513" t="str">
        <f t="shared" si="23"/>
        <v>AMBON201588ML1.1</v>
      </c>
      <c r="H1513">
        <v>70.036000000000001</v>
      </c>
      <c r="I1513">
        <v>-162.76599999999999</v>
      </c>
      <c r="J1513" s="3">
        <v>20150903</v>
      </c>
      <c r="K1513">
        <v>2015</v>
      </c>
      <c r="L1513">
        <v>0.53029999999999999</v>
      </c>
      <c r="M1513">
        <v>1.8666</v>
      </c>
      <c r="N1513">
        <v>1.001E-2</v>
      </c>
      <c r="O1513">
        <v>0</v>
      </c>
      <c r="P1513">
        <v>3.9100000000000003E-2</v>
      </c>
      <c r="Q1513">
        <v>0</v>
      </c>
      <c r="R1513">
        <v>6.0330000000000002E-2</v>
      </c>
      <c r="S1513">
        <v>0.16827</v>
      </c>
      <c r="T1513">
        <v>1.67E-3</v>
      </c>
      <c r="U1513">
        <v>5.0360000000000002E-2</v>
      </c>
      <c r="V1513">
        <v>2.7266400000000002</v>
      </c>
      <c r="W1513" t="s">
        <v>10</v>
      </c>
      <c r="X1513">
        <v>10.631</v>
      </c>
      <c r="Y1513">
        <v>93.481999999999999</v>
      </c>
      <c r="Z1513">
        <v>0.13300000000000001</v>
      </c>
      <c r="AA1513">
        <v>0</v>
      </c>
      <c r="AB1513">
        <v>2.7930000000000001</v>
      </c>
      <c r="AC1513">
        <v>0</v>
      </c>
      <c r="AD1513">
        <v>0.98899999999999999</v>
      </c>
      <c r="AE1513">
        <v>12.019</v>
      </c>
      <c r="AF1513">
        <v>1.7999999999999999E-2</v>
      </c>
      <c r="AG1513">
        <v>0.98499999999999999</v>
      </c>
      <c r="AH1513">
        <v>121.05</v>
      </c>
      <c r="AI1513" t="s">
        <v>22</v>
      </c>
      <c r="AJ1513">
        <v>490</v>
      </c>
      <c r="AK1513">
        <v>245</v>
      </c>
      <c r="AL1513">
        <v>67.5</v>
      </c>
      <c r="AM1513">
        <v>0</v>
      </c>
      <c r="AN1513">
        <v>30</v>
      </c>
      <c r="AO1513">
        <v>0</v>
      </c>
      <c r="AP1513">
        <v>2.5</v>
      </c>
      <c r="AQ1513">
        <v>22.5</v>
      </c>
      <c r="AR1513">
        <v>5</v>
      </c>
      <c r="AS1513">
        <v>12.5</v>
      </c>
      <c r="AT1513">
        <v>875</v>
      </c>
      <c r="AU1513" t="s">
        <v>33</v>
      </c>
    </row>
    <row r="1514" spans="1:47" x14ac:dyDescent="0.2">
      <c r="A1514">
        <v>2296</v>
      </c>
      <c r="B1514" t="s">
        <v>888</v>
      </c>
      <c r="C1514">
        <v>41</v>
      </c>
      <c r="D1514" t="s">
        <v>551</v>
      </c>
      <c r="G1514" t="str">
        <f t="shared" si="23"/>
        <v>SWL201641SLIP1</v>
      </c>
      <c r="H1514">
        <v>62.01</v>
      </c>
      <c r="I1514">
        <v>-175.06299999999999</v>
      </c>
      <c r="J1514" s="3">
        <v>20160712</v>
      </c>
      <c r="K1514">
        <v>2016</v>
      </c>
      <c r="L1514">
        <v>10.55705</v>
      </c>
      <c r="M1514">
        <v>7.8115699999999997</v>
      </c>
      <c r="N1514">
        <v>0.34072999999999998</v>
      </c>
      <c r="O1514">
        <v>8.9499999999999996E-3</v>
      </c>
      <c r="P1514">
        <v>8.1229999999999997E-2</v>
      </c>
      <c r="Q1514">
        <v>0</v>
      </c>
      <c r="R1514">
        <v>0</v>
      </c>
      <c r="S1514">
        <v>0.12883</v>
      </c>
      <c r="T1514">
        <v>1.916E-2</v>
      </c>
      <c r="U1514">
        <v>0.36903999999999998</v>
      </c>
      <c r="V1514">
        <v>19.316559999999999</v>
      </c>
      <c r="W1514" t="s">
        <v>9</v>
      </c>
      <c r="X1514">
        <v>155.81700000000001</v>
      </c>
      <c r="Y1514">
        <v>223.809</v>
      </c>
      <c r="Z1514">
        <v>4.1980000000000004</v>
      </c>
      <c r="AA1514">
        <v>0.19900000000000001</v>
      </c>
      <c r="AB1514">
        <v>5.8019999999999996</v>
      </c>
      <c r="AC1514">
        <v>0</v>
      </c>
      <c r="AD1514">
        <v>0</v>
      </c>
      <c r="AE1514">
        <v>9.202</v>
      </c>
      <c r="AF1514">
        <v>0.20599999999999999</v>
      </c>
      <c r="AG1514">
        <v>6.2510000000000003</v>
      </c>
      <c r="AH1514">
        <v>405.48399999999998</v>
      </c>
      <c r="AI1514" t="s">
        <v>22</v>
      </c>
      <c r="AJ1514">
        <v>2352.5</v>
      </c>
      <c r="AK1514">
        <v>652.5</v>
      </c>
      <c r="AL1514">
        <v>265</v>
      </c>
      <c r="AM1514">
        <v>25</v>
      </c>
      <c r="AN1514">
        <v>35</v>
      </c>
      <c r="AO1514">
        <v>0</v>
      </c>
      <c r="AP1514">
        <v>0</v>
      </c>
      <c r="AQ1514">
        <v>15</v>
      </c>
      <c r="AR1514">
        <v>17.5</v>
      </c>
      <c r="AS1514">
        <v>297.5</v>
      </c>
      <c r="AT1514">
        <v>3660</v>
      </c>
      <c r="AU1514" t="s">
        <v>33</v>
      </c>
    </row>
    <row r="1515" spans="1:47" x14ac:dyDescent="0.2">
      <c r="A1515">
        <v>2297</v>
      </c>
      <c r="B1515" t="s">
        <v>888</v>
      </c>
      <c r="C1515">
        <v>46</v>
      </c>
      <c r="D1515" t="s">
        <v>552</v>
      </c>
      <c r="G1515" t="str">
        <f t="shared" si="23"/>
        <v>SWL201646SLIP2</v>
      </c>
      <c r="H1515">
        <v>62.052</v>
      </c>
      <c r="I1515">
        <v>-175.21299999999999</v>
      </c>
      <c r="J1515" s="3">
        <v>20160713</v>
      </c>
      <c r="K1515">
        <v>2016</v>
      </c>
      <c r="L1515">
        <v>5.7882899999999999</v>
      </c>
      <c r="M1515">
        <v>4.4420000000000002</v>
      </c>
      <c r="N1515">
        <v>0.23030999999999999</v>
      </c>
      <c r="O1515">
        <v>6.3E-3</v>
      </c>
      <c r="P1515">
        <v>0.15039</v>
      </c>
      <c r="Q1515">
        <v>0</v>
      </c>
      <c r="R1515">
        <v>0</v>
      </c>
      <c r="S1515">
        <v>0</v>
      </c>
      <c r="T1515">
        <v>1.2892600000000001</v>
      </c>
      <c r="U1515">
        <v>0.15023</v>
      </c>
      <c r="V1515">
        <v>12.05678</v>
      </c>
      <c r="W1515" t="s">
        <v>9</v>
      </c>
      <c r="X1515">
        <v>85.983000000000004</v>
      </c>
      <c r="Y1515">
        <v>129.453</v>
      </c>
      <c r="Z1515">
        <v>2.891</v>
      </c>
      <c r="AA1515">
        <v>0.14000000000000001</v>
      </c>
      <c r="AB1515">
        <v>10.743</v>
      </c>
      <c r="AC1515">
        <v>0</v>
      </c>
      <c r="AD1515">
        <v>0</v>
      </c>
      <c r="AE1515">
        <v>0</v>
      </c>
      <c r="AF1515">
        <v>13.863</v>
      </c>
      <c r="AG1515">
        <v>2.726</v>
      </c>
      <c r="AH1515">
        <v>245.79900000000001</v>
      </c>
      <c r="AI1515" t="s">
        <v>22</v>
      </c>
      <c r="AJ1515">
        <v>2357.5</v>
      </c>
      <c r="AK1515">
        <v>737.5</v>
      </c>
      <c r="AL1515">
        <v>237.5</v>
      </c>
      <c r="AM1515">
        <v>7.5</v>
      </c>
      <c r="AN1515">
        <v>5</v>
      </c>
      <c r="AO1515">
        <v>0</v>
      </c>
      <c r="AP1515">
        <v>0</v>
      </c>
      <c r="AQ1515">
        <v>0</v>
      </c>
      <c r="AR1515">
        <v>22.5</v>
      </c>
      <c r="AS1515">
        <v>282.5</v>
      </c>
      <c r="AT1515">
        <v>3650</v>
      </c>
      <c r="AU1515" t="s">
        <v>33</v>
      </c>
    </row>
    <row r="1516" spans="1:47" x14ac:dyDescent="0.2">
      <c r="A1516">
        <v>2298</v>
      </c>
      <c r="B1516" t="s">
        <v>888</v>
      </c>
      <c r="C1516">
        <v>52</v>
      </c>
      <c r="D1516" t="s">
        <v>553</v>
      </c>
      <c r="G1516" t="str">
        <f t="shared" si="23"/>
        <v>SWL201652SLIP3</v>
      </c>
      <c r="H1516">
        <v>62.387999999999998</v>
      </c>
      <c r="I1516">
        <v>-174.57300000000001</v>
      </c>
      <c r="J1516" s="3">
        <v>20160713</v>
      </c>
      <c r="K1516">
        <v>2016</v>
      </c>
      <c r="L1516">
        <v>7.8194600000000003</v>
      </c>
      <c r="M1516">
        <v>1.77711</v>
      </c>
      <c r="N1516">
        <v>1.8917200000000001</v>
      </c>
      <c r="O1516">
        <v>8.4999999999999995E-4</v>
      </c>
      <c r="P1516">
        <v>0.35587000000000002</v>
      </c>
      <c r="Q1516">
        <v>0</v>
      </c>
      <c r="R1516">
        <v>0.19792000000000001</v>
      </c>
      <c r="S1516">
        <v>0.77205999999999997</v>
      </c>
      <c r="T1516">
        <v>1.14808</v>
      </c>
      <c r="U1516">
        <v>0.25273000000000001</v>
      </c>
      <c r="V1516">
        <v>14.2158</v>
      </c>
      <c r="W1516" t="s">
        <v>9</v>
      </c>
      <c r="X1516">
        <v>114.414</v>
      </c>
      <c r="Y1516">
        <v>50.57</v>
      </c>
      <c r="Z1516">
        <v>24.023</v>
      </c>
      <c r="AA1516">
        <v>1.9E-2</v>
      </c>
      <c r="AB1516">
        <v>25.419</v>
      </c>
      <c r="AC1516">
        <v>0</v>
      </c>
      <c r="AD1516">
        <v>4.9480000000000004</v>
      </c>
      <c r="AE1516">
        <v>55.146999999999998</v>
      </c>
      <c r="AF1516">
        <v>12.345000000000001</v>
      </c>
      <c r="AG1516">
        <v>5.0540000000000003</v>
      </c>
      <c r="AH1516">
        <v>291.93900000000002</v>
      </c>
      <c r="AI1516" t="s">
        <v>21</v>
      </c>
      <c r="AJ1516">
        <v>3817.5</v>
      </c>
      <c r="AK1516">
        <v>645</v>
      </c>
      <c r="AL1516">
        <v>902.5</v>
      </c>
      <c r="AM1516">
        <v>5</v>
      </c>
      <c r="AN1516">
        <v>15</v>
      </c>
      <c r="AO1516">
        <v>0</v>
      </c>
      <c r="AP1516">
        <v>2.5</v>
      </c>
      <c r="AQ1516">
        <v>7.5</v>
      </c>
      <c r="AR1516">
        <v>52.5</v>
      </c>
      <c r="AS1516">
        <v>242.5</v>
      </c>
      <c r="AT1516">
        <v>5690</v>
      </c>
      <c r="AU1516" t="s">
        <v>33</v>
      </c>
    </row>
    <row r="1517" spans="1:47" x14ac:dyDescent="0.2">
      <c r="A1517">
        <v>2299</v>
      </c>
      <c r="B1517" t="s">
        <v>888</v>
      </c>
      <c r="C1517">
        <v>58</v>
      </c>
      <c r="D1517" t="s">
        <v>554</v>
      </c>
      <c r="G1517" t="str">
        <f t="shared" si="23"/>
        <v>SWL201658SLIP5</v>
      </c>
      <c r="H1517">
        <v>62.56</v>
      </c>
      <c r="I1517">
        <v>-173.54900000000001</v>
      </c>
      <c r="J1517" s="3">
        <v>20160713</v>
      </c>
      <c r="K1517">
        <v>2016</v>
      </c>
      <c r="L1517">
        <v>2.8414899999999998</v>
      </c>
      <c r="M1517">
        <v>15.529909999999999</v>
      </c>
      <c r="N1517">
        <v>0.99358000000000002</v>
      </c>
      <c r="O1517">
        <v>5.9000000000000003E-4</v>
      </c>
      <c r="P1517">
        <v>0.56264999999999998</v>
      </c>
      <c r="Q1517">
        <v>0</v>
      </c>
      <c r="R1517">
        <v>0</v>
      </c>
      <c r="S1517">
        <v>0</v>
      </c>
      <c r="T1517">
        <v>1.15097</v>
      </c>
      <c r="U1517">
        <v>3.3640000000000003E-2</v>
      </c>
      <c r="V1517">
        <v>21.112829999999999</v>
      </c>
      <c r="W1517" t="s">
        <v>10</v>
      </c>
      <c r="X1517">
        <v>43.558999999999997</v>
      </c>
      <c r="Y1517">
        <v>447.661</v>
      </c>
      <c r="Z1517">
        <v>12.555999999999999</v>
      </c>
      <c r="AA1517">
        <v>1.2999999999999999E-2</v>
      </c>
      <c r="AB1517">
        <v>40.189</v>
      </c>
      <c r="AC1517">
        <v>0</v>
      </c>
      <c r="AD1517">
        <v>0</v>
      </c>
      <c r="AE1517">
        <v>0</v>
      </c>
      <c r="AF1517">
        <v>12.375999999999999</v>
      </c>
      <c r="AG1517">
        <v>0.72799999999999998</v>
      </c>
      <c r="AH1517">
        <v>557.08199999999999</v>
      </c>
      <c r="AI1517" t="s">
        <v>22</v>
      </c>
      <c r="AJ1517">
        <v>1360</v>
      </c>
      <c r="AK1517">
        <v>900</v>
      </c>
      <c r="AL1517">
        <v>430</v>
      </c>
      <c r="AM1517">
        <v>2.5</v>
      </c>
      <c r="AN1517">
        <v>10</v>
      </c>
      <c r="AO1517">
        <v>0</v>
      </c>
      <c r="AP1517">
        <v>0</v>
      </c>
      <c r="AQ1517">
        <v>0</v>
      </c>
      <c r="AR1517">
        <v>25</v>
      </c>
      <c r="AS1517">
        <v>67.5</v>
      </c>
      <c r="AT1517">
        <v>2795</v>
      </c>
      <c r="AU1517" t="s">
        <v>33</v>
      </c>
    </row>
    <row r="1518" spans="1:47" x14ac:dyDescent="0.2">
      <c r="A1518">
        <v>2300</v>
      </c>
      <c r="B1518" t="s">
        <v>888</v>
      </c>
      <c r="C1518">
        <v>64</v>
      </c>
      <c r="D1518" t="s">
        <v>555</v>
      </c>
      <c r="G1518" t="str">
        <f t="shared" si="23"/>
        <v>SWL201664SLIP4</v>
      </c>
      <c r="H1518">
        <v>63.03</v>
      </c>
      <c r="I1518">
        <v>-173.459</v>
      </c>
      <c r="J1518" s="3">
        <v>20160713</v>
      </c>
      <c r="K1518">
        <v>2016</v>
      </c>
      <c r="L1518">
        <v>1.6856199999999999</v>
      </c>
      <c r="M1518">
        <v>7.11198</v>
      </c>
      <c r="N1518">
        <v>0.68023</v>
      </c>
      <c r="O1518">
        <v>0</v>
      </c>
      <c r="P1518">
        <v>0.29071000000000002</v>
      </c>
      <c r="Q1518">
        <v>0</v>
      </c>
      <c r="R1518">
        <v>0</v>
      </c>
      <c r="S1518">
        <v>0</v>
      </c>
      <c r="T1518">
        <v>4.2358700000000002</v>
      </c>
      <c r="U1518">
        <v>0.34066999999999997</v>
      </c>
      <c r="V1518">
        <v>14.345079999999999</v>
      </c>
      <c r="W1518" t="s">
        <v>10</v>
      </c>
      <c r="X1518">
        <v>30.567</v>
      </c>
      <c r="Y1518">
        <v>285.47300000000001</v>
      </c>
      <c r="Z1518">
        <v>8.4079999999999995</v>
      </c>
      <c r="AA1518">
        <v>0</v>
      </c>
      <c r="AB1518">
        <v>20.765000000000001</v>
      </c>
      <c r="AC1518">
        <v>0</v>
      </c>
      <c r="AD1518">
        <v>0</v>
      </c>
      <c r="AE1518">
        <v>0</v>
      </c>
      <c r="AF1518">
        <v>45.546999999999997</v>
      </c>
      <c r="AG1518">
        <v>5.8109999999999999</v>
      </c>
      <c r="AH1518">
        <v>396.57100000000003</v>
      </c>
      <c r="AI1518" t="s">
        <v>22</v>
      </c>
      <c r="AJ1518">
        <v>1877.5</v>
      </c>
      <c r="AK1518">
        <v>1425</v>
      </c>
      <c r="AL1518">
        <v>755</v>
      </c>
      <c r="AM1518">
        <v>0</v>
      </c>
      <c r="AN1518">
        <v>12.5</v>
      </c>
      <c r="AO1518">
        <v>0</v>
      </c>
      <c r="AP1518">
        <v>0</v>
      </c>
      <c r="AQ1518">
        <v>0</v>
      </c>
      <c r="AR1518">
        <v>32.5</v>
      </c>
      <c r="AS1518">
        <v>90</v>
      </c>
      <c r="AT1518">
        <v>4192.5</v>
      </c>
      <c r="AU1518" t="s">
        <v>33</v>
      </c>
    </row>
    <row r="1519" spans="1:47" x14ac:dyDescent="0.2">
      <c r="A1519">
        <v>2301</v>
      </c>
      <c r="B1519" t="s">
        <v>888</v>
      </c>
      <c r="C1519">
        <v>74</v>
      </c>
      <c r="D1519" t="s">
        <v>885</v>
      </c>
      <c r="G1519" t="str">
        <f t="shared" si="23"/>
        <v>SWL201674BCL6C</v>
      </c>
      <c r="H1519">
        <v>64.673000000000002</v>
      </c>
      <c r="I1519">
        <v>-170.642</v>
      </c>
      <c r="J1519" s="3">
        <v>20160714</v>
      </c>
      <c r="K1519">
        <v>2016</v>
      </c>
      <c r="L1519">
        <v>3.26633</v>
      </c>
      <c r="M1519">
        <v>8.4305500000000002</v>
      </c>
      <c r="N1519">
        <v>0.25194</v>
      </c>
      <c r="O1519">
        <v>0</v>
      </c>
      <c r="P1519">
        <v>0</v>
      </c>
      <c r="Q1519">
        <v>3.4000000000000002E-4</v>
      </c>
      <c r="R1519">
        <v>0</v>
      </c>
      <c r="S1519">
        <v>0</v>
      </c>
      <c r="T1519">
        <v>1.15394</v>
      </c>
      <c r="U1519">
        <v>0</v>
      </c>
      <c r="V1519">
        <v>13.1031</v>
      </c>
      <c r="W1519" t="s">
        <v>10</v>
      </c>
      <c r="X1519">
        <v>46.898000000000003</v>
      </c>
      <c r="Y1519">
        <v>267.46499999999997</v>
      </c>
      <c r="Z1519">
        <v>3.6389999999999998</v>
      </c>
      <c r="AA1519">
        <v>0</v>
      </c>
      <c r="AB1519">
        <v>0</v>
      </c>
      <c r="AC1519">
        <v>3.1E-2</v>
      </c>
      <c r="AD1519">
        <v>0</v>
      </c>
      <c r="AE1519">
        <v>0</v>
      </c>
      <c r="AF1519">
        <v>12.407999999999999</v>
      </c>
      <c r="AG1519">
        <v>0</v>
      </c>
      <c r="AH1519">
        <v>330.44099999999997</v>
      </c>
      <c r="AI1519" t="s">
        <v>22</v>
      </c>
      <c r="AJ1519">
        <v>1755</v>
      </c>
      <c r="AK1519">
        <v>4610</v>
      </c>
      <c r="AL1519">
        <v>1580</v>
      </c>
      <c r="AM1519">
        <v>0</v>
      </c>
      <c r="AN1519">
        <v>0</v>
      </c>
      <c r="AO1519">
        <v>80</v>
      </c>
      <c r="AP1519">
        <v>0</v>
      </c>
      <c r="AQ1519">
        <v>0</v>
      </c>
      <c r="AR1519">
        <v>15</v>
      </c>
      <c r="AS1519">
        <v>0</v>
      </c>
      <c r="AT1519">
        <v>8040</v>
      </c>
      <c r="AU1519" t="s">
        <v>34</v>
      </c>
    </row>
    <row r="1520" spans="1:47" x14ac:dyDescent="0.2">
      <c r="A1520">
        <v>2302</v>
      </c>
      <c r="B1520" t="s">
        <v>888</v>
      </c>
      <c r="C1520">
        <v>80</v>
      </c>
      <c r="D1520" t="s">
        <v>556</v>
      </c>
      <c r="G1520" t="str">
        <f t="shared" si="23"/>
        <v>SWL201680UTBS5</v>
      </c>
      <c r="H1520">
        <v>64.671000000000006</v>
      </c>
      <c r="I1520">
        <v>-169.91800000000001</v>
      </c>
      <c r="J1520" s="3">
        <v>20160714</v>
      </c>
      <c r="K1520">
        <v>2016</v>
      </c>
      <c r="L1520">
        <v>4.5357700000000003</v>
      </c>
      <c r="M1520">
        <v>2.0514899999999998</v>
      </c>
      <c r="N1520">
        <v>7.5130000000000002E-2</v>
      </c>
      <c r="O1520">
        <v>2.2100000000000002E-3</v>
      </c>
      <c r="P1520">
        <v>4.0000000000000003E-5</v>
      </c>
      <c r="Q1520">
        <v>4.0000000000000003E-5</v>
      </c>
      <c r="R1520">
        <v>0</v>
      </c>
      <c r="S1520">
        <v>4.8329999999999998E-2</v>
      </c>
      <c r="T1520">
        <v>8.1799999999999998E-3</v>
      </c>
      <c r="U1520">
        <v>4.0699999999999998E-3</v>
      </c>
      <c r="V1520">
        <v>6.7252599999999996</v>
      </c>
      <c r="W1520" t="s">
        <v>9</v>
      </c>
      <c r="X1520">
        <v>64.710999999999999</v>
      </c>
      <c r="Y1520">
        <v>66.42</v>
      </c>
      <c r="Z1520">
        <v>1.06</v>
      </c>
      <c r="AA1520">
        <v>4.9000000000000002E-2</v>
      </c>
      <c r="AB1520">
        <v>3.0000000000000001E-3</v>
      </c>
      <c r="AC1520">
        <v>4.0000000000000001E-3</v>
      </c>
      <c r="AD1520">
        <v>0</v>
      </c>
      <c r="AE1520">
        <v>3.452</v>
      </c>
      <c r="AF1520">
        <v>8.7999999999999995E-2</v>
      </c>
      <c r="AG1520">
        <v>0.39100000000000001</v>
      </c>
      <c r="AH1520">
        <v>136.178</v>
      </c>
      <c r="AI1520" t="s">
        <v>22</v>
      </c>
      <c r="AJ1520">
        <v>1112.5</v>
      </c>
      <c r="AK1520">
        <v>1322.5</v>
      </c>
      <c r="AL1520">
        <v>805</v>
      </c>
      <c r="AM1520">
        <v>20</v>
      </c>
      <c r="AN1520">
        <v>5</v>
      </c>
      <c r="AO1520">
        <v>12.5</v>
      </c>
      <c r="AP1520">
        <v>0</v>
      </c>
      <c r="AQ1520">
        <v>5</v>
      </c>
      <c r="AR1520">
        <v>12.5</v>
      </c>
      <c r="AS1520">
        <v>5</v>
      </c>
      <c r="AT1520">
        <v>3300</v>
      </c>
      <c r="AU1520" t="s">
        <v>34</v>
      </c>
    </row>
    <row r="1521" spans="1:47" x14ac:dyDescent="0.2">
      <c r="A1521">
        <v>2303</v>
      </c>
      <c r="B1521" t="s">
        <v>888</v>
      </c>
      <c r="C1521">
        <v>86</v>
      </c>
      <c r="D1521" t="s">
        <v>557</v>
      </c>
      <c r="G1521" t="str">
        <f t="shared" si="23"/>
        <v>SWL201686UTBS2</v>
      </c>
      <c r="H1521">
        <v>64.680000000000007</v>
      </c>
      <c r="I1521">
        <v>-169.09899999999999</v>
      </c>
      <c r="J1521" s="3">
        <v>20160714</v>
      </c>
      <c r="K1521">
        <v>2016</v>
      </c>
      <c r="L1521">
        <v>2.3345600000000002</v>
      </c>
      <c r="M1521">
        <v>0.65125999999999995</v>
      </c>
      <c r="N1521">
        <v>6.62974</v>
      </c>
      <c r="O1521">
        <v>0</v>
      </c>
      <c r="P1521">
        <v>0</v>
      </c>
      <c r="Q1521">
        <v>1.0000000000000001E-5</v>
      </c>
      <c r="R1521">
        <v>1.8000000000000001E-4</v>
      </c>
      <c r="S1521">
        <v>1.8960000000000001E-2</v>
      </c>
      <c r="T1521">
        <v>9.4900000000000002E-3</v>
      </c>
      <c r="U1521">
        <v>4.2285000000000004</v>
      </c>
      <c r="V1521">
        <v>13.8727</v>
      </c>
      <c r="W1521" t="s">
        <v>11</v>
      </c>
      <c r="X1521">
        <v>33.197000000000003</v>
      </c>
      <c r="Y1521">
        <v>27.850999999999999</v>
      </c>
      <c r="Z1521">
        <v>97.2</v>
      </c>
      <c r="AA1521">
        <v>0</v>
      </c>
      <c r="AB1521">
        <v>0</v>
      </c>
      <c r="AC1521">
        <v>1E-3</v>
      </c>
      <c r="AD1521">
        <v>3.0000000000000001E-3</v>
      </c>
      <c r="AE1521">
        <v>1.3540000000000001</v>
      </c>
      <c r="AF1521">
        <v>0.10199999999999999</v>
      </c>
      <c r="AG1521">
        <v>201.50399999999999</v>
      </c>
      <c r="AH1521">
        <v>361.21199999999999</v>
      </c>
      <c r="AI1521" t="s">
        <v>30</v>
      </c>
      <c r="AJ1521">
        <v>1360</v>
      </c>
      <c r="AK1521">
        <v>792.5</v>
      </c>
      <c r="AL1521">
        <v>5672.5</v>
      </c>
      <c r="AM1521">
        <v>0</v>
      </c>
      <c r="AN1521">
        <v>0</v>
      </c>
      <c r="AO1521">
        <v>2.5</v>
      </c>
      <c r="AP1521">
        <v>2.5</v>
      </c>
      <c r="AQ1521">
        <v>2.5</v>
      </c>
      <c r="AR1521">
        <v>42.5</v>
      </c>
      <c r="AS1521">
        <v>5</v>
      </c>
      <c r="AT1521">
        <v>7880</v>
      </c>
      <c r="AU1521" t="s">
        <v>35</v>
      </c>
    </row>
    <row r="1522" spans="1:47" x14ac:dyDescent="0.2">
      <c r="A1522">
        <v>2304</v>
      </c>
      <c r="B1522" t="s">
        <v>888</v>
      </c>
      <c r="C1522">
        <v>92</v>
      </c>
      <c r="D1522" t="s">
        <v>886</v>
      </c>
      <c r="G1522" t="str">
        <f t="shared" si="23"/>
        <v>SWL201692UTBS2A</v>
      </c>
      <c r="H1522">
        <v>64.668999999999997</v>
      </c>
      <c r="I1522">
        <v>-168.23400000000001</v>
      </c>
      <c r="J1522" s="3">
        <v>20160714</v>
      </c>
      <c r="K1522">
        <v>2016</v>
      </c>
      <c r="L1522">
        <v>0.68645999999999996</v>
      </c>
      <c r="M1522">
        <v>5.3499999999999999E-2</v>
      </c>
      <c r="N1522">
        <v>2.2509399999999999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3.9149999999999997E-2</v>
      </c>
      <c r="U1522">
        <v>5.8E-4</v>
      </c>
      <c r="V1522">
        <v>3.0306299999999999</v>
      </c>
      <c r="W1522" t="s">
        <v>11</v>
      </c>
      <c r="X1522">
        <v>10.49</v>
      </c>
      <c r="Y1522">
        <v>1.907</v>
      </c>
      <c r="Z1522">
        <v>33.026000000000003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0.42099999999999999</v>
      </c>
      <c r="AG1522">
        <v>8.0000000000000002E-3</v>
      </c>
      <c r="AH1522">
        <v>45.851999999999997</v>
      </c>
      <c r="AI1522" t="s">
        <v>23</v>
      </c>
      <c r="AJ1522">
        <v>1127.5</v>
      </c>
      <c r="AK1522">
        <v>1047.5</v>
      </c>
      <c r="AL1522">
        <v>1632.5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45</v>
      </c>
      <c r="AS1522">
        <v>5</v>
      </c>
      <c r="AT1522">
        <v>3857.5</v>
      </c>
      <c r="AU1522" t="s">
        <v>35</v>
      </c>
    </row>
    <row r="1523" spans="1:47" x14ac:dyDescent="0.2">
      <c r="A1523">
        <v>2305</v>
      </c>
      <c r="B1523" t="s">
        <v>888</v>
      </c>
      <c r="C1523">
        <v>97</v>
      </c>
      <c r="D1523" t="s">
        <v>887</v>
      </c>
      <c r="G1523" t="str">
        <f t="shared" si="23"/>
        <v>SWL201697DBO2.7</v>
      </c>
      <c r="H1523">
        <v>65</v>
      </c>
      <c r="I1523">
        <v>-168.22</v>
      </c>
      <c r="J1523" s="3">
        <v>20160714</v>
      </c>
      <c r="K1523">
        <v>2016</v>
      </c>
      <c r="L1523">
        <v>2.16316</v>
      </c>
      <c r="M1523">
        <v>0.79242000000000001</v>
      </c>
      <c r="N1523">
        <v>6.5755400000000002</v>
      </c>
      <c r="O1523">
        <v>0</v>
      </c>
      <c r="P1523">
        <v>0</v>
      </c>
      <c r="Q1523">
        <v>0</v>
      </c>
      <c r="R1523">
        <v>0.65825</v>
      </c>
      <c r="S1523">
        <v>1.9539999999999998E-2</v>
      </c>
      <c r="T1523">
        <v>6.0729999999999999E-2</v>
      </c>
      <c r="U1523">
        <v>2.5735299999999999</v>
      </c>
      <c r="V1523">
        <v>12.843170000000001</v>
      </c>
      <c r="W1523" t="s">
        <v>11</v>
      </c>
      <c r="X1523">
        <v>32.223999999999997</v>
      </c>
      <c r="Y1523">
        <v>20.391999999999999</v>
      </c>
      <c r="Z1523">
        <v>96.415000000000006</v>
      </c>
      <c r="AA1523">
        <v>0</v>
      </c>
      <c r="AB1523">
        <v>0</v>
      </c>
      <c r="AC1523">
        <v>0</v>
      </c>
      <c r="AD1523">
        <v>10.791</v>
      </c>
      <c r="AE1523">
        <v>1.3959999999999999</v>
      </c>
      <c r="AF1523">
        <v>0.65300000000000002</v>
      </c>
      <c r="AG1523">
        <v>122.68899999999999</v>
      </c>
      <c r="AH1523">
        <v>284.56</v>
      </c>
      <c r="AI1523" t="s">
        <v>30</v>
      </c>
      <c r="AJ1523">
        <v>842.5</v>
      </c>
      <c r="AK1523">
        <v>1420</v>
      </c>
      <c r="AL1523">
        <v>3835</v>
      </c>
      <c r="AM1523">
        <v>0</v>
      </c>
      <c r="AN1523">
        <v>0</v>
      </c>
      <c r="AO1523">
        <v>0</v>
      </c>
      <c r="AP1523">
        <v>35</v>
      </c>
      <c r="AQ1523">
        <v>2.5</v>
      </c>
      <c r="AR1523">
        <v>87.5</v>
      </c>
      <c r="AS1523">
        <v>12.5</v>
      </c>
      <c r="AT1523">
        <v>6235</v>
      </c>
      <c r="AU1523" t="s">
        <v>35</v>
      </c>
    </row>
    <row r="1524" spans="1:47" x14ac:dyDescent="0.2">
      <c r="A1524">
        <v>2306</v>
      </c>
      <c r="B1524" t="s">
        <v>888</v>
      </c>
      <c r="C1524">
        <v>104</v>
      </c>
      <c r="D1524" t="s">
        <v>179</v>
      </c>
      <c r="G1524" t="str">
        <f t="shared" si="23"/>
        <v>SWL2016104UTBS1</v>
      </c>
      <c r="H1524">
        <v>64.991</v>
      </c>
      <c r="I1524">
        <v>-169.13800000000001</v>
      </c>
      <c r="J1524" s="3">
        <v>20160714</v>
      </c>
      <c r="K1524">
        <v>2016</v>
      </c>
      <c r="L1524">
        <v>0.83199999999999996</v>
      </c>
      <c r="M1524">
        <v>5.0058999999999996</v>
      </c>
      <c r="N1524">
        <v>9.4739900000000006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0.24598999999999999</v>
      </c>
      <c r="U1524">
        <v>3.7629999999999997E-2</v>
      </c>
      <c r="V1524">
        <v>15.595510000000001</v>
      </c>
      <c r="W1524" t="s">
        <v>11</v>
      </c>
      <c r="X1524">
        <v>11.23</v>
      </c>
      <c r="Y1524">
        <v>328.245</v>
      </c>
      <c r="Z1524">
        <v>138.51599999999999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2.645</v>
      </c>
      <c r="AG1524">
        <v>1.0449999999999999</v>
      </c>
      <c r="AH1524">
        <v>481.68099999999998</v>
      </c>
      <c r="AI1524" t="s">
        <v>22</v>
      </c>
      <c r="AJ1524">
        <v>777.5</v>
      </c>
      <c r="AK1524">
        <v>790</v>
      </c>
      <c r="AL1524">
        <v>15952.5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85</v>
      </c>
      <c r="AS1524">
        <v>62.5</v>
      </c>
      <c r="AT1524">
        <v>17667.5</v>
      </c>
      <c r="AU1524" t="s">
        <v>35</v>
      </c>
    </row>
    <row r="1525" spans="1:47" x14ac:dyDescent="0.2">
      <c r="A1525">
        <v>2307</v>
      </c>
      <c r="B1525" t="s">
        <v>888</v>
      </c>
      <c r="C1525">
        <v>110</v>
      </c>
      <c r="D1525" t="s">
        <v>558</v>
      </c>
      <c r="G1525" t="str">
        <f t="shared" si="23"/>
        <v>SWL2016110UTBS4</v>
      </c>
      <c r="H1525">
        <v>64.962000000000003</v>
      </c>
      <c r="I1525">
        <v>-169.886</v>
      </c>
      <c r="J1525" s="3">
        <v>20160715</v>
      </c>
      <c r="K1525">
        <v>2016</v>
      </c>
      <c r="L1525">
        <v>1.0036499999999999</v>
      </c>
      <c r="M1525">
        <v>0.70511000000000001</v>
      </c>
      <c r="N1525">
        <v>0.49791999999999997</v>
      </c>
      <c r="O1525">
        <v>9.0000000000000006E-5</v>
      </c>
      <c r="P1525">
        <v>0</v>
      </c>
      <c r="Q1525">
        <v>1.1E-4</v>
      </c>
      <c r="R1525">
        <v>5.9800000000000001E-3</v>
      </c>
      <c r="S1525">
        <v>0</v>
      </c>
      <c r="T1525">
        <v>2.7999999999999998E-4</v>
      </c>
      <c r="U1525">
        <v>4.0000000000000003E-5</v>
      </c>
      <c r="V1525">
        <v>2.2131799999999999</v>
      </c>
      <c r="W1525" t="s">
        <v>9</v>
      </c>
      <c r="X1525">
        <v>13.897</v>
      </c>
      <c r="Y1525">
        <v>18.506</v>
      </c>
      <c r="Z1525">
        <v>7.2949999999999999</v>
      </c>
      <c r="AA1525">
        <v>2E-3</v>
      </c>
      <c r="AB1525">
        <v>0</v>
      </c>
      <c r="AC1525">
        <v>0.01</v>
      </c>
      <c r="AD1525">
        <v>9.8000000000000004E-2</v>
      </c>
      <c r="AE1525">
        <v>0</v>
      </c>
      <c r="AF1525">
        <v>3.0000000000000001E-3</v>
      </c>
      <c r="AG1525">
        <v>2E-3</v>
      </c>
      <c r="AH1525">
        <v>39.813000000000002</v>
      </c>
      <c r="AI1525" t="s">
        <v>22</v>
      </c>
      <c r="AJ1525">
        <v>860</v>
      </c>
      <c r="AK1525">
        <v>502.5</v>
      </c>
      <c r="AL1525">
        <v>382.5</v>
      </c>
      <c r="AM1525">
        <v>2.5</v>
      </c>
      <c r="AN1525">
        <v>0</v>
      </c>
      <c r="AO1525">
        <v>40</v>
      </c>
      <c r="AP1525">
        <v>2.5</v>
      </c>
      <c r="AQ1525">
        <v>0</v>
      </c>
      <c r="AR1525">
        <v>10</v>
      </c>
      <c r="AS1525">
        <v>2.5</v>
      </c>
      <c r="AT1525">
        <v>1802.5</v>
      </c>
      <c r="AU1525" t="s">
        <v>33</v>
      </c>
    </row>
    <row r="1526" spans="1:47" x14ac:dyDescent="0.2">
      <c r="A1526">
        <v>2308</v>
      </c>
      <c r="B1526" t="s">
        <v>888</v>
      </c>
      <c r="C1526">
        <v>121</v>
      </c>
      <c r="D1526" t="s">
        <v>559</v>
      </c>
      <c r="G1526" t="str">
        <f t="shared" si="23"/>
        <v>SWL2016121UTN1</v>
      </c>
      <c r="H1526">
        <v>66.709999999999994</v>
      </c>
      <c r="I1526">
        <v>-168.399</v>
      </c>
      <c r="J1526" s="3">
        <v>20160715</v>
      </c>
      <c r="K1526">
        <v>2016</v>
      </c>
      <c r="L1526">
        <v>3.7425299999999999</v>
      </c>
      <c r="M1526">
        <v>0.54844000000000004</v>
      </c>
      <c r="N1526">
        <v>1.9640000000000001E-2</v>
      </c>
      <c r="O1526">
        <v>0</v>
      </c>
      <c r="P1526">
        <v>9.0188400000000009</v>
      </c>
      <c r="Q1526">
        <v>12.75257</v>
      </c>
      <c r="R1526">
        <v>9.3390000000000001E-2</v>
      </c>
      <c r="S1526">
        <v>0</v>
      </c>
      <c r="T1526">
        <v>0</v>
      </c>
      <c r="U1526">
        <v>2.2499999999999998E-3</v>
      </c>
      <c r="V1526">
        <v>26.177659999999999</v>
      </c>
      <c r="W1526" t="s">
        <v>14</v>
      </c>
      <c r="X1526">
        <v>65.427000000000007</v>
      </c>
      <c r="Y1526">
        <v>15.186</v>
      </c>
      <c r="Z1526">
        <v>0.26800000000000002</v>
      </c>
      <c r="AA1526">
        <v>0</v>
      </c>
      <c r="AB1526">
        <v>644.20299999999997</v>
      </c>
      <c r="AC1526">
        <v>1594.0709999999999</v>
      </c>
      <c r="AD1526">
        <v>1.5309999999999999</v>
      </c>
      <c r="AE1526">
        <v>0</v>
      </c>
      <c r="AF1526">
        <v>0</v>
      </c>
      <c r="AG1526">
        <v>7.6999999999999999E-2</v>
      </c>
      <c r="AH1526">
        <v>2320.7629999999999</v>
      </c>
      <c r="AI1526" t="s">
        <v>26</v>
      </c>
      <c r="AJ1526">
        <v>1590</v>
      </c>
      <c r="AK1526">
        <v>402.5</v>
      </c>
      <c r="AL1526">
        <v>287.5</v>
      </c>
      <c r="AM1526">
        <v>0</v>
      </c>
      <c r="AN1526">
        <v>287.5</v>
      </c>
      <c r="AO1526">
        <v>242.5</v>
      </c>
      <c r="AP1526">
        <v>2.5</v>
      </c>
      <c r="AQ1526">
        <v>0</v>
      </c>
      <c r="AR1526">
        <v>0</v>
      </c>
      <c r="AS1526">
        <v>22.5</v>
      </c>
      <c r="AT1526">
        <v>2835</v>
      </c>
      <c r="AU1526" t="s">
        <v>33</v>
      </c>
    </row>
    <row r="1527" spans="1:47" x14ac:dyDescent="0.2">
      <c r="A1527">
        <v>2309</v>
      </c>
      <c r="B1527" t="s">
        <v>888</v>
      </c>
      <c r="C1527">
        <v>126</v>
      </c>
      <c r="D1527" t="s">
        <v>560</v>
      </c>
      <c r="G1527" t="str">
        <f t="shared" si="23"/>
        <v>SWL2016126UTN2</v>
      </c>
      <c r="H1527">
        <v>67.05</v>
      </c>
      <c r="I1527">
        <v>-168.72800000000001</v>
      </c>
      <c r="J1527" s="3">
        <v>20160715</v>
      </c>
      <c r="K1527">
        <v>2016</v>
      </c>
      <c r="L1527">
        <v>6.4775799999999997</v>
      </c>
      <c r="M1527">
        <v>81.746539999999996</v>
      </c>
      <c r="N1527">
        <v>1.6459999999999999E-2</v>
      </c>
      <c r="O1527">
        <v>9.0000000000000006E-5</v>
      </c>
      <c r="P1527">
        <v>0.36299999999999999</v>
      </c>
      <c r="Q1527">
        <v>0</v>
      </c>
      <c r="R1527">
        <v>1.6899999999999998E-2</v>
      </c>
      <c r="S1527">
        <v>0.66874</v>
      </c>
      <c r="T1527">
        <v>0</v>
      </c>
      <c r="U1527">
        <v>0</v>
      </c>
      <c r="V1527">
        <v>89.28931</v>
      </c>
      <c r="W1527" t="s">
        <v>10</v>
      </c>
      <c r="X1527">
        <v>115.976</v>
      </c>
      <c r="Y1527">
        <v>3358.107</v>
      </c>
      <c r="Z1527">
        <v>0.22700000000000001</v>
      </c>
      <c r="AA1527">
        <v>2E-3</v>
      </c>
      <c r="AB1527">
        <v>25.928999999999998</v>
      </c>
      <c r="AC1527">
        <v>0</v>
      </c>
      <c r="AD1527">
        <v>0.27700000000000002</v>
      </c>
      <c r="AE1527">
        <v>47.767000000000003</v>
      </c>
      <c r="AF1527">
        <v>0</v>
      </c>
      <c r="AG1527">
        <v>0</v>
      </c>
      <c r="AH1527">
        <v>3548.2849999999999</v>
      </c>
      <c r="AI1527" t="s">
        <v>22</v>
      </c>
      <c r="AJ1527">
        <v>1660</v>
      </c>
      <c r="AK1527">
        <v>2592.5</v>
      </c>
      <c r="AL1527">
        <v>157.5</v>
      </c>
      <c r="AM1527">
        <v>5</v>
      </c>
      <c r="AN1527">
        <v>20</v>
      </c>
      <c r="AO1527">
        <v>0</v>
      </c>
      <c r="AP1527">
        <v>12.5</v>
      </c>
      <c r="AQ1527">
        <v>35</v>
      </c>
      <c r="AR1527">
        <v>0</v>
      </c>
      <c r="AS1527">
        <v>0</v>
      </c>
      <c r="AT1527">
        <v>4482.5</v>
      </c>
      <c r="AU1527" t="s">
        <v>34</v>
      </c>
    </row>
    <row r="1528" spans="1:47" x14ac:dyDescent="0.2">
      <c r="A1528">
        <v>2310</v>
      </c>
      <c r="B1528" t="s">
        <v>888</v>
      </c>
      <c r="C1528">
        <v>132</v>
      </c>
      <c r="D1528" t="s">
        <v>561</v>
      </c>
      <c r="G1528" t="str">
        <f t="shared" si="23"/>
        <v>SWL2016132UTN3</v>
      </c>
      <c r="H1528">
        <v>67.331000000000003</v>
      </c>
      <c r="I1528">
        <v>-168.95400000000001</v>
      </c>
      <c r="J1528" s="3">
        <v>20160716</v>
      </c>
      <c r="K1528">
        <v>2016</v>
      </c>
      <c r="L1528">
        <v>7.5437900000000004</v>
      </c>
      <c r="M1528">
        <v>165.88406000000001</v>
      </c>
      <c r="N1528">
        <v>8.8150000000000006E-2</v>
      </c>
      <c r="O1528">
        <v>5.0000000000000001E-4</v>
      </c>
      <c r="P1528">
        <v>6.0000000000000002E-5</v>
      </c>
      <c r="Q1528">
        <v>0</v>
      </c>
      <c r="R1528">
        <v>1.4473499999999999</v>
      </c>
      <c r="S1528">
        <v>0</v>
      </c>
      <c r="T1528">
        <v>0</v>
      </c>
      <c r="U1528">
        <v>2.3959999999999999E-2</v>
      </c>
      <c r="V1528">
        <v>174.98786999999999</v>
      </c>
      <c r="W1528" t="s">
        <v>10</v>
      </c>
      <c r="X1528">
        <v>117.735</v>
      </c>
      <c r="Y1528">
        <v>5102.0810000000001</v>
      </c>
      <c r="Z1528">
        <v>1.155</v>
      </c>
      <c r="AA1528">
        <v>1.0999999999999999E-2</v>
      </c>
      <c r="AB1528">
        <v>4.0000000000000001E-3</v>
      </c>
      <c r="AC1528">
        <v>0</v>
      </c>
      <c r="AD1528">
        <v>23.727</v>
      </c>
      <c r="AE1528">
        <v>0</v>
      </c>
      <c r="AF1528">
        <v>0</v>
      </c>
      <c r="AG1528">
        <v>2.2599999999999998</v>
      </c>
      <c r="AH1528">
        <v>5246.973</v>
      </c>
      <c r="AI1528" t="s">
        <v>22</v>
      </c>
      <c r="AJ1528">
        <v>3105</v>
      </c>
      <c r="AK1528">
        <v>6032.5</v>
      </c>
      <c r="AL1528">
        <v>1050</v>
      </c>
      <c r="AM1528">
        <v>5</v>
      </c>
      <c r="AN1528">
        <v>2.5</v>
      </c>
      <c r="AO1528">
        <v>0</v>
      </c>
      <c r="AP1528">
        <v>95</v>
      </c>
      <c r="AQ1528">
        <v>0</v>
      </c>
      <c r="AR1528">
        <v>0</v>
      </c>
      <c r="AS1528">
        <v>17.5</v>
      </c>
      <c r="AT1528">
        <v>10307.5</v>
      </c>
      <c r="AU1528" t="s">
        <v>34</v>
      </c>
    </row>
    <row r="1529" spans="1:47" x14ac:dyDescent="0.2">
      <c r="A1529">
        <v>2311</v>
      </c>
      <c r="B1529" t="s">
        <v>888</v>
      </c>
      <c r="C1529">
        <v>137</v>
      </c>
      <c r="D1529" t="s">
        <v>562</v>
      </c>
      <c r="G1529" t="str">
        <f t="shared" si="23"/>
        <v>SWL2016137UTN4</v>
      </c>
      <c r="H1529">
        <v>67.5</v>
      </c>
      <c r="I1529">
        <v>-168.90899999999999</v>
      </c>
      <c r="J1529" s="3">
        <v>20160716</v>
      </c>
      <c r="K1529">
        <v>2016</v>
      </c>
      <c r="L1529">
        <v>7.9279900000000003</v>
      </c>
      <c r="M1529">
        <v>93.543040000000005</v>
      </c>
      <c r="N1529">
        <v>0.17368</v>
      </c>
      <c r="O1529">
        <v>0</v>
      </c>
      <c r="P1529">
        <v>1.2999999999999999E-4</v>
      </c>
      <c r="Q1529">
        <v>0</v>
      </c>
      <c r="R1529">
        <v>0.83796000000000004</v>
      </c>
      <c r="S1529">
        <v>0</v>
      </c>
      <c r="T1529">
        <v>0</v>
      </c>
      <c r="U1529">
        <v>2.6800000000000001E-3</v>
      </c>
      <c r="V1529">
        <v>102.48548</v>
      </c>
      <c r="W1529" t="s">
        <v>10</v>
      </c>
      <c r="X1529">
        <v>121.09399999999999</v>
      </c>
      <c r="Y1529">
        <v>2709.4180000000001</v>
      </c>
      <c r="Z1529">
        <v>2.052</v>
      </c>
      <c r="AA1529">
        <v>0</v>
      </c>
      <c r="AB1529">
        <v>8.9999999999999993E-3</v>
      </c>
      <c r="AC1529">
        <v>0</v>
      </c>
      <c r="AD1529">
        <v>13.737</v>
      </c>
      <c r="AE1529">
        <v>0</v>
      </c>
      <c r="AF1529">
        <v>0</v>
      </c>
      <c r="AG1529">
        <v>0.17899999999999999</v>
      </c>
      <c r="AH1529">
        <v>2846.489</v>
      </c>
      <c r="AI1529" t="s">
        <v>22</v>
      </c>
      <c r="AJ1529">
        <v>2542.5</v>
      </c>
      <c r="AK1529">
        <v>3192.5</v>
      </c>
      <c r="AL1529">
        <v>1205</v>
      </c>
      <c r="AM1529">
        <v>2.5</v>
      </c>
      <c r="AN1529">
        <v>7.5</v>
      </c>
      <c r="AO1529">
        <v>0</v>
      </c>
      <c r="AP1529">
        <v>70</v>
      </c>
      <c r="AQ1529">
        <v>0</v>
      </c>
      <c r="AR1529">
        <v>0</v>
      </c>
      <c r="AS1529">
        <v>12.5</v>
      </c>
      <c r="AT1529">
        <v>7032.5</v>
      </c>
      <c r="AU1529" t="s">
        <v>34</v>
      </c>
    </row>
    <row r="1530" spans="1:47" x14ac:dyDescent="0.2">
      <c r="A1530">
        <v>2312</v>
      </c>
      <c r="B1530" t="s">
        <v>888</v>
      </c>
      <c r="C1530">
        <v>142</v>
      </c>
      <c r="D1530" t="s">
        <v>389</v>
      </c>
      <c r="G1530" t="str">
        <f t="shared" si="23"/>
        <v>SWL2016142SEC8</v>
      </c>
      <c r="H1530">
        <v>68.299000000000007</v>
      </c>
      <c r="I1530">
        <v>-166.94</v>
      </c>
      <c r="J1530" s="3">
        <v>20160716</v>
      </c>
      <c r="K1530">
        <v>2016</v>
      </c>
      <c r="L1530">
        <v>4.2920800000000003</v>
      </c>
      <c r="M1530">
        <v>1.7700000000000001E-3</v>
      </c>
      <c r="N1530">
        <v>7.739E-2</v>
      </c>
      <c r="O1530">
        <v>2.4299999999999999E-3</v>
      </c>
      <c r="P1530">
        <v>2.2000000000000001E-4</v>
      </c>
      <c r="Q1530">
        <v>0</v>
      </c>
      <c r="R1530">
        <v>2.7499999999999998E-3</v>
      </c>
      <c r="S1530">
        <v>0</v>
      </c>
      <c r="T1530">
        <v>8.9300000000000004E-3</v>
      </c>
      <c r="U1530">
        <v>4.8000000000000001E-4</v>
      </c>
      <c r="V1530">
        <v>4.38605</v>
      </c>
      <c r="W1530" t="s">
        <v>9</v>
      </c>
      <c r="X1530">
        <v>59.335999999999999</v>
      </c>
      <c r="Y1530">
        <v>6.3E-2</v>
      </c>
      <c r="Z1530">
        <v>1.1220000000000001</v>
      </c>
      <c r="AA1530">
        <v>5.3999999999999999E-2</v>
      </c>
      <c r="AB1530">
        <v>1.6E-2</v>
      </c>
      <c r="AC1530">
        <v>0</v>
      </c>
      <c r="AD1530">
        <v>4.4999999999999998E-2</v>
      </c>
      <c r="AE1530">
        <v>0</v>
      </c>
      <c r="AF1530">
        <v>9.6000000000000002E-2</v>
      </c>
      <c r="AG1530">
        <v>1.6E-2</v>
      </c>
      <c r="AH1530">
        <v>60.747999999999998</v>
      </c>
      <c r="AI1530" t="s">
        <v>21</v>
      </c>
      <c r="AJ1530">
        <v>2300</v>
      </c>
      <c r="AK1530">
        <v>60</v>
      </c>
      <c r="AL1530">
        <v>240</v>
      </c>
      <c r="AM1530">
        <v>20</v>
      </c>
      <c r="AN1530">
        <v>70</v>
      </c>
      <c r="AO1530">
        <v>0</v>
      </c>
      <c r="AP1530">
        <v>20</v>
      </c>
      <c r="AQ1530">
        <v>0</v>
      </c>
      <c r="AR1530">
        <v>50</v>
      </c>
      <c r="AS1530">
        <v>10</v>
      </c>
      <c r="AT1530">
        <v>2770</v>
      </c>
      <c r="AU1530" t="s">
        <v>33</v>
      </c>
    </row>
    <row r="1531" spans="1:47" x14ac:dyDescent="0.2">
      <c r="A1531">
        <v>2313</v>
      </c>
      <c r="B1531" t="s">
        <v>888</v>
      </c>
      <c r="C1531">
        <v>147</v>
      </c>
      <c r="D1531" t="s">
        <v>387</v>
      </c>
      <c r="G1531" t="str">
        <f t="shared" si="23"/>
        <v>SWL2016147SEC7</v>
      </c>
      <c r="H1531">
        <v>68.245000000000005</v>
      </c>
      <c r="I1531">
        <v>-167.11699999999999</v>
      </c>
      <c r="J1531" s="3">
        <v>20160716</v>
      </c>
      <c r="K1531">
        <v>2016</v>
      </c>
      <c r="L1531">
        <v>3.4517699999999998</v>
      </c>
      <c r="M1531">
        <v>0.60345000000000004</v>
      </c>
      <c r="N1531">
        <v>0.16225000000000001</v>
      </c>
      <c r="O1531">
        <v>7.3120000000000004E-2</v>
      </c>
      <c r="P1531">
        <v>1E-4</v>
      </c>
      <c r="Q1531">
        <v>0</v>
      </c>
      <c r="R1531">
        <v>0</v>
      </c>
      <c r="S1531">
        <v>1.27319</v>
      </c>
      <c r="T1531">
        <v>1.256E-2</v>
      </c>
      <c r="U1531">
        <v>2.9579999999999999E-2</v>
      </c>
      <c r="V1531">
        <v>5.60602</v>
      </c>
      <c r="W1531" t="s">
        <v>9</v>
      </c>
      <c r="X1531">
        <v>48.478000000000002</v>
      </c>
      <c r="Y1531">
        <v>12.882999999999999</v>
      </c>
      <c r="Z1531">
        <v>2.3140000000000001</v>
      </c>
      <c r="AA1531">
        <v>1.625</v>
      </c>
      <c r="AB1531">
        <v>7.0000000000000001E-3</v>
      </c>
      <c r="AC1531">
        <v>0</v>
      </c>
      <c r="AD1531">
        <v>0</v>
      </c>
      <c r="AE1531">
        <v>70.733000000000004</v>
      </c>
      <c r="AF1531">
        <v>0.13500000000000001</v>
      </c>
      <c r="AG1531">
        <v>2.198</v>
      </c>
      <c r="AH1531">
        <v>138.37299999999999</v>
      </c>
      <c r="AI1531" t="s">
        <v>28</v>
      </c>
      <c r="AJ1531">
        <v>1950</v>
      </c>
      <c r="AK1531">
        <v>40</v>
      </c>
      <c r="AL1531">
        <v>310</v>
      </c>
      <c r="AM1531">
        <v>100</v>
      </c>
      <c r="AN1531">
        <v>20</v>
      </c>
      <c r="AO1531">
        <v>0</v>
      </c>
      <c r="AP1531">
        <v>0</v>
      </c>
      <c r="AQ1531">
        <v>10</v>
      </c>
      <c r="AR1531">
        <v>50</v>
      </c>
      <c r="AS1531">
        <v>50</v>
      </c>
      <c r="AT1531">
        <v>2530</v>
      </c>
      <c r="AU1531" t="s">
        <v>33</v>
      </c>
    </row>
    <row r="1532" spans="1:47" x14ac:dyDescent="0.2">
      <c r="A1532">
        <v>2314</v>
      </c>
      <c r="B1532" t="s">
        <v>888</v>
      </c>
      <c r="C1532">
        <v>152</v>
      </c>
      <c r="D1532" t="s">
        <v>388</v>
      </c>
      <c r="G1532" t="str">
        <f t="shared" si="23"/>
        <v>SWL2016152SEC6</v>
      </c>
      <c r="H1532">
        <v>68.186000000000007</v>
      </c>
      <c r="I1532">
        <v>-167.309</v>
      </c>
      <c r="J1532" s="3">
        <v>20160716</v>
      </c>
      <c r="K1532">
        <v>2016</v>
      </c>
      <c r="L1532">
        <v>1.7093400000000001</v>
      </c>
      <c r="M1532">
        <v>5.7839499999999999</v>
      </c>
      <c r="N1532">
        <v>0.57382999999999995</v>
      </c>
      <c r="O1532">
        <v>6.2244900000000003</v>
      </c>
      <c r="P1532">
        <v>0.11235000000000001</v>
      </c>
      <c r="Q1532">
        <v>0</v>
      </c>
      <c r="R1532">
        <v>0.56444000000000005</v>
      </c>
      <c r="S1532">
        <v>18.835039999999999</v>
      </c>
      <c r="T1532">
        <v>6.0449999999999997E-2</v>
      </c>
      <c r="U1532">
        <v>3.2550000000000003E-2</v>
      </c>
      <c r="V1532">
        <v>33.896439999999998</v>
      </c>
      <c r="W1532" t="s">
        <v>16</v>
      </c>
      <c r="X1532">
        <v>23.058</v>
      </c>
      <c r="Y1532">
        <v>384.89499999999998</v>
      </c>
      <c r="Z1532">
        <v>7.7590000000000003</v>
      </c>
      <c r="AA1532">
        <v>138.322</v>
      </c>
      <c r="AB1532">
        <v>8.0250000000000004</v>
      </c>
      <c r="AC1532">
        <v>0</v>
      </c>
      <c r="AD1532">
        <v>14.111000000000001</v>
      </c>
      <c r="AE1532">
        <v>584.553</v>
      </c>
      <c r="AF1532">
        <v>0.65</v>
      </c>
      <c r="AG1532">
        <v>0.71299999999999997</v>
      </c>
      <c r="AH1532">
        <v>1162.086</v>
      </c>
      <c r="AI1532" t="s">
        <v>28</v>
      </c>
      <c r="AJ1532">
        <v>2540</v>
      </c>
      <c r="AK1532">
        <v>280</v>
      </c>
      <c r="AL1532">
        <v>1340</v>
      </c>
      <c r="AM1532">
        <v>290</v>
      </c>
      <c r="AN1532">
        <v>470</v>
      </c>
      <c r="AO1532">
        <v>0</v>
      </c>
      <c r="AP1532">
        <v>0</v>
      </c>
      <c r="AQ1532">
        <v>90</v>
      </c>
      <c r="AR1532">
        <v>70</v>
      </c>
      <c r="AS1532">
        <v>70</v>
      </c>
      <c r="AT1532">
        <v>5150</v>
      </c>
      <c r="AU1532" t="s">
        <v>33</v>
      </c>
    </row>
    <row r="1533" spans="1:47" x14ac:dyDescent="0.2">
      <c r="A1533">
        <v>2315</v>
      </c>
      <c r="B1533" t="s">
        <v>888</v>
      </c>
      <c r="C1533">
        <v>158</v>
      </c>
      <c r="D1533" t="s">
        <v>240</v>
      </c>
      <c r="G1533" t="str">
        <f t="shared" si="23"/>
        <v>SWL2016158SEC5</v>
      </c>
      <c r="H1533">
        <v>68.13</v>
      </c>
      <c r="I1533">
        <v>-167.49299999999999</v>
      </c>
      <c r="J1533" s="3">
        <v>20160716</v>
      </c>
      <c r="K1533">
        <v>2016</v>
      </c>
      <c r="L1533">
        <v>6.7131499999999997</v>
      </c>
      <c r="M1533">
        <v>0.10625999999999999</v>
      </c>
      <c r="N1533">
        <v>0.63615999999999995</v>
      </c>
      <c r="O1533">
        <v>1.01471</v>
      </c>
      <c r="P1533">
        <v>8.5360000000000005E-2</v>
      </c>
      <c r="Q1533">
        <v>0</v>
      </c>
      <c r="R1533">
        <v>0</v>
      </c>
      <c r="S1533">
        <v>1.7340000000000001E-2</v>
      </c>
      <c r="T1533">
        <v>5.77E-3</v>
      </c>
      <c r="U1533">
        <v>1.9598899999999999</v>
      </c>
      <c r="V1533">
        <v>10.538639999999999</v>
      </c>
      <c r="W1533" t="s">
        <v>9</v>
      </c>
      <c r="X1533">
        <v>94.242999999999995</v>
      </c>
      <c r="Y1533">
        <v>3.76</v>
      </c>
      <c r="Z1533">
        <v>8.6489999999999991</v>
      </c>
      <c r="AA1533">
        <v>22.548999999999999</v>
      </c>
      <c r="AB1533">
        <v>6.0970000000000004</v>
      </c>
      <c r="AC1533">
        <v>0</v>
      </c>
      <c r="AD1533">
        <v>0</v>
      </c>
      <c r="AE1533">
        <v>0.42299999999999999</v>
      </c>
      <c r="AF1533">
        <v>6.2E-2</v>
      </c>
      <c r="AG1533">
        <v>113.626</v>
      </c>
      <c r="AH1533">
        <v>249.40899999999999</v>
      </c>
      <c r="AI1533" t="s">
        <v>30</v>
      </c>
      <c r="AJ1533">
        <v>2140</v>
      </c>
      <c r="AK1533">
        <v>490</v>
      </c>
      <c r="AL1533">
        <v>1360</v>
      </c>
      <c r="AM1533">
        <v>30</v>
      </c>
      <c r="AN1533">
        <v>250</v>
      </c>
      <c r="AO1533">
        <v>0</v>
      </c>
      <c r="AP1533">
        <v>0</v>
      </c>
      <c r="AQ1533">
        <v>20</v>
      </c>
      <c r="AR1533">
        <v>20</v>
      </c>
      <c r="AS1533">
        <v>100</v>
      </c>
      <c r="AT1533">
        <v>4410</v>
      </c>
      <c r="AU1533" t="s">
        <v>33</v>
      </c>
    </row>
    <row r="1534" spans="1:47" x14ac:dyDescent="0.2">
      <c r="A1534">
        <v>2316</v>
      </c>
      <c r="B1534" t="s">
        <v>888</v>
      </c>
      <c r="C1534">
        <v>163</v>
      </c>
      <c r="D1534" t="s">
        <v>233</v>
      </c>
      <c r="G1534" t="str">
        <f t="shared" si="23"/>
        <v>SWL2016163SEC4</v>
      </c>
      <c r="H1534">
        <v>68.013000000000005</v>
      </c>
      <c r="I1534">
        <v>-167.86500000000001</v>
      </c>
      <c r="J1534" s="3">
        <v>20160717</v>
      </c>
      <c r="K1534">
        <v>2016</v>
      </c>
      <c r="L1534">
        <v>8.7913499999999996</v>
      </c>
      <c r="M1534">
        <v>6.3385499999999997</v>
      </c>
      <c r="N1534">
        <v>9.0450000000000003E-2</v>
      </c>
      <c r="O1534">
        <v>0</v>
      </c>
      <c r="P1534">
        <v>5.9999999999999995E-4</v>
      </c>
      <c r="Q1534">
        <v>0.60329999999999995</v>
      </c>
      <c r="R1534">
        <v>0</v>
      </c>
      <c r="S1534">
        <v>0</v>
      </c>
      <c r="T1534">
        <v>2.14E-3</v>
      </c>
      <c r="U1534">
        <v>1.7219999999999999E-2</v>
      </c>
      <c r="V1534">
        <v>15.84361</v>
      </c>
      <c r="W1534" t="s">
        <v>9</v>
      </c>
      <c r="X1534">
        <v>126.90300000000001</v>
      </c>
      <c r="Y1534">
        <v>178.149</v>
      </c>
      <c r="Z1534">
        <v>1.2130000000000001</v>
      </c>
      <c r="AA1534">
        <v>0</v>
      </c>
      <c r="AB1534">
        <v>4.2999999999999997E-2</v>
      </c>
      <c r="AC1534">
        <v>75.412999999999997</v>
      </c>
      <c r="AD1534">
        <v>0</v>
      </c>
      <c r="AE1534">
        <v>0</v>
      </c>
      <c r="AF1534">
        <v>2.3E-2</v>
      </c>
      <c r="AG1534">
        <v>0.89100000000000001</v>
      </c>
      <c r="AH1534">
        <v>382.63499999999999</v>
      </c>
      <c r="AI1534" t="s">
        <v>22</v>
      </c>
      <c r="AJ1534">
        <v>1317.5</v>
      </c>
      <c r="AK1534">
        <v>3272.5</v>
      </c>
      <c r="AL1534">
        <v>855</v>
      </c>
      <c r="AM1534">
        <v>0</v>
      </c>
      <c r="AN1534">
        <v>47.5</v>
      </c>
      <c r="AO1534">
        <v>25</v>
      </c>
      <c r="AP1534">
        <v>0</v>
      </c>
      <c r="AQ1534">
        <v>0</v>
      </c>
      <c r="AR1534">
        <v>2.5</v>
      </c>
      <c r="AS1534">
        <v>50</v>
      </c>
      <c r="AT1534">
        <v>5570</v>
      </c>
      <c r="AU1534" t="s">
        <v>34</v>
      </c>
    </row>
    <row r="1535" spans="1:47" x14ac:dyDescent="0.2">
      <c r="A1535">
        <v>2317</v>
      </c>
      <c r="B1535" t="s">
        <v>888</v>
      </c>
      <c r="C1535">
        <v>168</v>
      </c>
      <c r="D1535" t="s">
        <v>254</v>
      </c>
      <c r="G1535" t="str">
        <f t="shared" si="23"/>
        <v>SWL2016168SEC3</v>
      </c>
      <c r="H1535">
        <v>67.899000000000001</v>
      </c>
      <c r="I1535">
        <v>-168.232</v>
      </c>
      <c r="J1535" s="3">
        <v>20160717</v>
      </c>
      <c r="K1535">
        <v>2016</v>
      </c>
      <c r="L1535">
        <v>10.34906</v>
      </c>
      <c r="M1535">
        <v>15.25534</v>
      </c>
      <c r="N1535">
        <v>2.9948399999999999</v>
      </c>
      <c r="O1535">
        <v>5.0000000000000002E-5</v>
      </c>
      <c r="P1535">
        <v>0.38058999999999998</v>
      </c>
      <c r="Q1535">
        <v>0</v>
      </c>
      <c r="R1535">
        <v>0.47092000000000001</v>
      </c>
      <c r="S1535">
        <v>0</v>
      </c>
      <c r="T1535">
        <v>3.9100000000000003E-3</v>
      </c>
      <c r="U1535">
        <v>0.17596999999999999</v>
      </c>
      <c r="V1535">
        <v>29.630680000000002</v>
      </c>
      <c r="W1535" t="s">
        <v>10</v>
      </c>
      <c r="X1535">
        <v>212.565</v>
      </c>
      <c r="Y1535">
        <v>468.23</v>
      </c>
      <c r="Z1535">
        <v>32.616999999999997</v>
      </c>
      <c r="AA1535">
        <v>1E-3</v>
      </c>
      <c r="AB1535">
        <v>27.184999999999999</v>
      </c>
      <c r="AC1535">
        <v>0</v>
      </c>
      <c r="AD1535">
        <v>7.72</v>
      </c>
      <c r="AE1535">
        <v>0</v>
      </c>
      <c r="AF1535">
        <v>4.2000000000000003E-2</v>
      </c>
      <c r="AG1535">
        <v>8.5030000000000001</v>
      </c>
      <c r="AH1535">
        <v>756.86300000000006</v>
      </c>
      <c r="AI1535" t="s">
        <v>22</v>
      </c>
      <c r="AJ1535">
        <v>1890</v>
      </c>
      <c r="AK1535">
        <v>1080</v>
      </c>
      <c r="AL1535">
        <v>9490</v>
      </c>
      <c r="AM1535">
        <v>2.5</v>
      </c>
      <c r="AN1535">
        <v>7.5</v>
      </c>
      <c r="AO1535">
        <v>0</v>
      </c>
      <c r="AP1535">
        <v>15</v>
      </c>
      <c r="AQ1535">
        <v>0</v>
      </c>
      <c r="AR1535">
        <v>12.5</v>
      </c>
      <c r="AS1535">
        <v>7.5</v>
      </c>
      <c r="AT1535">
        <v>12505</v>
      </c>
      <c r="AU1535" t="s">
        <v>35</v>
      </c>
    </row>
    <row r="1536" spans="1:47" x14ac:dyDescent="0.2">
      <c r="A1536">
        <v>2318</v>
      </c>
      <c r="B1536" t="s">
        <v>888</v>
      </c>
      <c r="C1536">
        <v>173</v>
      </c>
      <c r="D1536" t="s">
        <v>563</v>
      </c>
      <c r="G1536" t="str">
        <f t="shared" si="23"/>
        <v>SWL2016173UTN6</v>
      </c>
      <c r="H1536">
        <v>67.738</v>
      </c>
      <c r="I1536">
        <v>-168.43299999999999</v>
      </c>
      <c r="J1536" s="3">
        <v>20160717</v>
      </c>
      <c r="K1536">
        <v>2016</v>
      </c>
      <c r="L1536">
        <v>13.110200000000001</v>
      </c>
      <c r="M1536">
        <v>26.277819999999998</v>
      </c>
      <c r="N1536">
        <v>2.3703400000000001</v>
      </c>
      <c r="O1536">
        <v>0</v>
      </c>
      <c r="P1536">
        <v>1.3999999999999999E-4</v>
      </c>
      <c r="Q1536">
        <v>0</v>
      </c>
      <c r="R1536">
        <v>1.6243099999999999</v>
      </c>
      <c r="S1536">
        <v>0</v>
      </c>
      <c r="T1536">
        <v>0</v>
      </c>
      <c r="U1536">
        <v>1.2999999999999999E-4</v>
      </c>
      <c r="V1536">
        <v>43.382939999999998</v>
      </c>
      <c r="W1536" t="s">
        <v>10</v>
      </c>
      <c r="X1536">
        <v>194.30199999999999</v>
      </c>
      <c r="Y1536">
        <v>846.30799999999999</v>
      </c>
      <c r="Z1536">
        <v>25.917000000000002</v>
      </c>
      <c r="AA1536">
        <v>0</v>
      </c>
      <c r="AB1536">
        <v>0.01</v>
      </c>
      <c r="AC1536">
        <v>0</v>
      </c>
      <c r="AD1536">
        <v>26.628</v>
      </c>
      <c r="AE1536">
        <v>0</v>
      </c>
      <c r="AF1536">
        <v>0</v>
      </c>
      <c r="AG1536">
        <v>1.2999999999999999E-2</v>
      </c>
      <c r="AH1536">
        <v>1093.1780000000001</v>
      </c>
      <c r="AI1536" t="s">
        <v>22</v>
      </c>
      <c r="AJ1536">
        <v>1073.3320000000001</v>
      </c>
      <c r="AK1536">
        <v>880</v>
      </c>
      <c r="AL1536">
        <v>11246.665000000001</v>
      </c>
      <c r="AM1536">
        <v>0</v>
      </c>
      <c r="AN1536">
        <v>6.6669999999999998</v>
      </c>
      <c r="AO1536">
        <v>0</v>
      </c>
      <c r="AP1536">
        <v>70</v>
      </c>
      <c r="AQ1536">
        <v>0</v>
      </c>
      <c r="AR1536">
        <v>0</v>
      </c>
      <c r="AS1536">
        <v>0</v>
      </c>
      <c r="AT1536">
        <v>13276.664000000001</v>
      </c>
      <c r="AU1536" t="s">
        <v>35</v>
      </c>
    </row>
    <row r="1537" spans="1:47" x14ac:dyDescent="0.2">
      <c r="A1537">
        <v>2319</v>
      </c>
      <c r="B1537" t="s">
        <v>888</v>
      </c>
      <c r="C1537">
        <v>178</v>
      </c>
      <c r="D1537" t="s">
        <v>258</v>
      </c>
      <c r="G1537" t="str">
        <f t="shared" si="23"/>
        <v>SWL2016178SEC2</v>
      </c>
      <c r="H1537">
        <v>67.783000000000001</v>
      </c>
      <c r="I1537">
        <v>-168.601</v>
      </c>
      <c r="J1537" s="3">
        <v>20160717</v>
      </c>
      <c r="K1537">
        <v>2016</v>
      </c>
      <c r="L1537">
        <v>10.589589999999999</v>
      </c>
      <c r="M1537">
        <v>35.220869999999998</v>
      </c>
      <c r="N1537">
        <v>5.7419799999999999</v>
      </c>
      <c r="O1537">
        <v>0</v>
      </c>
      <c r="P1537">
        <v>2.7E-4</v>
      </c>
      <c r="Q1537">
        <v>0</v>
      </c>
      <c r="R1537">
        <v>2.9121999999999999</v>
      </c>
      <c r="S1537">
        <v>0</v>
      </c>
      <c r="T1537">
        <v>0</v>
      </c>
      <c r="U1537">
        <v>4.4299999999999999E-3</v>
      </c>
      <c r="V1537">
        <v>54.469340000000003</v>
      </c>
      <c r="W1537" t="s">
        <v>10</v>
      </c>
      <c r="X1537">
        <v>154.56399999999999</v>
      </c>
      <c r="Y1537">
        <v>1016.023</v>
      </c>
      <c r="Z1537">
        <v>62.575000000000003</v>
      </c>
      <c r="AA1537">
        <v>0</v>
      </c>
      <c r="AB1537">
        <v>1.9E-2</v>
      </c>
      <c r="AC1537">
        <v>0</v>
      </c>
      <c r="AD1537">
        <v>47.741</v>
      </c>
      <c r="AE1537">
        <v>0</v>
      </c>
      <c r="AF1537">
        <v>0</v>
      </c>
      <c r="AG1537">
        <v>0.28100000000000003</v>
      </c>
      <c r="AH1537">
        <v>1281.203</v>
      </c>
      <c r="AI1537" t="s">
        <v>22</v>
      </c>
      <c r="AJ1537">
        <v>1545</v>
      </c>
      <c r="AK1537">
        <v>1500</v>
      </c>
      <c r="AL1537">
        <v>14587.5</v>
      </c>
      <c r="AM1537">
        <v>0</v>
      </c>
      <c r="AN1537">
        <v>2.5</v>
      </c>
      <c r="AO1537">
        <v>0</v>
      </c>
      <c r="AP1537">
        <v>152.5</v>
      </c>
      <c r="AQ1537">
        <v>0</v>
      </c>
      <c r="AR1537">
        <v>0</v>
      </c>
      <c r="AS1537">
        <v>35</v>
      </c>
      <c r="AT1537">
        <v>17822.5</v>
      </c>
      <c r="AU1537" t="s">
        <v>35</v>
      </c>
    </row>
    <row r="1538" spans="1:47" x14ac:dyDescent="0.2">
      <c r="A1538">
        <v>2320</v>
      </c>
      <c r="B1538" t="s">
        <v>888</v>
      </c>
      <c r="C1538">
        <v>183</v>
      </c>
      <c r="D1538" t="s">
        <v>306</v>
      </c>
      <c r="G1538" t="str">
        <f t="shared" si="23"/>
        <v>SWL2016183UTN5=SEC1</v>
      </c>
      <c r="H1538">
        <v>67.671000000000006</v>
      </c>
      <c r="I1538">
        <v>-168.96100000000001</v>
      </c>
      <c r="J1538" s="3">
        <v>20160717</v>
      </c>
      <c r="K1538">
        <v>2016</v>
      </c>
      <c r="L1538">
        <v>3.80497</v>
      </c>
      <c r="M1538">
        <v>84.184529999999995</v>
      </c>
      <c r="N1538">
        <v>2.1036800000000002</v>
      </c>
      <c r="O1538">
        <v>0</v>
      </c>
      <c r="P1538">
        <v>8.4000000000000003E-4</v>
      </c>
      <c r="Q1538">
        <v>0</v>
      </c>
      <c r="R1538">
        <v>2.8912200000000001</v>
      </c>
      <c r="S1538">
        <v>0</v>
      </c>
      <c r="T1538">
        <v>0</v>
      </c>
      <c r="U1538">
        <v>1.8799999999999999E-3</v>
      </c>
      <c r="V1538">
        <v>92.987120000000004</v>
      </c>
      <c r="W1538" t="s">
        <v>10</v>
      </c>
      <c r="X1538">
        <v>64.013000000000005</v>
      </c>
      <c r="Y1538">
        <v>2733.232</v>
      </c>
      <c r="Z1538">
        <v>23.114000000000001</v>
      </c>
      <c r="AA1538">
        <v>0</v>
      </c>
      <c r="AB1538">
        <v>0.06</v>
      </c>
      <c r="AC1538">
        <v>0</v>
      </c>
      <c r="AD1538">
        <v>47.396999999999998</v>
      </c>
      <c r="AE1538">
        <v>0</v>
      </c>
      <c r="AF1538">
        <v>0</v>
      </c>
      <c r="AG1538">
        <v>0.186</v>
      </c>
      <c r="AH1538">
        <v>2868.002</v>
      </c>
      <c r="AI1538" t="s">
        <v>22</v>
      </c>
      <c r="AJ1538">
        <v>3973.3330000000001</v>
      </c>
      <c r="AK1538">
        <v>2410.0010000000002</v>
      </c>
      <c r="AL1538">
        <v>5806.6660000000002</v>
      </c>
      <c r="AM1538">
        <v>0</v>
      </c>
      <c r="AN1538">
        <v>6.6669999999999998</v>
      </c>
      <c r="AO1538">
        <v>0</v>
      </c>
      <c r="AP1538">
        <v>140</v>
      </c>
      <c r="AQ1538">
        <v>0</v>
      </c>
      <c r="AR1538">
        <v>0</v>
      </c>
      <c r="AS1538">
        <v>3.3330000000000002</v>
      </c>
      <c r="AT1538">
        <v>12340</v>
      </c>
      <c r="AU1538" t="s">
        <v>35</v>
      </c>
    </row>
    <row r="1539" spans="1:47" x14ac:dyDescent="0.2">
      <c r="A1539">
        <v>2321</v>
      </c>
      <c r="B1539" t="s">
        <v>888</v>
      </c>
      <c r="C1539">
        <v>188</v>
      </c>
      <c r="D1539" t="s">
        <v>564</v>
      </c>
      <c r="G1539" t="str">
        <f t="shared" ref="G1539:G1602" si="24">CONCATENATE(B1539,C1539,D1539)</f>
        <v>SWL2016188UTN7</v>
      </c>
      <c r="H1539">
        <v>68.001000000000005</v>
      </c>
      <c r="I1539">
        <v>-168.93</v>
      </c>
      <c r="J1539" s="3">
        <v>20160717</v>
      </c>
      <c r="K1539">
        <v>2016</v>
      </c>
      <c r="L1539">
        <v>1.79053</v>
      </c>
      <c r="M1539">
        <v>12.775029999999999</v>
      </c>
      <c r="N1539">
        <v>13.91775</v>
      </c>
      <c r="O1539">
        <v>0</v>
      </c>
      <c r="P1539">
        <v>1.3999999999999999E-4</v>
      </c>
      <c r="Q1539">
        <v>0</v>
      </c>
      <c r="R1539">
        <v>3.0259</v>
      </c>
      <c r="S1539">
        <v>0</v>
      </c>
      <c r="T1539">
        <v>0</v>
      </c>
      <c r="U1539">
        <v>0.58235999999999999</v>
      </c>
      <c r="V1539">
        <v>32.091709999999999</v>
      </c>
      <c r="W1539" t="s">
        <v>11</v>
      </c>
      <c r="X1539">
        <v>30.02</v>
      </c>
      <c r="Y1539">
        <v>425.86799999999999</v>
      </c>
      <c r="Z1539">
        <v>151.48599999999999</v>
      </c>
      <c r="AA1539">
        <v>0</v>
      </c>
      <c r="AB1539">
        <v>0.01</v>
      </c>
      <c r="AC1539">
        <v>0</v>
      </c>
      <c r="AD1539">
        <v>49.604999999999997</v>
      </c>
      <c r="AE1539">
        <v>0</v>
      </c>
      <c r="AF1539">
        <v>0</v>
      </c>
      <c r="AG1539">
        <v>26.489000000000001</v>
      </c>
      <c r="AH1539">
        <v>683.47799999999995</v>
      </c>
      <c r="AI1539" t="s">
        <v>22</v>
      </c>
      <c r="AJ1539">
        <v>905</v>
      </c>
      <c r="AK1539">
        <v>2625</v>
      </c>
      <c r="AL1539">
        <v>30135</v>
      </c>
      <c r="AM1539">
        <v>0</v>
      </c>
      <c r="AN1539">
        <v>12.5</v>
      </c>
      <c r="AO1539">
        <v>0</v>
      </c>
      <c r="AP1539">
        <v>152.5</v>
      </c>
      <c r="AQ1539">
        <v>0</v>
      </c>
      <c r="AR1539">
        <v>0</v>
      </c>
      <c r="AS1539">
        <v>232.5</v>
      </c>
      <c r="AT1539">
        <v>34062.5</v>
      </c>
      <c r="AU1539" t="s">
        <v>35</v>
      </c>
    </row>
    <row r="1540" spans="1:47" x14ac:dyDescent="0.2">
      <c r="A1540">
        <v>2322</v>
      </c>
      <c r="B1540" t="s">
        <v>888</v>
      </c>
      <c r="C1540">
        <v>193</v>
      </c>
      <c r="D1540" t="s">
        <v>785</v>
      </c>
      <c r="G1540" t="str">
        <f t="shared" si="24"/>
        <v>SWL2016193DBO4.1</v>
      </c>
      <c r="H1540">
        <v>70.972999999999999</v>
      </c>
      <c r="I1540">
        <v>-161.89599999999999</v>
      </c>
      <c r="J1540" s="3">
        <v>20160718</v>
      </c>
      <c r="K1540">
        <v>2016</v>
      </c>
      <c r="L1540">
        <v>6.6064600000000002</v>
      </c>
      <c r="M1540">
        <v>5.62575</v>
      </c>
      <c r="N1540">
        <v>1.87235</v>
      </c>
      <c r="O1540">
        <v>0.88722000000000001</v>
      </c>
      <c r="P1540">
        <v>0.44019999999999998</v>
      </c>
      <c r="Q1540">
        <v>0</v>
      </c>
      <c r="R1540">
        <v>0.16908999999999999</v>
      </c>
      <c r="S1540">
        <v>2.733E-2</v>
      </c>
      <c r="T1540">
        <v>2.4549999999999999E-2</v>
      </c>
      <c r="U1540">
        <v>1.30847</v>
      </c>
      <c r="V1540">
        <v>16.96142</v>
      </c>
      <c r="W1540" t="s">
        <v>9</v>
      </c>
      <c r="X1540">
        <v>93.745000000000005</v>
      </c>
      <c r="Y1540">
        <v>318.197</v>
      </c>
      <c r="Z1540">
        <v>26.832999999999998</v>
      </c>
      <c r="AA1540">
        <v>19.716000000000001</v>
      </c>
      <c r="AB1540">
        <v>31.443000000000001</v>
      </c>
      <c r="AC1540">
        <v>0</v>
      </c>
      <c r="AD1540">
        <v>2.7719999999999998</v>
      </c>
      <c r="AE1540">
        <v>1.952</v>
      </c>
      <c r="AF1540">
        <v>0.26400000000000001</v>
      </c>
      <c r="AG1540">
        <v>59.136000000000003</v>
      </c>
      <c r="AH1540">
        <v>554.05799999999999</v>
      </c>
      <c r="AI1540" t="s">
        <v>22</v>
      </c>
      <c r="AJ1540">
        <v>1862.5</v>
      </c>
      <c r="AK1540">
        <v>835</v>
      </c>
      <c r="AL1540">
        <v>9505</v>
      </c>
      <c r="AM1540">
        <v>140</v>
      </c>
      <c r="AN1540">
        <v>52.5</v>
      </c>
      <c r="AO1540">
        <v>0</v>
      </c>
      <c r="AP1540">
        <v>2.5</v>
      </c>
      <c r="AQ1540">
        <v>2.5</v>
      </c>
      <c r="AR1540">
        <v>30</v>
      </c>
      <c r="AS1540">
        <v>35</v>
      </c>
      <c r="AT1540">
        <v>12465</v>
      </c>
      <c r="AU1540" t="s">
        <v>35</v>
      </c>
    </row>
    <row r="1541" spans="1:47" x14ac:dyDescent="0.2">
      <c r="A1541">
        <v>2323</v>
      </c>
      <c r="B1541" t="s">
        <v>888</v>
      </c>
      <c r="C1541">
        <v>199</v>
      </c>
      <c r="D1541" t="s">
        <v>784</v>
      </c>
      <c r="G1541" t="str">
        <f t="shared" si="24"/>
        <v>SWL2016199DBO4.2</v>
      </c>
      <c r="H1541">
        <v>71.100999999999999</v>
      </c>
      <c r="I1541">
        <v>-162.26499999999999</v>
      </c>
      <c r="J1541" s="3">
        <v>20160718</v>
      </c>
      <c r="K1541">
        <v>2016</v>
      </c>
      <c r="L1541">
        <v>8.0217299999999998</v>
      </c>
      <c r="M1541">
        <v>3.4678800000000001</v>
      </c>
      <c r="N1541">
        <v>1.00465</v>
      </c>
      <c r="O1541">
        <v>3.3732000000000002</v>
      </c>
      <c r="P1541">
        <v>0.48607</v>
      </c>
      <c r="Q1541">
        <v>0</v>
      </c>
      <c r="R1541">
        <v>0</v>
      </c>
      <c r="S1541">
        <v>0</v>
      </c>
      <c r="T1541">
        <v>0.34772999999999998</v>
      </c>
      <c r="U1541">
        <v>0.05</v>
      </c>
      <c r="V1541">
        <v>16.751259999999998</v>
      </c>
      <c r="W1541" t="s">
        <v>9</v>
      </c>
      <c r="X1541">
        <v>112.782</v>
      </c>
      <c r="Y1541">
        <v>163.99299999999999</v>
      </c>
      <c r="Z1541">
        <v>14.103999999999999</v>
      </c>
      <c r="AA1541">
        <v>74.959999999999994</v>
      </c>
      <c r="AB1541">
        <v>34.719000000000001</v>
      </c>
      <c r="AC1541">
        <v>0</v>
      </c>
      <c r="AD1541">
        <v>0</v>
      </c>
      <c r="AE1541">
        <v>0</v>
      </c>
      <c r="AF1541">
        <v>3.7389999999999999</v>
      </c>
      <c r="AG1541">
        <v>1.5880000000000001</v>
      </c>
      <c r="AH1541">
        <v>405.88499999999999</v>
      </c>
      <c r="AI1541" t="s">
        <v>22</v>
      </c>
      <c r="AJ1541">
        <v>1307.5</v>
      </c>
      <c r="AK1541">
        <v>550</v>
      </c>
      <c r="AL1541">
        <v>12952.5</v>
      </c>
      <c r="AM1541">
        <v>62.5</v>
      </c>
      <c r="AN1541">
        <v>102.5</v>
      </c>
      <c r="AO1541">
        <v>0</v>
      </c>
      <c r="AP1541">
        <v>0</v>
      </c>
      <c r="AQ1541">
        <v>0</v>
      </c>
      <c r="AR1541">
        <v>20</v>
      </c>
      <c r="AS1541">
        <v>92.5</v>
      </c>
      <c r="AT1541">
        <v>15087.5</v>
      </c>
      <c r="AU1541" t="s">
        <v>35</v>
      </c>
    </row>
    <row r="1542" spans="1:47" x14ac:dyDescent="0.2">
      <c r="A1542">
        <v>2324</v>
      </c>
      <c r="B1542" t="s">
        <v>888</v>
      </c>
      <c r="C1542">
        <v>204</v>
      </c>
      <c r="D1542" t="s">
        <v>783</v>
      </c>
      <c r="G1542" t="str">
        <f t="shared" si="24"/>
        <v>SWL2016204DBO4.3</v>
      </c>
      <c r="H1542">
        <v>71.234999999999999</v>
      </c>
      <c r="I1542">
        <v>-162.643</v>
      </c>
      <c r="J1542" s="3">
        <v>20160719</v>
      </c>
      <c r="K1542">
        <v>2016</v>
      </c>
      <c r="L1542">
        <v>3.0164900000000001</v>
      </c>
      <c r="M1542">
        <v>6.5618400000000001</v>
      </c>
      <c r="N1542">
        <v>0.47349999999999998</v>
      </c>
      <c r="O1542">
        <v>3.5531600000000001</v>
      </c>
      <c r="P1542">
        <v>0.30712</v>
      </c>
      <c r="Q1542">
        <v>0</v>
      </c>
      <c r="R1542">
        <v>0.47944999999999999</v>
      </c>
      <c r="S1542">
        <v>0</v>
      </c>
      <c r="T1542">
        <v>1.4880000000000001E-2</v>
      </c>
      <c r="U1542">
        <v>0.11283</v>
      </c>
      <c r="V1542">
        <v>14.519270000000001</v>
      </c>
      <c r="W1542" t="s">
        <v>10</v>
      </c>
      <c r="X1542">
        <v>44.448999999999998</v>
      </c>
      <c r="Y1542">
        <v>178.858</v>
      </c>
      <c r="Z1542">
        <v>6.6260000000000003</v>
      </c>
      <c r="AA1542">
        <v>78.959000000000003</v>
      </c>
      <c r="AB1542">
        <v>21.937000000000001</v>
      </c>
      <c r="AC1542">
        <v>0</v>
      </c>
      <c r="AD1542">
        <v>10.743</v>
      </c>
      <c r="AE1542">
        <v>0</v>
      </c>
      <c r="AF1542">
        <v>0.16</v>
      </c>
      <c r="AG1542">
        <v>4.2649999999999997</v>
      </c>
      <c r="AH1542">
        <v>345.99700000000001</v>
      </c>
      <c r="AI1542" t="s">
        <v>22</v>
      </c>
      <c r="AJ1542">
        <v>997.5</v>
      </c>
      <c r="AK1542">
        <v>970</v>
      </c>
      <c r="AL1542">
        <v>2472.5</v>
      </c>
      <c r="AM1542">
        <v>15</v>
      </c>
      <c r="AN1542">
        <v>65</v>
      </c>
      <c r="AO1542">
        <v>0</v>
      </c>
      <c r="AP1542">
        <v>2.5</v>
      </c>
      <c r="AQ1542">
        <v>0</v>
      </c>
      <c r="AR1542">
        <v>7.5</v>
      </c>
      <c r="AS1542">
        <v>87.5</v>
      </c>
      <c r="AT1542">
        <v>4617.5</v>
      </c>
      <c r="AU1542" t="s">
        <v>35</v>
      </c>
    </row>
    <row r="1543" spans="1:47" x14ac:dyDescent="0.2">
      <c r="A1543">
        <v>2325</v>
      </c>
      <c r="B1543" t="s">
        <v>888</v>
      </c>
      <c r="C1543">
        <v>209</v>
      </c>
      <c r="D1543" t="s">
        <v>780</v>
      </c>
      <c r="G1543" t="str">
        <f t="shared" si="24"/>
        <v>SWL2016209DBO4.6</v>
      </c>
      <c r="H1543">
        <v>71.617999999999995</v>
      </c>
      <c r="I1543">
        <v>-163.77699999999999</v>
      </c>
      <c r="J1543" s="3">
        <v>20160720</v>
      </c>
      <c r="K1543">
        <v>2016</v>
      </c>
      <c r="L1543">
        <v>3.0362399999999998</v>
      </c>
      <c r="M1543">
        <v>4.6687500000000002</v>
      </c>
      <c r="N1543">
        <v>7.485E-2</v>
      </c>
      <c r="O1543">
        <v>2.1716099999999998</v>
      </c>
      <c r="P1543">
        <v>0.30062</v>
      </c>
      <c r="Q1543">
        <v>0</v>
      </c>
      <c r="R1543">
        <v>0</v>
      </c>
      <c r="S1543">
        <v>1.9140000000000001E-2</v>
      </c>
      <c r="T1543">
        <v>0.92749000000000004</v>
      </c>
      <c r="U1543">
        <v>8.2970000000000002E-2</v>
      </c>
      <c r="V1543">
        <v>11.28167</v>
      </c>
      <c r="W1543" t="s">
        <v>10</v>
      </c>
      <c r="X1543">
        <v>41.62</v>
      </c>
      <c r="Y1543">
        <v>138.50899999999999</v>
      </c>
      <c r="Z1543">
        <v>1.0289999999999999</v>
      </c>
      <c r="AA1543">
        <v>48.258000000000003</v>
      </c>
      <c r="AB1543">
        <v>21.472999999999999</v>
      </c>
      <c r="AC1543">
        <v>0</v>
      </c>
      <c r="AD1543">
        <v>0</v>
      </c>
      <c r="AE1543">
        <v>1.367</v>
      </c>
      <c r="AF1543">
        <v>9.9730000000000008</v>
      </c>
      <c r="AG1543">
        <v>3.431</v>
      </c>
      <c r="AH1543">
        <v>265.66000000000003</v>
      </c>
      <c r="AI1543" t="s">
        <v>22</v>
      </c>
      <c r="AJ1543">
        <v>1222.5</v>
      </c>
      <c r="AK1543">
        <v>380</v>
      </c>
      <c r="AL1543">
        <v>370</v>
      </c>
      <c r="AM1543">
        <v>27.5</v>
      </c>
      <c r="AN1543">
        <v>35</v>
      </c>
      <c r="AO1543">
        <v>0</v>
      </c>
      <c r="AP1543">
        <v>0</v>
      </c>
      <c r="AQ1543">
        <v>2.5</v>
      </c>
      <c r="AR1543">
        <v>17.5</v>
      </c>
      <c r="AS1543">
        <v>95</v>
      </c>
      <c r="AT1543">
        <v>2150</v>
      </c>
      <c r="AU1543" t="s">
        <v>33</v>
      </c>
    </row>
    <row r="1544" spans="1:47" x14ac:dyDescent="0.2">
      <c r="A1544">
        <v>2145</v>
      </c>
      <c r="B1544" t="s">
        <v>792</v>
      </c>
      <c r="C1544">
        <v>1</v>
      </c>
      <c r="D1544" t="s">
        <v>306</v>
      </c>
      <c r="G1544" t="str">
        <f t="shared" si="24"/>
        <v>HLY17021UTN5=SEC1</v>
      </c>
      <c r="H1544">
        <v>67.676500000000004</v>
      </c>
      <c r="I1544">
        <v>-168.9485</v>
      </c>
      <c r="J1544" s="3">
        <v>20170829</v>
      </c>
      <c r="K1544">
        <v>2017</v>
      </c>
      <c r="L1544">
        <v>6.3975299999999997</v>
      </c>
      <c r="M1544">
        <v>57.891109999999998</v>
      </c>
      <c r="N1544">
        <v>0.47360999999999998</v>
      </c>
      <c r="O1544">
        <v>0.66600000000000004</v>
      </c>
      <c r="P1544">
        <v>1.16E-3</v>
      </c>
      <c r="Q1544">
        <v>0</v>
      </c>
      <c r="R1544">
        <v>1.1363700000000001</v>
      </c>
      <c r="S1544">
        <v>0</v>
      </c>
      <c r="T1544">
        <v>1.5425899999999999</v>
      </c>
      <c r="U1544">
        <v>0.18801999999999999</v>
      </c>
      <c r="V1544">
        <v>68.296390000000002</v>
      </c>
      <c r="W1544" t="s">
        <v>10</v>
      </c>
      <c r="X1544">
        <v>99.587000000000003</v>
      </c>
      <c r="Y1544">
        <v>1681.4459999999999</v>
      </c>
      <c r="Z1544">
        <v>5.6109999999999998</v>
      </c>
      <c r="AA1544">
        <v>14.8</v>
      </c>
      <c r="AB1544">
        <v>8.3000000000000004E-2</v>
      </c>
      <c r="AC1544">
        <v>0</v>
      </c>
      <c r="AD1544">
        <v>18.629000000000001</v>
      </c>
      <c r="AE1544">
        <v>0</v>
      </c>
      <c r="AF1544">
        <v>16.587</v>
      </c>
      <c r="AG1544">
        <v>4.3769999999999998</v>
      </c>
      <c r="AH1544">
        <v>1841.12</v>
      </c>
      <c r="AI1544" t="s">
        <v>22</v>
      </c>
      <c r="AJ1544">
        <v>2872.5</v>
      </c>
      <c r="AK1544">
        <v>1230</v>
      </c>
      <c r="AL1544">
        <v>1440</v>
      </c>
      <c r="AM1544">
        <v>12.5</v>
      </c>
      <c r="AN1544">
        <v>15</v>
      </c>
      <c r="AO1544">
        <v>0</v>
      </c>
      <c r="AP1544">
        <v>82.5</v>
      </c>
      <c r="AQ1544">
        <v>0</v>
      </c>
      <c r="AR1544">
        <v>20</v>
      </c>
      <c r="AS1544">
        <v>20</v>
      </c>
      <c r="AT1544">
        <v>5692.5</v>
      </c>
      <c r="AU1544" t="s">
        <v>33</v>
      </c>
    </row>
    <row r="1545" spans="1:47" x14ac:dyDescent="0.2">
      <c r="A1545">
        <v>2146</v>
      </c>
      <c r="B1545" t="s">
        <v>792</v>
      </c>
      <c r="C1545">
        <v>2</v>
      </c>
      <c r="D1545" t="s">
        <v>258</v>
      </c>
      <c r="G1545" t="str">
        <f t="shared" si="24"/>
        <v>HLY17022SEC2</v>
      </c>
      <c r="H1545">
        <v>67.783333330000005</v>
      </c>
      <c r="I1545">
        <v>-168.5963333</v>
      </c>
      <c r="J1545" s="3">
        <v>20170829</v>
      </c>
      <c r="K1545">
        <v>2017</v>
      </c>
      <c r="L1545">
        <v>9.0806299999999993</v>
      </c>
      <c r="M1545">
        <v>60.553550000000001</v>
      </c>
      <c r="N1545">
        <v>3.8980299999999999</v>
      </c>
      <c r="O1545">
        <v>0</v>
      </c>
      <c r="P1545">
        <v>2.7E-4</v>
      </c>
      <c r="Q1545">
        <v>0</v>
      </c>
      <c r="R1545">
        <v>3.7150799999999999</v>
      </c>
      <c r="S1545">
        <v>0</v>
      </c>
      <c r="T1545">
        <v>0</v>
      </c>
      <c r="U1545">
        <v>9.7999999999999997E-4</v>
      </c>
      <c r="V1545">
        <v>77.248540000000006</v>
      </c>
      <c r="W1545" t="s">
        <v>10</v>
      </c>
      <c r="X1545">
        <v>126.76300000000001</v>
      </c>
      <c r="Y1545">
        <v>1732.8510000000001</v>
      </c>
      <c r="Z1545">
        <v>42.588999999999999</v>
      </c>
      <c r="AA1545">
        <v>0</v>
      </c>
      <c r="AB1545">
        <v>1.9E-2</v>
      </c>
      <c r="AC1545">
        <v>0</v>
      </c>
      <c r="AD1545">
        <v>60.902999999999999</v>
      </c>
      <c r="AE1545">
        <v>0</v>
      </c>
      <c r="AF1545">
        <v>0</v>
      </c>
      <c r="AG1545">
        <v>9.8000000000000004E-2</v>
      </c>
      <c r="AH1545">
        <v>1963.223</v>
      </c>
      <c r="AI1545" t="s">
        <v>22</v>
      </c>
      <c r="AJ1545">
        <v>1902.5</v>
      </c>
      <c r="AK1545">
        <v>1745</v>
      </c>
      <c r="AL1545">
        <v>11077.5</v>
      </c>
      <c r="AM1545">
        <v>0</v>
      </c>
      <c r="AN1545">
        <v>5</v>
      </c>
      <c r="AO1545">
        <v>0</v>
      </c>
      <c r="AP1545">
        <v>172.5</v>
      </c>
      <c r="AQ1545">
        <v>0</v>
      </c>
      <c r="AR1545">
        <v>0</v>
      </c>
      <c r="AS1545">
        <v>0</v>
      </c>
      <c r="AT1545">
        <v>14902.5</v>
      </c>
      <c r="AU1545" t="s">
        <v>35</v>
      </c>
    </row>
    <row r="1546" spans="1:47" x14ac:dyDescent="0.2">
      <c r="A1546">
        <v>2147</v>
      </c>
      <c r="B1546" t="s">
        <v>792</v>
      </c>
      <c r="C1546">
        <v>3</v>
      </c>
      <c r="D1546" t="s">
        <v>254</v>
      </c>
      <c r="G1546" t="str">
        <f t="shared" si="24"/>
        <v>HLY17023SEC3</v>
      </c>
      <c r="H1546">
        <v>67.897499999999994</v>
      </c>
      <c r="I1546">
        <v>-168.2345</v>
      </c>
      <c r="J1546" s="3">
        <v>20170829</v>
      </c>
      <c r="K1546">
        <v>2017</v>
      </c>
      <c r="L1546">
        <v>13.52408</v>
      </c>
      <c r="M1546">
        <v>30.765149999999998</v>
      </c>
      <c r="N1546">
        <v>5.0710300000000004</v>
      </c>
      <c r="O1546">
        <v>0</v>
      </c>
      <c r="P1546">
        <v>0.46548</v>
      </c>
      <c r="Q1546">
        <v>0</v>
      </c>
      <c r="R1546">
        <v>1.7753399999999999</v>
      </c>
      <c r="S1546">
        <v>0</v>
      </c>
      <c r="T1546">
        <v>1.58E-3</v>
      </c>
      <c r="U1546">
        <v>3.6000000000000002E-4</v>
      </c>
      <c r="V1546">
        <v>51.603020000000001</v>
      </c>
      <c r="W1546" t="s">
        <v>10</v>
      </c>
      <c r="X1546">
        <v>256.94900000000001</v>
      </c>
      <c r="Y1546">
        <v>999.87699999999995</v>
      </c>
      <c r="Z1546">
        <v>55.268999999999998</v>
      </c>
      <c r="AA1546">
        <v>0</v>
      </c>
      <c r="AB1546">
        <v>33.249000000000002</v>
      </c>
      <c r="AC1546">
        <v>0</v>
      </c>
      <c r="AD1546">
        <v>29.103999999999999</v>
      </c>
      <c r="AE1546">
        <v>0</v>
      </c>
      <c r="AF1546">
        <v>1.7000000000000001E-2</v>
      </c>
      <c r="AG1546">
        <v>5.0000000000000001E-3</v>
      </c>
      <c r="AH1546">
        <v>1374.47</v>
      </c>
      <c r="AI1546" t="s">
        <v>22</v>
      </c>
      <c r="AJ1546">
        <v>2415</v>
      </c>
      <c r="AK1546">
        <v>1700</v>
      </c>
      <c r="AL1546">
        <v>10162.5</v>
      </c>
      <c r="AM1546">
        <v>0</v>
      </c>
      <c r="AN1546">
        <v>20</v>
      </c>
      <c r="AO1546">
        <v>0</v>
      </c>
      <c r="AP1546">
        <v>122.5</v>
      </c>
      <c r="AQ1546">
        <v>0</v>
      </c>
      <c r="AR1546">
        <v>5</v>
      </c>
      <c r="AS1546">
        <v>2.5</v>
      </c>
      <c r="AT1546">
        <v>14427.5</v>
      </c>
      <c r="AU1546" t="s">
        <v>35</v>
      </c>
    </row>
    <row r="1547" spans="1:47" x14ac:dyDescent="0.2">
      <c r="A1547">
        <v>2148</v>
      </c>
      <c r="B1547" t="s">
        <v>792</v>
      </c>
      <c r="C1547">
        <v>4</v>
      </c>
      <c r="D1547" t="s">
        <v>233</v>
      </c>
      <c r="G1547" t="str">
        <f t="shared" si="24"/>
        <v>HLY17024SEC4</v>
      </c>
      <c r="H1547">
        <v>68.013000000000005</v>
      </c>
      <c r="I1547">
        <v>-167.87516669999999</v>
      </c>
      <c r="J1547" s="3">
        <v>20170829</v>
      </c>
      <c r="K1547">
        <v>2017</v>
      </c>
      <c r="L1547">
        <v>7.9213399999999998</v>
      </c>
      <c r="M1547">
        <v>2.7303799999999998</v>
      </c>
      <c r="N1547">
        <v>0.38951000000000002</v>
      </c>
      <c r="O1547">
        <v>0</v>
      </c>
      <c r="P1547">
        <v>3.0400000000000002E-3</v>
      </c>
      <c r="Q1547">
        <v>0.14271</v>
      </c>
      <c r="R1547">
        <v>0</v>
      </c>
      <c r="S1547">
        <v>2.1000000000000001E-4</v>
      </c>
      <c r="T1547">
        <v>3.7200000000000002E-3</v>
      </c>
      <c r="U1547">
        <v>4.8000000000000001E-2</v>
      </c>
      <c r="V1547">
        <v>11.238910000000001</v>
      </c>
      <c r="W1547" t="s">
        <v>9</v>
      </c>
      <c r="X1547">
        <v>113.40600000000001</v>
      </c>
      <c r="Y1547">
        <v>75.481999999999999</v>
      </c>
      <c r="Z1547">
        <v>5.2679999999999998</v>
      </c>
      <c r="AA1547">
        <v>0</v>
      </c>
      <c r="AB1547">
        <v>0.217</v>
      </c>
      <c r="AC1547">
        <v>17.61</v>
      </c>
      <c r="AD1547">
        <v>0</v>
      </c>
      <c r="AE1547">
        <v>5.0000000000000001E-3</v>
      </c>
      <c r="AF1547">
        <v>0.04</v>
      </c>
      <c r="AG1547">
        <v>1.3129999999999999</v>
      </c>
      <c r="AH1547">
        <v>213.34100000000001</v>
      </c>
      <c r="AI1547" t="s">
        <v>21</v>
      </c>
      <c r="AJ1547">
        <v>2897.5</v>
      </c>
      <c r="AK1547">
        <v>4240</v>
      </c>
      <c r="AL1547">
        <v>1820</v>
      </c>
      <c r="AM1547">
        <v>0</v>
      </c>
      <c r="AN1547">
        <v>130</v>
      </c>
      <c r="AO1547">
        <v>507.5</v>
      </c>
      <c r="AP1547">
        <v>0</v>
      </c>
      <c r="AQ1547">
        <v>2.5</v>
      </c>
      <c r="AR1547">
        <v>15</v>
      </c>
      <c r="AS1547">
        <v>110</v>
      </c>
      <c r="AT1547">
        <v>9722.5</v>
      </c>
      <c r="AU1547" t="s">
        <v>34</v>
      </c>
    </row>
    <row r="1548" spans="1:47" x14ac:dyDescent="0.2">
      <c r="A1548">
        <v>2149</v>
      </c>
      <c r="B1548" t="s">
        <v>792</v>
      </c>
      <c r="C1548">
        <v>5</v>
      </c>
      <c r="D1548" t="s">
        <v>240</v>
      </c>
      <c r="G1548" t="str">
        <f t="shared" si="24"/>
        <v>HLY17025SEC5</v>
      </c>
      <c r="H1548">
        <v>68.132833329999997</v>
      </c>
      <c r="I1548">
        <v>-167.48699999999999</v>
      </c>
      <c r="J1548" s="3">
        <v>20170830</v>
      </c>
      <c r="K1548">
        <v>2017</v>
      </c>
      <c r="L1548">
        <v>6.36564</v>
      </c>
      <c r="M1548">
        <v>2.5272000000000001</v>
      </c>
      <c r="N1548">
        <v>0.66049000000000002</v>
      </c>
      <c r="O1548">
        <v>0.12511</v>
      </c>
      <c r="P1548">
        <v>0.12471</v>
      </c>
      <c r="Q1548">
        <v>0</v>
      </c>
      <c r="R1548">
        <v>0.48537999999999998</v>
      </c>
      <c r="S1548">
        <v>0</v>
      </c>
      <c r="T1548">
        <v>4.6870000000000002E-2</v>
      </c>
      <c r="U1548">
        <v>1.22401</v>
      </c>
      <c r="V1548">
        <v>11.55941</v>
      </c>
      <c r="W1548" t="s">
        <v>9</v>
      </c>
      <c r="X1548">
        <v>95.837000000000003</v>
      </c>
      <c r="Y1548">
        <v>117.286</v>
      </c>
      <c r="Z1548">
        <v>8.9619999999999997</v>
      </c>
      <c r="AA1548">
        <v>2.78</v>
      </c>
      <c r="AB1548">
        <v>8.9079999999999995</v>
      </c>
      <c r="AC1548">
        <v>0</v>
      </c>
      <c r="AD1548">
        <v>7.9569999999999999</v>
      </c>
      <c r="AE1548">
        <v>0</v>
      </c>
      <c r="AF1548">
        <v>0.504</v>
      </c>
      <c r="AG1548">
        <v>57.268000000000001</v>
      </c>
      <c r="AH1548">
        <v>299.50200000000001</v>
      </c>
      <c r="AI1548" t="s">
        <v>22</v>
      </c>
      <c r="AJ1548">
        <v>1530</v>
      </c>
      <c r="AK1548">
        <v>210</v>
      </c>
      <c r="AL1548">
        <v>1630</v>
      </c>
      <c r="AM1548">
        <v>60</v>
      </c>
      <c r="AN1548">
        <v>200</v>
      </c>
      <c r="AO1548">
        <v>0</v>
      </c>
      <c r="AP1548">
        <v>10</v>
      </c>
      <c r="AQ1548">
        <v>0</v>
      </c>
      <c r="AR1548">
        <v>30</v>
      </c>
      <c r="AS1548">
        <v>30</v>
      </c>
      <c r="AT1548">
        <v>3700</v>
      </c>
      <c r="AU1548" t="s">
        <v>35</v>
      </c>
    </row>
    <row r="1549" spans="1:47" x14ac:dyDescent="0.2">
      <c r="A1549">
        <v>2150</v>
      </c>
      <c r="B1549" t="s">
        <v>792</v>
      </c>
      <c r="C1549">
        <v>6</v>
      </c>
      <c r="D1549" t="s">
        <v>388</v>
      </c>
      <c r="G1549" t="str">
        <f t="shared" si="24"/>
        <v>HLY17026SEC6</v>
      </c>
      <c r="H1549">
        <v>68.186666669999994</v>
      </c>
      <c r="I1549">
        <v>-167.29499999999999</v>
      </c>
      <c r="J1549" s="3">
        <v>20170830</v>
      </c>
      <c r="K1549">
        <v>2017</v>
      </c>
      <c r="L1549">
        <v>3.7360699999999998</v>
      </c>
      <c r="M1549">
        <v>5.0387899999999997</v>
      </c>
      <c r="N1549">
        <v>0.50702000000000003</v>
      </c>
      <c r="O1549">
        <v>0.94393000000000005</v>
      </c>
      <c r="P1549">
        <v>0.11276</v>
      </c>
      <c r="Q1549">
        <v>0</v>
      </c>
      <c r="R1549">
        <v>0</v>
      </c>
      <c r="S1549">
        <v>5.0090000000000003E-2</v>
      </c>
      <c r="T1549">
        <v>1.4789999999999999E-2</v>
      </c>
      <c r="U1549">
        <v>5.8279999999999998E-2</v>
      </c>
      <c r="V1549">
        <v>10.461729999999999</v>
      </c>
      <c r="W1549" t="s">
        <v>10</v>
      </c>
      <c r="X1549">
        <v>56.956000000000003</v>
      </c>
      <c r="Y1549">
        <v>331.23899999999998</v>
      </c>
      <c r="Z1549">
        <v>7.0780000000000003</v>
      </c>
      <c r="AA1549">
        <v>20.975999999999999</v>
      </c>
      <c r="AB1549">
        <v>8.0540000000000003</v>
      </c>
      <c r="AC1549">
        <v>0</v>
      </c>
      <c r="AD1549">
        <v>0</v>
      </c>
      <c r="AE1549">
        <v>2.7829999999999999</v>
      </c>
      <c r="AF1549">
        <v>0.159</v>
      </c>
      <c r="AG1549">
        <v>2.6909999999999998</v>
      </c>
      <c r="AH1549">
        <v>429.93599999999998</v>
      </c>
      <c r="AI1549" t="s">
        <v>22</v>
      </c>
      <c r="AJ1549">
        <v>1450</v>
      </c>
      <c r="AK1549">
        <v>120</v>
      </c>
      <c r="AL1549">
        <v>800</v>
      </c>
      <c r="AM1549">
        <v>130</v>
      </c>
      <c r="AN1549">
        <v>20</v>
      </c>
      <c r="AO1549">
        <v>0</v>
      </c>
      <c r="AP1549">
        <v>0</v>
      </c>
      <c r="AQ1549">
        <v>10</v>
      </c>
      <c r="AR1549">
        <v>10</v>
      </c>
      <c r="AS1549">
        <v>60</v>
      </c>
      <c r="AT1549">
        <v>2600</v>
      </c>
      <c r="AU1549" t="s">
        <v>33</v>
      </c>
    </row>
    <row r="1550" spans="1:47" x14ac:dyDescent="0.2">
      <c r="A1550">
        <v>2151</v>
      </c>
      <c r="B1550" t="s">
        <v>792</v>
      </c>
      <c r="C1550">
        <v>7</v>
      </c>
      <c r="D1550" t="s">
        <v>387</v>
      </c>
      <c r="G1550" t="str">
        <f t="shared" si="24"/>
        <v>HLY17027SEC7</v>
      </c>
      <c r="H1550">
        <v>68.246833330000001</v>
      </c>
      <c r="I1550">
        <v>-167.12166669999999</v>
      </c>
      <c r="J1550" s="3">
        <v>20170830</v>
      </c>
      <c r="K1550">
        <v>2017</v>
      </c>
      <c r="L1550">
        <v>0.93279000000000001</v>
      </c>
      <c r="M1550">
        <v>2.7319300000000002</v>
      </c>
      <c r="N1550">
        <v>9.4079999999999997E-2</v>
      </c>
      <c r="O1550">
        <v>0.16003000000000001</v>
      </c>
      <c r="P1550">
        <v>6.9029999999999994E-2</v>
      </c>
      <c r="Q1550">
        <v>0</v>
      </c>
      <c r="R1550">
        <v>0</v>
      </c>
      <c r="S1550">
        <v>22.737649999999999</v>
      </c>
      <c r="T1550">
        <v>0</v>
      </c>
      <c r="U1550">
        <v>6.6100000000000004E-3</v>
      </c>
      <c r="V1550">
        <v>26.732119999999998</v>
      </c>
      <c r="W1550" t="s">
        <v>16</v>
      </c>
      <c r="X1550">
        <v>14.903</v>
      </c>
      <c r="Y1550">
        <v>101.10299999999999</v>
      </c>
      <c r="Z1550">
        <v>1.266</v>
      </c>
      <c r="AA1550">
        <v>3.556</v>
      </c>
      <c r="AB1550">
        <v>4.931</v>
      </c>
      <c r="AC1550">
        <v>0</v>
      </c>
      <c r="AD1550">
        <v>0</v>
      </c>
      <c r="AE1550">
        <v>628.89599999999996</v>
      </c>
      <c r="AF1550">
        <v>0</v>
      </c>
      <c r="AG1550">
        <v>0.315</v>
      </c>
      <c r="AH1550">
        <v>754.97</v>
      </c>
      <c r="AI1550" t="s">
        <v>28</v>
      </c>
      <c r="AJ1550">
        <v>330</v>
      </c>
      <c r="AK1550">
        <v>60</v>
      </c>
      <c r="AL1550">
        <v>190</v>
      </c>
      <c r="AM1550">
        <v>50</v>
      </c>
      <c r="AN1550">
        <v>90</v>
      </c>
      <c r="AO1550">
        <v>0</v>
      </c>
      <c r="AP1550">
        <v>0</v>
      </c>
      <c r="AQ1550">
        <v>50</v>
      </c>
      <c r="AR1550">
        <v>0</v>
      </c>
      <c r="AS1550">
        <v>10</v>
      </c>
      <c r="AT1550">
        <v>780</v>
      </c>
      <c r="AU1550" t="s">
        <v>33</v>
      </c>
    </row>
    <row r="1551" spans="1:47" x14ac:dyDescent="0.2">
      <c r="A1551">
        <v>2152</v>
      </c>
      <c r="B1551" t="s">
        <v>792</v>
      </c>
      <c r="C1551">
        <v>8</v>
      </c>
      <c r="D1551" t="s">
        <v>389</v>
      </c>
      <c r="G1551" t="str">
        <f t="shared" si="24"/>
        <v>HLY17028SEC8</v>
      </c>
      <c r="H1551">
        <v>68.304166670000001</v>
      </c>
      <c r="I1551">
        <v>-166.92366670000001</v>
      </c>
      <c r="J1551" s="3">
        <v>20170830</v>
      </c>
      <c r="K1551">
        <v>2017</v>
      </c>
      <c r="L1551">
        <v>1.23631</v>
      </c>
      <c r="M1551">
        <v>1.176E-2</v>
      </c>
      <c r="N1551">
        <v>5.0099999999999999E-2</v>
      </c>
      <c r="O1551">
        <v>6.3769999999999993E-2</v>
      </c>
      <c r="P1551">
        <v>1.329E-2</v>
      </c>
      <c r="Q1551">
        <v>3.3E-4</v>
      </c>
      <c r="R1551">
        <v>0</v>
      </c>
      <c r="S1551">
        <v>1.5427299999999999</v>
      </c>
      <c r="T1551">
        <v>2.2509999999999999E-2</v>
      </c>
      <c r="U1551">
        <v>2.2890000000000001E-2</v>
      </c>
      <c r="V1551">
        <v>2.9636900000000002</v>
      </c>
      <c r="W1551" t="s">
        <v>16</v>
      </c>
      <c r="X1551">
        <v>19.372</v>
      </c>
      <c r="Y1551">
        <v>0.376</v>
      </c>
      <c r="Z1551">
        <v>0.70799999999999996</v>
      </c>
      <c r="AA1551">
        <v>1.417</v>
      </c>
      <c r="AB1551">
        <v>0.94899999999999995</v>
      </c>
      <c r="AC1551">
        <v>0.03</v>
      </c>
      <c r="AD1551">
        <v>0</v>
      </c>
      <c r="AE1551">
        <v>85.706999999999994</v>
      </c>
      <c r="AF1551">
        <v>0.24199999999999999</v>
      </c>
      <c r="AG1551">
        <v>0.98499999999999999</v>
      </c>
      <c r="AH1551">
        <v>109.786</v>
      </c>
      <c r="AI1551" t="s">
        <v>28</v>
      </c>
      <c r="AJ1551">
        <v>1620</v>
      </c>
      <c r="AK1551">
        <v>160</v>
      </c>
      <c r="AL1551">
        <v>520</v>
      </c>
      <c r="AM1551">
        <v>30</v>
      </c>
      <c r="AN1551">
        <v>650</v>
      </c>
      <c r="AO1551">
        <v>10</v>
      </c>
      <c r="AP1551">
        <v>0</v>
      </c>
      <c r="AQ1551">
        <v>20</v>
      </c>
      <c r="AR1551">
        <v>30</v>
      </c>
      <c r="AS1551">
        <v>40</v>
      </c>
      <c r="AT1551">
        <v>3080</v>
      </c>
      <c r="AU1551" t="s">
        <v>33</v>
      </c>
    </row>
    <row r="1552" spans="1:47" x14ac:dyDescent="0.2">
      <c r="A1552">
        <v>2153</v>
      </c>
      <c r="B1552" t="s">
        <v>792</v>
      </c>
      <c r="C1552">
        <v>10</v>
      </c>
      <c r="D1552" t="s">
        <v>780</v>
      </c>
      <c r="G1552" t="str">
        <f t="shared" si="24"/>
        <v>HLY170210DBO4.6</v>
      </c>
      <c r="H1552">
        <v>71.619833330000006</v>
      </c>
      <c r="I1552">
        <v>-163.76233329999999</v>
      </c>
      <c r="J1552" s="3">
        <v>20170831</v>
      </c>
      <c r="K1552">
        <v>2017</v>
      </c>
      <c r="L1552">
        <v>8.4994899999999998</v>
      </c>
      <c r="M1552">
        <v>8.5076300000000007</v>
      </c>
      <c r="N1552">
        <v>0.29117999999999999</v>
      </c>
      <c r="O1552">
        <v>0.20735999999999999</v>
      </c>
      <c r="P1552">
        <v>0.78359000000000001</v>
      </c>
      <c r="Q1552">
        <v>0</v>
      </c>
      <c r="R1552">
        <v>0</v>
      </c>
      <c r="S1552">
        <v>0</v>
      </c>
      <c r="T1552">
        <v>2.38266</v>
      </c>
      <c r="U1552">
        <v>3.0630000000000001E-2</v>
      </c>
      <c r="V1552">
        <v>20.702539999999999</v>
      </c>
      <c r="W1552" t="s">
        <v>10</v>
      </c>
      <c r="X1552">
        <v>110.869</v>
      </c>
      <c r="Y1552">
        <v>211.833</v>
      </c>
      <c r="Z1552">
        <v>4.101</v>
      </c>
      <c r="AA1552">
        <v>4.6079999999999997</v>
      </c>
      <c r="AB1552">
        <v>55.970999999999997</v>
      </c>
      <c r="AC1552">
        <v>0</v>
      </c>
      <c r="AD1552">
        <v>0</v>
      </c>
      <c r="AE1552">
        <v>0</v>
      </c>
      <c r="AF1552">
        <v>25.62</v>
      </c>
      <c r="AG1552">
        <v>0.75600000000000001</v>
      </c>
      <c r="AH1552">
        <v>413.75799999999998</v>
      </c>
      <c r="AI1552" t="s">
        <v>22</v>
      </c>
      <c r="AJ1552">
        <v>2290</v>
      </c>
      <c r="AK1552">
        <v>600</v>
      </c>
      <c r="AL1552">
        <v>1650</v>
      </c>
      <c r="AM1552">
        <v>30</v>
      </c>
      <c r="AN1552">
        <v>70</v>
      </c>
      <c r="AO1552">
        <v>0</v>
      </c>
      <c r="AP1552">
        <v>0</v>
      </c>
      <c r="AQ1552">
        <v>0</v>
      </c>
      <c r="AR1552">
        <v>40</v>
      </c>
      <c r="AS1552">
        <v>80</v>
      </c>
      <c r="AT1552">
        <v>4760</v>
      </c>
      <c r="AU1552" t="s">
        <v>33</v>
      </c>
    </row>
    <row r="1553" spans="1:47" x14ac:dyDescent="0.2">
      <c r="A1553">
        <v>2154</v>
      </c>
      <c r="B1553" t="s">
        <v>792</v>
      </c>
      <c r="C1553">
        <v>12</v>
      </c>
      <c r="D1553" t="s">
        <v>781</v>
      </c>
      <c r="G1553" t="str">
        <f t="shared" si="24"/>
        <v>HLY170212DBO4.5</v>
      </c>
      <c r="H1553">
        <v>71.490333329999999</v>
      </c>
      <c r="I1553">
        <v>-163.37683329999999</v>
      </c>
      <c r="J1553" s="3">
        <v>20170831</v>
      </c>
      <c r="K1553">
        <v>2017</v>
      </c>
      <c r="L1553">
        <v>2.3750200000000001</v>
      </c>
      <c r="M1553">
        <v>4.5573499999999996</v>
      </c>
      <c r="N1553">
        <v>0.221</v>
      </c>
      <c r="O1553">
        <v>0.35698999999999997</v>
      </c>
      <c r="P1553">
        <v>1.8610000000000002E-2</v>
      </c>
      <c r="Q1553">
        <v>0</v>
      </c>
      <c r="R1553">
        <v>0</v>
      </c>
      <c r="S1553">
        <v>0</v>
      </c>
      <c r="T1553">
        <v>0.45207000000000003</v>
      </c>
      <c r="U1553">
        <v>0.2626</v>
      </c>
      <c r="V1553">
        <v>8.2436399999999992</v>
      </c>
      <c r="W1553" t="s">
        <v>10</v>
      </c>
      <c r="X1553">
        <v>32.923000000000002</v>
      </c>
      <c r="Y1553">
        <v>129.33600000000001</v>
      </c>
      <c r="Z1553">
        <v>3.19</v>
      </c>
      <c r="AA1553">
        <v>7.9329999999999998</v>
      </c>
      <c r="AB1553">
        <v>1.329</v>
      </c>
      <c r="AC1553">
        <v>0</v>
      </c>
      <c r="AD1553">
        <v>0</v>
      </c>
      <c r="AE1553">
        <v>0</v>
      </c>
      <c r="AF1553">
        <v>4.8609999999999998</v>
      </c>
      <c r="AG1553">
        <v>4.6050000000000004</v>
      </c>
      <c r="AH1553">
        <v>184.17699999999999</v>
      </c>
      <c r="AI1553" t="s">
        <v>22</v>
      </c>
      <c r="AJ1553">
        <v>530</v>
      </c>
      <c r="AK1553">
        <v>140</v>
      </c>
      <c r="AL1553">
        <v>690</v>
      </c>
      <c r="AM1553">
        <v>30</v>
      </c>
      <c r="AN1553">
        <v>30</v>
      </c>
      <c r="AO1553">
        <v>0</v>
      </c>
      <c r="AP1553">
        <v>0</v>
      </c>
      <c r="AQ1553">
        <v>0</v>
      </c>
      <c r="AR1553">
        <v>20</v>
      </c>
      <c r="AS1553">
        <v>60</v>
      </c>
      <c r="AT1553">
        <v>1500</v>
      </c>
      <c r="AU1553" t="s">
        <v>35</v>
      </c>
    </row>
    <row r="1554" spans="1:47" x14ac:dyDescent="0.2">
      <c r="A1554">
        <v>2155</v>
      </c>
      <c r="B1554" t="s">
        <v>792</v>
      </c>
      <c r="C1554">
        <v>14</v>
      </c>
      <c r="D1554" t="s">
        <v>782</v>
      </c>
      <c r="G1554" t="str">
        <f t="shared" si="24"/>
        <v>HLY170214DBO4.4</v>
      </c>
      <c r="H1554">
        <v>71.363666670000001</v>
      </c>
      <c r="I1554">
        <v>-163.00049999999999</v>
      </c>
      <c r="J1554" s="3">
        <v>20170831</v>
      </c>
      <c r="K1554">
        <v>2017</v>
      </c>
      <c r="L1554">
        <v>9.8205100000000005</v>
      </c>
      <c r="M1554">
        <v>4.4282899999999996</v>
      </c>
      <c r="N1554">
        <v>0.79698000000000002</v>
      </c>
      <c r="O1554">
        <v>5.0351400000000002</v>
      </c>
      <c r="P1554">
        <v>0.84909999999999997</v>
      </c>
      <c r="Q1554">
        <v>0</v>
      </c>
      <c r="R1554">
        <v>0</v>
      </c>
      <c r="S1554">
        <v>0</v>
      </c>
      <c r="T1554">
        <v>0</v>
      </c>
      <c r="U1554">
        <v>0.15415000000000001</v>
      </c>
      <c r="V1554">
        <v>21.08417</v>
      </c>
      <c r="W1554" t="s">
        <v>9</v>
      </c>
      <c r="X1554">
        <v>138.48099999999999</v>
      </c>
      <c r="Y1554">
        <v>125.943</v>
      </c>
      <c r="Z1554">
        <v>10.803000000000001</v>
      </c>
      <c r="AA1554">
        <v>111.892</v>
      </c>
      <c r="AB1554">
        <v>60.65</v>
      </c>
      <c r="AC1554">
        <v>0</v>
      </c>
      <c r="AD1554">
        <v>0</v>
      </c>
      <c r="AE1554">
        <v>0</v>
      </c>
      <c r="AF1554">
        <v>0</v>
      </c>
      <c r="AG1554">
        <v>3.0150000000000001</v>
      </c>
      <c r="AH1554">
        <v>450.78399999999999</v>
      </c>
      <c r="AI1554" t="s">
        <v>21</v>
      </c>
      <c r="AJ1554">
        <v>8860</v>
      </c>
      <c r="AK1554">
        <v>670</v>
      </c>
      <c r="AL1554">
        <v>2730</v>
      </c>
      <c r="AM1554">
        <v>10</v>
      </c>
      <c r="AN1554">
        <v>230</v>
      </c>
      <c r="AO1554">
        <v>0</v>
      </c>
      <c r="AP1554">
        <v>0</v>
      </c>
      <c r="AQ1554">
        <v>0</v>
      </c>
      <c r="AR1554">
        <v>0</v>
      </c>
      <c r="AS1554">
        <v>70</v>
      </c>
      <c r="AT1554">
        <v>12570</v>
      </c>
      <c r="AU1554" t="s">
        <v>33</v>
      </c>
    </row>
    <row r="1555" spans="1:47" x14ac:dyDescent="0.2">
      <c r="A1555">
        <v>2156</v>
      </c>
      <c r="B1555" t="s">
        <v>792</v>
      </c>
      <c r="C1555">
        <v>16</v>
      </c>
      <c r="D1555" t="s">
        <v>783</v>
      </c>
      <c r="G1555" t="str">
        <f t="shared" si="24"/>
        <v>HLY170216DBO4.3</v>
      </c>
      <c r="H1555">
        <v>71.23266667</v>
      </c>
      <c r="I1555">
        <v>-162.63683330000001</v>
      </c>
      <c r="J1555" s="3">
        <v>20170831</v>
      </c>
      <c r="K1555">
        <v>2017</v>
      </c>
      <c r="L1555">
        <v>3.87921</v>
      </c>
      <c r="M1555">
        <v>6.8588500000000003</v>
      </c>
      <c r="N1555">
        <v>0.63829999999999998</v>
      </c>
      <c r="O1555">
        <v>0</v>
      </c>
      <c r="P1555">
        <v>0.94384999999999997</v>
      </c>
      <c r="Q1555">
        <v>0</v>
      </c>
      <c r="R1555">
        <v>0</v>
      </c>
      <c r="S1555">
        <v>1.8120000000000001E-2</v>
      </c>
      <c r="T1555">
        <v>0.11634</v>
      </c>
      <c r="U1555">
        <v>0.63563000000000003</v>
      </c>
      <c r="V1555">
        <v>13.090299999999999</v>
      </c>
      <c r="W1555" t="s">
        <v>10</v>
      </c>
      <c r="X1555">
        <v>50.98</v>
      </c>
      <c r="Y1555">
        <v>209.88</v>
      </c>
      <c r="Z1555">
        <v>9.0169999999999995</v>
      </c>
      <c r="AA1555">
        <v>0</v>
      </c>
      <c r="AB1555">
        <v>67.418000000000006</v>
      </c>
      <c r="AC1555">
        <v>0</v>
      </c>
      <c r="AD1555">
        <v>0</v>
      </c>
      <c r="AE1555">
        <v>1.294</v>
      </c>
      <c r="AF1555">
        <v>1.2509999999999999</v>
      </c>
      <c r="AG1555">
        <v>16.091999999999999</v>
      </c>
      <c r="AH1555">
        <v>355.93200000000002</v>
      </c>
      <c r="AI1555" t="s">
        <v>22</v>
      </c>
      <c r="AJ1555">
        <v>800</v>
      </c>
      <c r="AK1555">
        <v>1080</v>
      </c>
      <c r="AL1555">
        <v>4950</v>
      </c>
      <c r="AM1555">
        <v>0</v>
      </c>
      <c r="AN1555">
        <v>140</v>
      </c>
      <c r="AO1555">
        <v>0</v>
      </c>
      <c r="AP1555">
        <v>0</v>
      </c>
      <c r="AQ1555">
        <v>10</v>
      </c>
      <c r="AR1555">
        <v>20</v>
      </c>
      <c r="AS1555">
        <v>90</v>
      </c>
      <c r="AT1555">
        <v>7090</v>
      </c>
      <c r="AU1555" t="s">
        <v>35</v>
      </c>
    </row>
    <row r="1556" spans="1:47" x14ac:dyDescent="0.2">
      <c r="A1556">
        <v>2157</v>
      </c>
      <c r="B1556" t="s">
        <v>792</v>
      </c>
      <c r="C1556">
        <v>18</v>
      </c>
      <c r="D1556" t="s">
        <v>784</v>
      </c>
      <c r="G1556" t="str">
        <f t="shared" si="24"/>
        <v>HLY170218DBO4.2</v>
      </c>
      <c r="H1556">
        <v>71.101833330000005</v>
      </c>
      <c r="I1556">
        <v>-162.2476667</v>
      </c>
      <c r="J1556" s="3">
        <v>20170831</v>
      </c>
      <c r="K1556">
        <v>2017</v>
      </c>
      <c r="L1556">
        <v>3.7088000000000001</v>
      </c>
      <c r="M1556">
        <v>2.4842</v>
      </c>
      <c r="N1556">
        <v>0.99665000000000004</v>
      </c>
      <c r="O1556">
        <v>0</v>
      </c>
      <c r="P1556">
        <v>0.48895</v>
      </c>
      <c r="Q1556">
        <v>0</v>
      </c>
      <c r="R1556">
        <v>1.4160000000000001E-2</v>
      </c>
      <c r="S1556">
        <v>0</v>
      </c>
      <c r="T1556">
        <v>0.35814000000000001</v>
      </c>
      <c r="U1556">
        <v>3.3730000000000003E-2</v>
      </c>
      <c r="V1556">
        <v>8.0846300000000006</v>
      </c>
      <c r="W1556" t="s">
        <v>9</v>
      </c>
      <c r="X1556">
        <v>52.921999999999997</v>
      </c>
      <c r="Y1556">
        <v>96.546999999999997</v>
      </c>
      <c r="Z1556">
        <v>13.891999999999999</v>
      </c>
      <c r="AA1556">
        <v>0</v>
      </c>
      <c r="AB1556">
        <v>34.924999999999997</v>
      </c>
      <c r="AC1556">
        <v>0</v>
      </c>
      <c r="AD1556">
        <v>0.35399999999999998</v>
      </c>
      <c r="AE1556">
        <v>0</v>
      </c>
      <c r="AF1556">
        <v>3.851</v>
      </c>
      <c r="AG1556">
        <v>0.64300000000000002</v>
      </c>
      <c r="AH1556">
        <v>203.13399999999999</v>
      </c>
      <c r="AI1556" t="s">
        <v>22</v>
      </c>
      <c r="AJ1556">
        <v>1500</v>
      </c>
      <c r="AK1556">
        <v>1140</v>
      </c>
      <c r="AL1556">
        <v>11640</v>
      </c>
      <c r="AM1556">
        <v>0</v>
      </c>
      <c r="AN1556">
        <v>60</v>
      </c>
      <c r="AO1556">
        <v>0</v>
      </c>
      <c r="AP1556">
        <v>10</v>
      </c>
      <c r="AQ1556">
        <v>0</v>
      </c>
      <c r="AR1556">
        <v>30</v>
      </c>
      <c r="AS1556">
        <v>130</v>
      </c>
      <c r="AT1556">
        <v>14510</v>
      </c>
      <c r="AU1556" t="s">
        <v>35</v>
      </c>
    </row>
    <row r="1557" spans="1:47" x14ac:dyDescent="0.2">
      <c r="A1557">
        <v>2158</v>
      </c>
      <c r="B1557" t="s">
        <v>792</v>
      </c>
      <c r="C1557">
        <v>20</v>
      </c>
      <c r="D1557" t="s">
        <v>785</v>
      </c>
      <c r="G1557" t="str">
        <f t="shared" si="24"/>
        <v>HLY170220DBO4.1</v>
      </c>
      <c r="H1557">
        <v>70.974500000000006</v>
      </c>
      <c r="I1557">
        <v>-161.88716669999999</v>
      </c>
      <c r="J1557" s="3">
        <v>20170831</v>
      </c>
      <c r="K1557">
        <v>2017</v>
      </c>
      <c r="L1557">
        <v>10.4672</v>
      </c>
      <c r="M1557">
        <v>1.3521799999999999</v>
      </c>
      <c r="N1557">
        <v>1.8591299999999999</v>
      </c>
      <c r="O1557">
        <v>2.5200000000000001E-3</v>
      </c>
      <c r="P1557">
        <v>6.5900000000000004E-3</v>
      </c>
      <c r="Q1557">
        <v>0</v>
      </c>
      <c r="R1557">
        <v>0</v>
      </c>
      <c r="S1557">
        <v>0</v>
      </c>
      <c r="T1557">
        <v>0</v>
      </c>
      <c r="U1557">
        <v>1.086E-2</v>
      </c>
      <c r="V1557">
        <v>13.69848</v>
      </c>
      <c r="W1557" t="s">
        <v>9</v>
      </c>
      <c r="X1557">
        <v>149.708</v>
      </c>
      <c r="Y1557">
        <v>35.686</v>
      </c>
      <c r="Z1557">
        <v>25.864000000000001</v>
      </c>
      <c r="AA1557">
        <v>5.6000000000000001E-2</v>
      </c>
      <c r="AB1557">
        <v>0.47099999999999997</v>
      </c>
      <c r="AC1557">
        <v>0</v>
      </c>
      <c r="AD1557">
        <v>0</v>
      </c>
      <c r="AE1557">
        <v>0</v>
      </c>
      <c r="AF1557">
        <v>0</v>
      </c>
      <c r="AG1557">
        <v>0.28799999999999998</v>
      </c>
      <c r="AH1557">
        <v>212.07300000000001</v>
      </c>
      <c r="AI1557" t="s">
        <v>21</v>
      </c>
      <c r="AJ1557">
        <v>1770</v>
      </c>
      <c r="AK1557">
        <v>1720</v>
      </c>
      <c r="AL1557">
        <v>4190</v>
      </c>
      <c r="AM1557">
        <v>50</v>
      </c>
      <c r="AN1557">
        <v>20</v>
      </c>
      <c r="AO1557">
        <v>0</v>
      </c>
      <c r="AP1557">
        <v>0</v>
      </c>
      <c r="AQ1557">
        <v>0</v>
      </c>
      <c r="AR1557">
        <v>0</v>
      </c>
      <c r="AS1557">
        <v>30</v>
      </c>
      <c r="AT1557">
        <v>7780</v>
      </c>
      <c r="AU1557" t="s">
        <v>35</v>
      </c>
    </row>
    <row r="1558" spans="1:47" x14ac:dyDescent="0.2">
      <c r="A1558">
        <v>2159</v>
      </c>
      <c r="B1558" t="s">
        <v>792</v>
      </c>
      <c r="C1558">
        <v>21</v>
      </c>
      <c r="D1558" t="s">
        <v>381</v>
      </c>
      <c r="G1558" t="str">
        <f t="shared" si="24"/>
        <v>HLY170221BarC10</v>
      </c>
      <c r="H1558">
        <v>71.622500000000002</v>
      </c>
      <c r="I1558">
        <v>-157.90466670000001</v>
      </c>
      <c r="J1558" s="3">
        <v>20170901</v>
      </c>
      <c r="K1558">
        <v>2017</v>
      </c>
      <c r="L1558">
        <v>0.38513999999999998</v>
      </c>
      <c r="M1558">
        <v>3.0607099999999998</v>
      </c>
      <c r="N1558">
        <v>6.3089999999999993E-2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4.734E-2</v>
      </c>
      <c r="U1558">
        <v>1.021E-2</v>
      </c>
      <c r="V1558">
        <v>3.5664899999999999</v>
      </c>
      <c r="W1558" t="s">
        <v>10</v>
      </c>
      <c r="X1558">
        <v>6.0369999999999999</v>
      </c>
      <c r="Y1558">
        <v>79.772000000000006</v>
      </c>
      <c r="Z1558">
        <v>0.83299999999999996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0.50900000000000001</v>
      </c>
      <c r="AG1558">
        <v>0.82899999999999996</v>
      </c>
      <c r="AH1558">
        <v>87.98</v>
      </c>
      <c r="AI1558" t="s">
        <v>22</v>
      </c>
      <c r="AJ1558">
        <v>410</v>
      </c>
      <c r="AK1558">
        <v>560</v>
      </c>
      <c r="AL1558">
        <v>220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20</v>
      </c>
      <c r="AS1558">
        <v>40</v>
      </c>
      <c r="AT1558">
        <v>1250</v>
      </c>
      <c r="AU1558" t="s">
        <v>34</v>
      </c>
    </row>
    <row r="1559" spans="1:47" x14ac:dyDescent="0.2">
      <c r="A1559">
        <v>2160</v>
      </c>
      <c r="B1559" t="s">
        <v>792</v>
      </c>
      <c r="C1559">
        <v>22</v>
      </c>
      <c r="D1559" t="s">
        <v>380</v>
      </c>
      <c r="G1559" t="str">
        <f t="shared" si="24"/>
        <v>HLY170222BarC9</v>
      </c>
      <c r="H1559">
        <v>71.578666670000004</v>
      </c>
      <c r="I1559">
        <v>-157.8113333</v>
      </c>
      <c r="J1559" s="3">
        <v>20170901</v>
      </c>
      <c r="K1559">
        <v>2017</v>
      </c>
      <c r="L1559">
        <v>1.7988999999999999</v>
      </c>
      <c r="M1559">
        <v>1.0214300000000001</v>
      </c>
      <c r="N1559">
        <v>9.8119999999999999E-2</v>
      </c>
      <c r="O1559">
        <v>0</v>
      </c>
      <c r="P1559">
        <v>8.8199999999999997E-3</v>
      </c>
      <c r="Q1559">
        <v>0</v>
      </c>
      <c r="R1559">
        <v>0</v>
      </c>
      <c r="S1559">
        <v>0</v>
      </c>
      <c r="T1559">
        <v>7.3190000000000005E-2</v>
      </c>
      <c r="U1559">
        <v>1.2760000000000001E-2</v>
      </c>
      <c r="V1559">
        <v>3.01322</v>
      </c>
      <c r="W1559" t="s">
        <v>9</v>
      </c>
      <c r="X1559">
        <v>25.148</v>
      </c>
      <c r="Y1559">
        <v>25.131</v>
      </c>
      <c r="Z1559">
        <v>1.3740000000000001</v>
      </c>
      <c r="AA1559">
        <v>0</v>
      </c>
      <c r="AB1559">
        <v>0.63</v>
      </c>
      <c r="AC1559">
        <v>0</v>
      </c>
      <c r="AD1559">
        <v>0</v>
      </c>
      <c r="AE1559">
        <v>0</v>
      </c>
      <c r="AF1559">
        <v>0.78700000000000003</v>
      </c>
      <c r="AG1559">
        <v>0.249</v>
      </c>
      <c r="AH1559">
        <v>53.319000000000003</v>
      </c>
      <c r="AI1559" t="s">
        <v>21</v>
      </c>
      <c r="AJ1559">
        <v>2310</v>
      </c>
      <c r="AK1559">
        <v>560</v>
      </c>
      <c r="AL1559">
        <v>380</v>
      </c>
      <c r="AM1559">
        <v>0</v>
      </c>
      <c r="AN1559">
        <v>30</v>
      </c>
      <c r="AO1559">
        <v>0</v>
      </c>
      <c r="AP1559">
        <v>0</v>
      </c>
      <c r="AQ1559">
        <v>0</v>
      </c>
      <c r="AR1559">
        <v>10</v>
      </c>
      <c r="AS1559">
        <v>100</v>
      </c>
      <c r="AT1559">
        <v>3390</v>
      </c>
      <c r="AU1559" t="s">
        <v>33</v>
      </c>
    </row>
    <row r="1560" spans="1:47" x14ac:dyDescent="0.2">
      <c r="A1560">
        <v>2161</v>
      </c>
      <c r="B1560" t="s">
        <v>792</v>
      </c>
      <c r="C1560">
        <v>23</v>
      </c>
      <c r="D1560" t="s">
        <v>379</v>
      </c>
      <c r="G1560" t="str">
        <f t="shared" si="24"/>
        <v>HLY170223BarC8</v>
      </c>
      <c r="H1560">
        <v>71.536500000000004</v>
      </c>
      <c r="I1560">
        <v>-157.7331667</v>
      </c>
      <c r="J1560" s="3">
        <v>20170901</v>
      </c>
      <c r="K1560">
        <v>2017</v>
      </c>
      <c r="L1560">
        <v>3.32897</v>
      </c>
      <c r="M1560">
        <v>3.23502</v>
      </c>
      <c r="N1560">
        <v>0.57767999999999997</v>
      </c>
      <c r="O1560">
        <v>4.7200000000000002E-3</v>
      </c>
      <c r="P1560">
        <v>0.18176</v>
      </c>
      <c r="Q1560">
        <v>0</v>
      </c>
      <c r="R1560">
        <v>0</v>
      </c>
      <c r="S1560">
        <v>0</v>
      </c>
      <c r="T1560">
        <v>0.36037999999999998</v>
      </c>
      <c r="U1560">
        <v>6.3990000000000005E-2</v>
      </c>
      <c r="V1560">
        <v>7.7525199999999996</v>
      </c>
      <c r="W1560" t="s">
        <v>9</v>
      </c>
      <c r="X1560">
        <v>49.832999999999998</v>
      </c>
      <c r="Y1560">
        <v>84.739000000000004</v>
      </c>
      <c r="Z1560">
        <v>8.1890000000000001</v>
      </c>
      <c r="AA1560">
        <v>0.105</v>
      </c>
      <c r="AB1560">
        <v>12.983000000000001</v>
      </c>
      <c r="AC1560">
        <v>0</v>
      </c>
      <c r="AD1560">
        <v>0</v>
      </c>
      <c r="AE1560">
        <v>0</v>
      </c>
      <c r="AF1560">
        <v>3.875</v>
      </c>
      <c r="AG1560">
        <v>2.0739999999999998</v>
      </c>
      <c r="AH1560">
        <v>161.798</v>
      </c>
      <c r="AI1560" t="s">
        <v>22</v>
      </c>
      <c r="AJ1560">
        <v>1750</v>
      </c>
      <c r="AK1560">
        <v>400</v>
      </c>
      <c r="AL1560">
        <v>290</v>
      </c>
      <c r="AM1560">
        <v>10</v>
      </c>
      <c r="AN1560">
        <v>50</v>
      </c>
      <c r="AO1560">
        <v>0</v>
      </c>
      <c r="AP1560">
        <v>0</v>
      </c>
      <c r="AQ1560">
        <v>0</v>
      </c>
      <c r="AR1560">
        <v>30</v>
      </c>
      <c r="AS1560">
        <v>40</v>
      </c>
      <c r="AT1560">
        <v>2570</v>
      </c>
      <c r="AU1560" t="s">
        <v>33</v>
      </c>
    </row>
    <row r="1561" spans="1:47" x14ac:dyDescent="0.2">
      <c r="A1561">
        <v>2162</v>
      </c>
      <c r="B1561" t="s">
        <v>792</v>
      </c>
      <c r="C1561">
        <v>24</v>
      </c>
      <c r="D1561" t="s">
        <v>377</v>
      </c>
      <c r="G1561" t="str">
        <f t="shared" si="24"/>
        <v>HLY170224BarC7</v>
      </c>
      <c r="H1561">
        <v>71.497</v>
      </c>
      <c r="I1561">
        <v>-157.6476667</v>
      </c>
      <c r="J1561" s="3">
        <v>20170901</v>
      </c>
      <c r="K1561">
        <v>2017</v>
      </c>
      <c r="L1561">
        <v>11.564120000000001</v>
      </c>
      <c r="M1561">
        <v>7.3060700000000001</v>
      </c>
      <c r="N1561">
        <v>1.6913800000000001</v>
      </c>
      <c r="O1561">
        <v>20.709050000000001</v>
      </c>
      <c r="P1561">
        <v>1.17726</v>
      </c>
      <c r="Q1561">
        <v>0</v>
      </c>
      <c r="R1561">
        <v>2.8569200000000001</v>
      </c>
      <c r="S1561">
        <v>0</v>
      </c>
      <c r="T1561">
        <v>4.2410000000000003E-2</v>
      </c>
      <c r="U1561">
        <v>2.7730000000000001E-2</v>
      </c>
      <c r="V1561">
        <v>45.374940000000002</v>
      </c>
      <c r="W1561" t="s">
        <v>12</v>
      </c>
      <c r="X1561">
        <v>168.227</v>
      </c>
      <c r="Y1561">
        <v>342.286</v>
      </c>
      <c r="Z1561">
        <v>23.379000000000001</v>
      </c>
      <c r="AA1561">
        <v>460.20100000000002</v>
      </c>
      <c r="AB1561">
        <v>84.09</v>
      </c>
      <c r="AC1561">
        <v>0</v>
      </c>
      <c r="AD1561">
        <v>71.423000000000002</v>
      </c>
      <c r="AE1561">
        <v>0</v>
      </c>
      <c r="AF1561">
        <v>0.45600000000000002</v>
      </c>
      <c r="AG1561">
        <v>2.5230000000000001</v>
      </c>
      <c r="AH1561">
        <v>1152.585</v>
      </c>
      <c r="AI1561" t="s">
        <v>24</v>
      </c>
      <c r="AJ1561">
        <v>18640</v>
      </c>
      <c r="AK1561">
        <v>530</v>
      </c>
      <c r="AL1561">
        <v>2850</v>
      </c>
      <c r="AM1561">
        <v>160</v>
      </c>
      <c r="AN1561">
        <v>190</v>
      </c>
      <c r="AO1561">
        <v>0</v>
      </c>
      <c r="AP1561">
        <v>40</v>
      </c>
      <c r="AQ1561">
        <v>0</v>
      </c>
      <c r="AR1561">
        <v>20</v>
      </c>
      <c r="AS1561">
        <v>10</v>
      </c>
      <c r="AT1561">
        <v>22440</v>
      </c>
      <c r="AU1561" t="s">
        <v>33</v>
      </c>
    </row>
    <row r="1562" spans="1:47" x14ac:dyDescent="0.2">
      <c r="A1562">
        <v>2163</v>
      </c>
      <c r="B1562" t="s">
        <v>792</v>
      </c>
      <c r="C1562">
        <v>25</v>
      </c>
      <c r="D1562" t="s">
        <v>376</v>
      </c>
      <c r="G1562" t="str">
        <f t="shared" si="24"/>
        <v>HLY170225BarC6</v>
      </c>
      <c r="H1562">
        <v>71.455666669999999</v>
      </c>
      <c r="I1562">
        <v>-157.57433330000001</v>
      </c>
      <c r="J1562" s="3">
        <v>20170901</v>
      </c>
      <c r="K1562">
        <v>2017</v>
      </c>
      <c r="L1562">
        <v>21.37762</v>
      </c>
      <c r="M1562">
        <v>1.5647899999999999</v>
      </c>
      <c r="N1562">
        <v>14.947430000000001</v>
      </c>
      <c r="O1562">
        <v>3.3518300000000001</v>
      </c>
      <c r="P1562">
        <v>1.7493000000000001</v>
      </c>
      <c r="Q1562">
        <v>0</v>
      </c>
      <c r="R1562">
        <v>3.0153799999999999</v>
      </c>
      <c r="S1562">
        <v>0</v>
      </c>
      <c r="T1562">
        <v>0.25994</v>
      </c>
      <c r="U1562">
        <v>2.9878499999999999</v>
      </c>
      <c r="V1562">
        <v>49.25414</v>
      </c>
      <c r="W1562" t="s">
        <v>9</v>
      </c>
      <c r="X1562">
        <v>312.14999999999998</v>
      </c>
      <c r="Y1562">
        <v>44.814999999999998</v>
      </c>
      <c r="Z1562">
        <v>218.59200000000001</v>
      </c>
      <c r="AA1562">
        <v>74.484999999999999</v>
      </c>
      <c r="AB1562">
        <v>124.95</v>
      </c>
      <c r="AC1562">
        <v>0</v>
      </c>
      <c r="AD1562">
        <v>75.340999999999994</v>
      </c>
      <c r="AE1562">
        <v>0</v>
      </c>
      <c r="AF1562">
        <v>2.7949999999999999</v>
      </c>
      <c r="AG1562">
        <v>141.15299999999999</v>
      </c>
      <c r="AH1562">
        <v>994.28099999999995</v>
      </c>
      <c r="AI1562" t="s">
        <v>21</v>
      </c>
      <c r="AJ1562">
        <v>17490</v>
      </c>
      <c r="AK1562">
        <v>270</v>
      </c>
      <c r="AL1562">
        <v>38930</v>
      </c>
      <c r="AM1562">
        <v>90</v>
      </c>
      <c r="AN1562">
        <v>370</v>
      </c>
      <c r="AO1562">
        <v>0</v>
      </c>
      <c r="AP1562">
        <v>30</v>
      </c>
      <c r="AQ1562">
        <v>0</v>
      </c>
      <c r="AR1562">
        <v>30</v>
      </c>
      <c r="AS1562">
        <v>90</v>
      </c>
      <c r="AT1562">
        <v>57300</v>
      </c>
      <c r="AU1562" t="s">
        <v>35</v>
      </c>
    </row>
    <row r="1563" spans="1:47" x14ac:dyDescent="0.2">
      <c r="A1563">
        <v>2164</v>
      </c>
      <c r="B1563" t="s">
        <v>792</v>
      </c>
      <c r="C1563">
        <v>26</v>
      </c>
      <c r="D1563" t="s">
        <v>375</v>
      </c>
      <c r="G1563" t="str">
        <f t="shared" si="24"/>
        <v>HLY170226BarC5</v>
      </c>
      <c r="H1563">
        <v>71.409333329999995</v>
      </c>
      <c r="I1563">
        <v>-157.47283329999999</v>
      </c>
      <c r="J1563" s="3">
        <v>20170901</v>
      </c>
      <c r="K1563">
        <v>2017</v>
      </c>
      <c r="L1563">
        <v>7.4269999999999996</v>
      </c>
      <c r="M1563">
        <v>13.37543</v>
      </c>
      <c r="N1563">
        <v>1.1477900000000001</v>
      </c>
      <c r="O1563">
        <v>4.7699999999999999E-3</v>
      </c>
      <c r="P1563">
        <v>3.3869699999999998</v>
      </c>
      <c r="Q1563">
        <v>0</v>
      </c>
      <c r="R1563">
        <v>0</v>
      </c>
      <c r="S1563">
        <v>0</v>
      </c>
      <c r="T1563">
        <v>3.3693900000000001</v>
      </c>
      <c r="U1563">
        <v>1.0281899999999999</v>
      </c>
      <c r="V1563">
        <v>29.739540000000002</v>
      </c>
      <c r="W1563" t="s">
        <v>10</v>
      </c>
      <c r="X1563">
        <v>108.001</v>
      </c>
      <c r="Y1563">
        <v>387.61900000000003</v>
      </c>
      <c r="Z1563">
        <v>14.401</v>
      </c>
      <c r="AA1563">
        <v>0.106</v>
      </c>
      <c r="AB1563">
        <v>241.92599999999999</v>
      </c>
      <c r="AC1563">
        <v>0</v>
      </c>
      <c r="AD1563">
        <v>0</v>
      </c>
      <c r="AE1563">
        <v>0</v>
      </c>
      <c r="AF1563">
        <v>36.229999999999997</v>
      </c>
      <c r="AG1563">
        <v>57.741</v>
      </c>
      <c r="AH1563">
        <v>846.024</v>
      </c>
      <c r="AI1563" t="s">
        <v>22</v>
      </c>
      <c r="AJ1563">
        <v>3350</v>
      </c>
      <c r="AK1563">
        <v>230</v>
      </c>
      <c r="AL1563">
        <v>6210</v>
      </c>
      <c r="AM1563">
        <v>20</v>
      </c>
      <c r="AN1563">
        <v>410</v>
      </c>
      <c r="AO1563">
        <v>0</v>
      </c>
      <c r="AP1563">
        <v>0</v>
      </c>
      <c r="AQ1563">
        <v>0</v>
      </c>
      <c r="AR1563">
        <v>20</v>
      </c>
      <c r="AS1563">
        <v>190</v>
      </c>
      <c r="AT1563">
        <v>10430</v>
      </c>
      <c r="AU1563" t="s">
        <v>35</v>
      </c>
    </row>
    <row r="1564" spans="1:47" x14ac:dyDescent="0.2">
      <c r="A1564">
        <v>2165</v>
      </c>
      <c r="B1564" t="s">
        <v>792</v>
      </c>
      <c r="C1564">
        <v>27</v>
      </c>
      <c r="D1564" t="s">
        <v>374</v>
      </c>
      <c r="G1564" t="str">
        <f t="shared" si="24"/>
        <v>HLY170227BarC4</v>
      </c>
      <c r="H1564">
        <v>71.372833330000006</v>
      </c>
      <c r="I1564">
        <v>-157.39250000000001</v>
      </c>
      <c r="J1564" s="3">
        <v>20170901</v>
      </c>
      <c r="K1564">
        <v>2017</v>
      </c>
      <c r="L1564">
        <v>0.16999</v>
      </c>
      <c r="M1564">
        <v>0.49737999999999999</v>
      </c>
      <c r="N1564">
        <v>0.17182</v>
      </c>
      <c r="O1564">
        <v>2.903E-2</v>
      </c>
      <c r="P1564">
        <v>3.5E-4</v>
      </c>
      <c r="Q1564">
        <v>0</v>
      </c>
      <c r="R1564">
        <v>0</v>
      </c>
      <c r="S1564">
        <v>0</v>
      </c>
      <c r="T1564">
        <v>0</v>
      </c>
      <c r="U1564">
        <v>2.3141500000000002</v>
      </c>
      <c r="V1564">
        <v>3.1827200000000002</v>
      </c>
      <c r="W1564" t="s">
        <v>18</v>
      </c>
      <c r="X1564">
        <v>2.4689999999999999</v>
      </c>
      <c r="Y1564">
        <v>16.457000000000001</v>
      </c>
      <c r="Z1564">
        <v>2.339</v>
      </c>
      <c r="AA1564">
        <v>0.64500000000000002</v>
      </c>
      <c r="AB1564">
        <v>2.5000000000000001E-2</v>
      </c>
      <c r="AC1564">
        <v>0</v>
      </c>
      <c r="AD1564">
        <v>0</v>
      </c>
      <c r="AE1564">
        <v>0</v>
      </c>
      <c r="AF1564">
        <v>0</v>
      </c>
      <c r="AG1564">
        <v>96.537000000000006</v>
      </c>
      <c r="AH1564">
        <v>118.47199999999999</v>
      </c>
      <c r="AI1564" t="s">
        <v>30</v>
      </c>
      <c r="AJ1564">
        <v>320</v>
      </c>
      <c r="AK1564">
        <v>220</v>
      </c>
      <c r="AL1564">
        <v>760</v>
      </c>
      <c r="AM1564">
        <v>40</v>
      </c>
      <c r="AN1564">
        <v>20</v>
      </c>
      <c r="AO1564">
        <v>0</v>
      </c>
      <c r="AP1564">
        <v>0</v>
      </c>
      <c r="AQ1564">
        <v>0</v>
      </c>
      <c r="AR1564">
        <v>0</v>
      </c>
      <c r="AS1564">
        <v>20</v>
      </c>
      <c r="AT1564">
        <v>1380</v>
      </c>
      <c r="AU1564" t="s">
        <v>35</v>
      </c>
    </row>
    <row r="1565" spans="1:47" x14ac:dyDescent="0.2">
      <c r="A1565">
        <v>2166</v>
      </c>
      <c r="B1565" t="s">
        <v>792</v>
      </c>
      <c r="C1565">
        <v>28</v>
      </c>
      <c r="D1565" t="s">
        <v>373</v>
      </c>
      <c r="G1565" t="str">
        <f t="shared" si="24"/>
        <v>HLY170228BarC3</v>
      </c>
      <c r="H1565">
        <v>71.326666669999994</v>
      </c>
      <c r="I1565">
        <v>-157.31450000000001</v>
      </c>
      <c r="J1565" s="3">
        <v>20170901</v>
      </c>
      <c r="K1565">
        <v>2017</v>
      </c>
      <c r="L1565">
        <v>4.4883699999999997</v>
      </c>
      <c r="M1565">
        <v>8.0969599999999993</v>
      </c>
      <c r="N1565">
        <v>0.19534000000000001</v>
      </c>
      <c r="O1565">
        <v>4.2299999999999997E-2</v>
      </c>
      <c r="P1565">
        <v>3.6389999999999999E-2</v>
      </c>
      <c r="Q1565">
        <v>0</v>
      </c>
      <c r="R1565">
        <v>0.50007999999999997</v>
      </c>
      <c r="S1565">
        <v>0.90510999999999997</v>
      </c>
      <c r="T1565">
        <v>2.4199999999999998E-3</v>
      </c>
      <c r="U1565">
        <v>9.9025400000000001</v>
      </c>
      <c r="V1565">
        <v>24.169509999999999</v>
      </c>
      <c r="W1565" t="s">
        <v>18</v>
      </c>
      <c r="X1565">
        <v>65.284999999999997</v>
      </c>
      <c r="Y1565">
        <v>505.23200000000003</v>
      </c>
      <c r="Z1565">
        <v>2.7069999999999999</v>
      </c>
      <c r="AA1565">
        <v>0.94</v>
      </c>
      <c r="AB1565">
        <v>2.5990000000000002</v>
      </c>
      <c r="AC1565">
        <v>0</v>
      </c>
      <c r="AD1565">
        <v>12.502000000000001</v>
      </c>
      <c r="AE1565">
        <v>50.283999999999999</v>
      </c>
      <c r="AF1565">
        <v>2.5999999999999999E-2</v>
      </c>
      <c r="AG1565">
        <v>476.101</v>
      </c>
      <c r="AH1565">
        <v>1115.6759999999999</v>
      </c>
      <c r="AI1565" t="s">
        <v>22</v>
      </c>
      <c r="AJ1565">
        <v>970</v>
      </c>
      <c r="AK1565">
        <v>160</v>
      </c>
      <c r="AL1565">
        <v>890</v>
      </c>
      <c r="AM1565">
        <v>10</v>
      </c>
      <c r="AN1565">
        <v>20</v>
      </c>
      <c r="AO1565">
        <v>0</v>
      </c>
      <c r="AP1565">
        <v>10</v>
      </c>
      <c r="AQ1565">
        <v>10</v>
      </c>
      <c r="AR1565">
        <v>10</v>
      </c>
      <c r="AS1565">
        <v>1560</v>
      </c>
      <c r="AT1565">
        <v>3640</v>
      </c>
      <c r="AU1565" t="s">
        <v>42</v>
      </c>
    </row>
    <row r="1566" spans="1:47" x14ac:dyDescent="0.2">
      <c r="A1566">
        <v>2167</v>
      </c>
      <c r="B1566" t="s">
        <v>792</v>
      </c>
      <c r="C1566">
        <v>29</v>
      </c>
      <c r="D1566" t="s">
        <v>372</v>
      </c>
      <c r="G1566" t="str">
        <f t="shared" si="24"/>
        <v>HLY170229BarC2</v>
      </c>
      <c r="H1566">
        <v>71.288166669999995</v>
      </c>
      <c r="I1566">
        <v>-157.2345</v>
      </c>
      <c r="J1566" s="3">
        <v>20170901</v>
      </c>
      <c r="K1566">
        <v>2017</v>
      </c>
      <c r="L1566">
        <v>5.8353299999999999</v>
      </c>
      <c r="M1566">
        <v>0.43298999999999999</v>
      </c>
      <c r="N1566">
        <v>11.84341</v>
      </c>
      <c r="O1566">
        <v>0.58553999999999995</v>
      </c>
      <c r="P1566">
        <v>0</v>
      </c>
      <c r="Q1566">
        <v>0</v>
      </c>
      <c r="R1566">
        <v>0</v>
      </c>
      <c r="S1566">
        <v>1.291E-2</v>
      </c>
      <c r="T1566">
        <v>0.47588000000000003</v>
      </c>
      <c r="U1566">
        <v>3.63029</v>
      </c>
      <c r="V1566">
        <v>22.81635</v>
      </c>
      <c r="W1566" t="s">
        <v>11</v>
      </c>
      <c r="X1566">
        <v>82.131</v>
      </c>
      <c r="Y1566">
        <v>18.625</v>
      </c>
      <c r="Z1566">
        <v>172.417</v>
      </c>
      <c r="AA1566">
        <v>13.012</v>
      </c>
      <c r="AB1566">
        <v>0</v>
      </c>
      <c r="AC1566">
        <v>0</v>
      </c>
      <c r="AD1566">
        <v>0</v>
      </c>
      <c r="AE1566">
        <v>0.92200000000000004</v>
      </c>
      <c r="AF1566">
        <v>5.117</v>
      </c>
      <c r="AG1566">
        <v>190.26400000000001</v>
      </c>
      <c r="AH1566">
        <v>482.488</v>
      </c>
      <c r="AI1566" t="s">
        <v>30</v>
      </c>
      <c r="AJ1566">
        <v>1950</v>
      </c>
      <c r="AK1566">
        <v>220</v>
      </c>
      <c r="AL1566">
        <v>4630</v>
      </c>
      <c r="AM1566">
        <v>110</v>
      </c>
      <c r="AN1566">
        <v>0</v>
      </c>
      <c r="AO1566">
        <v>0</v>
      </c>
      <c r="AP1566">
        <v>0</v>
      </c>
      <c r="AQ1566">
        <v>90</v>
      </c>
      <c r="AR1566">
        <v>40</v>
      </c>
      <c r="AS1566">
        <v>30</v>
      </c>
      <c r="AT1566">
        <v>7070</v>
      </c>
      <c r="AU1566" t="s">
        <v>35</v>
      </c>
    </row>
    <row r="1567" spans="1:47" x14ac:dyDescent="0.2">
      <c r="A1567">
        <v>2168</v>
      </c>
      <c r="B1567" t="s">
        <v>792</v>
      </c>
      <c r="C1567">
        <v>30</v>
      </c>
      <c r="D1567" t="s">
        <v>371</v>
      </c>
      <c r="G1567" t="str">
        <f t="shared" si="24"/>
        <v>HLY170230BarC1</v>
      </c>
      <c r="H1567">
        <v>71.248166670000003</v>
      </c>
      <c r="I1567">
        <v>-157.1468333</v>
      </c>
      <c r="J1567" s="3">
        <v>20170901</v>
      </c>
      <c r="K1567">
        <v>2017</v>
      </c>
      <c r="L1567">
        <v>1.4287099999999999</v>
      </c>
      <c r="M1567">
        <v>0.15307999999999999</v>
      </c>
      <c r="N1567">
        <v>1.2337499999999999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2.0830000000000001E-2</v>
      </c>
      <c r="U1567">
        <v>9.7470000000000001E-2</v>
      </c>
      <c r="V1567">
        <v>2.93384</v>
      </c>
      <c r="W1567" t="s">
        <v>9</v>
      </c>
      <c r="X1567">
        <v>19.434999999999999</v>
      </c>
      <c r="Y1567">
        <v>7.7130000000000001</v>
      </c>
      <c r="Z1567">
        <v>17.948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0.224</v>
      </c>
      <c r="AG1567">
        <v>3.2490000000000001</v>
      </c>
      <c r="AH1567">
        <v>48.569000000000003</v>
      </c>
      <c r="AI1567" t="s">
        <v>21</v>
      </c>
      <c r="AJ1567">
        <v>180</v>
      </c>
      <c r="AK1567">
        <v>120</v>
      </c>
      <c r="AL1567">
        <v>670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20</v>
      </c>
      <c r="AS1567">
        <v>30</v>
      </c>
      <c r="AT1567">
        <v>1020</v>
      </c>
      <c r="AU1567" t="s">
        <v>35</v>
      </c>
    </row>
    <row r="1568" spans="1:47" x14ac:dyDescent="0.2">
      <c r="A1568">
        <v>2169</v>
      </c>
      <c r="B1568" t="s">
        <v>792</v>
      </c>
      <c r="C1568">
        <v>31</v>
      </c>
      <c r="D1568" t="s">
        <v>793</v>
      </c>
      <c r="G1568" t="str">
        <f t="shared" si="24"/>
        <v>HLY170231SW1</v>
      </c>
      <c r="H1568">
        <v>71.190333330000001</v>
      </c>
      <c r="I1568">
        <v>-164.63783330000001</v>
      </c>
      <c r="J1568" s="3">
        <v>20170902</v>
      </c>
      <c r="K1568">
        <v>2017</v>
      </c>
      <c r="L1568">
        <v>6.7294499999999999</v>
      </c>
      <c r="M1568">
        <v>0.77934000000000003</v>
      </c>
      <c r="N1568">
        <v>0.28172000000000003</v>
      </c>
      <c r="O1568">
        <v>7.0229299999999997</v>
      </c>
      <c r="P1568">
        <v>0.63448000000000004</v>
      </c>
      <c r="Q1568">
        <v>0</v>
      </c>
      <c r="R1568">
        <v>0</v>
      </c>
      <c r="S1568">
        <v>0</v>
      </c>
      <c r="T1568">
        <v>0.78947999999999996</v>
      </c>
      <c r="U1568">
        <v>0.14088999999999999</v>
      </c>
      <c r="V1568">
        <v>16.37829</v>
      </c>
      <c r="W1568" t="s">
        <v>12</v>
      </c>
      <c r="X1568">
        <v>99.185000000000002</v>
      </c>
      <c r="Y1568">
        <v>24.338000000000001</v>
      </c>
      <c r="Z1568">
        <v>4.0270000000000001</v>
      </c>
      <c r="AA1568">
        <v>156.065</v>
      </c>
      <c r="AB1568">
        <v>45.32</v>
      </c>
      <c r="AC1568">
        <v>0</v>
      </c>
      <c r="AD1568">
        <v>0</v>
      </c>
      <c r="AE1568">
        <v>0</v>
      </c>
      <c r="AF1568">
        <v>8.4890000000000008</v>
      </c>
      <c r="AG1568">
        <v>2.91</v>
      </c>
      <c r="AH1568">
        <v>340.334</v>
      </c>
      <c r="AI1568" t="s">
        <v>24</v>
      </c>
      <c r="AJ1568">
        <v>655</v>
      </c>
      <c r="AK1568">
        <v>945</v>
      </c>
      <c r="AL1568">
        <v>575</v>
      </c>
      <c r="AM1568">
        <v>10</v>
      </c>
      <c r="AN1568">
        <v>147.5</v>
      </c>
      <c r="AO1568">
        <v>0</v>
      </c>
      <c r="AP1568">
        <v>0</v>
      </c>
      <c r="AQ1568">
        <v>0</v>
      </c>
      <c r="AR1568">
        <v>12.5</v>
      </c>
      <c r="AS1568">
        <v>407.5</v>
      </c>
      <c r="AT1568">
        <v>2752.5</v>
      </c>
      <c r="AU1568" t="s">
        <v>34</v>
      </c>
    </row>
    <row r="1569" spans="1:47" x14ac:dyDescent="0.2">
      <c r="A1569">
        <v>2170</v>
      </c>
      <c r="B1569" t="s">
        <v>792</v>
      </c>
      <c r="C1569">
        <v>33</v>
      </c>
      <c r="D1569" t="s">
        <v>794</v>
      </c>
      <c r="G1569" t="str">
        <f t="shared" si="24"/>
        <v>HLY170233SW3</v>
      </c>
      <c r="H1569">
        <v>71.393333330000004</v>
      </c>
      <c r="I1569">
        <v>-164.09049999999999</v>
      </c>
      <c r="J1569" s="3">
        <v>20170902</v>
      </c>
      <c r="K1569">
        <v>2017</v>
      </c>
      <c r="L1569">
        <v>23.042490000000001</v>
      </c>
      <c r="M1569">
        <v>2.74003</v>
      </c>
      <c r="N1569">
        <v>2.0177200000000002</v>
      </c>
      <c r="O1569">
        <v>0.33516000000000001</v>
      </c>
      <c r="P1569">
        <v>0.89098999999999995</v>
      </c>
      <c r="Q1569">
        <v>0</v>
      </c>
      <c r="R1569">
        <v>0</v>
      </c>
      <c r="S1569">
        <v>0</v>
      </c>
      <c r="T1569">
        <v>0.44324000000000002</v>
      </c>
      <c r="U1569">
        <v>6.5930000000000002E-2</v>
      </c>
      <c r="V1569">
        <v>29.53556</v>
      </c>
      <c r="W1569" t="s">
        <v>9</v>
      </c>
      <c r="X1569">
        <v>321.78899999999999</v>
      </c>
      <c r="Y1569">
        <v>119.021</v>
      </c>
      <c r="Z1569">
        <v>29.041</v>
      </c>
      <c r="AA1569">
        <v>7.4480000000000004</v>
      </c>
      <c r="AB1569">
        <v>63.642000000000003</v>
      </c>
      <c r="AC1569">
        <v>0</v>
      </c>
      <c r="AD1569">
        <v>0</v>
      </c>
      <c r="AE1569">
        <v>0</v>
      </c>
      <c r="AF1569">
        <v>4.766</v>
      </c>
      <c r="AG1569">
        <v>1.8380000000000001</v>
      </c>
      <c r="AH1569">
        <v>547.54499999999996</v>
      </c>
      <c r="AI1569" t="s">
        <v>21</v>
      </c>
      <c r="AJ1569">
        <v>18970</v>
      </c>
      <c r="AK1569">
        <v>640</v>
      </c>
      <c r="AL1569">
        <v>4710</v>
      </c>
      <c r="AM1569">
        <v>20</v>
      </c>
      <c r="AN1569">
        <v>170</v>
      </c>
      <c r="AO1569">
        <v>0</v>
      </c>
      <c r="AP1569">
        <v>0</v>
      </c>
      <c r="AQ1569">
        <v>0</v>
      </c>
      <c r="AR1569">
        <v>50</v>
      </c>
      <c r="AS1569">
        <v>70</v>
      </c>
      <c r="AT1569">
        <v>24630</v>
      </c>
      <c r="AU1569" t="s">
        <v>33</v>
      </c>
    </row>
    <row r="1570" spans="1:47" x14ac:dyDescent="0.2">
      <c r="A1570">
        <v>2171</v>
      </c>
      <c r="B1570" t="s">
        <v>792</v>
      </c>
      <c r="C1570">
        <v>36</v>
      </c>
      <c r="D1570" t="s">
        <v>795</v>
      </c>
      <c r="G1570" t="str">
        <f t="shared" si="24"/>
        <v>HLY170236SW6</v>
      </c>
      <c r="H1570">
        <v>71.697833329999995</v>
      </c>
      <c r="I1570">
        <v>-163.25700000000001</v>
      </c>
      <c r="J1570" s="3">
        <v>20170902</v>
      </c>
      <c r="K1570">
        <v>2017</v>
      </c>
      <c r="L1570">
        <v>4.2610900000000003</v>
      </c>
      <c r="M1570">
        <v>4.7621000000000002</v>
      </c>
      <c r="N1570">
        <v>0.1414</v>
      </c>
      <c r="O1570">
        <v>3.69279</v>
      </c>
      <c r="P1570">
        <v>0.32136999999999999</v>
      </c>
      <c r="Q1570">
        <v>0</v>
      </c>
      <c r="R1570">
        <v>4.0500000000000001E-2</v>
      </c>
      <c r="S1570">
        <v>8.4199999999999997E-2</v>
      </c>
      <c r="T1570">
        <v>0.71833000000000002</v>
      </c>
      <c r="U1570">
        <v>0.2082</v>
      </c>
      <c r="V1570">
        <v>14.229979999999999</v>
      </c>
      <c r="W1570" t="s">
        <v>10</v>
      </c>
      <c r="X1570">
        <v>61.311</v>
      </c>
      <c r="Y1570">
        <v>243.404</v>
      </c>
      <c r="Z1570">
        <v>1.972</v>
      </c>
      <c r="AA1570">
        <v>82.061999999999998</v>
      </c>
      <c r="AB1570">
        <v>22.954999999999998</v>
      </c>
      <c r="AC1570">
        <v>0</v>
      </c>
      <c r="AD1570">
        <v>0.66400000000000003</v>
      </c>
      <c r="AE1570">
        <v>6.0140000000000002</v>
      </c>
      <c r="AF1570">
        <v>7.7240000000000002</v>
      </c>
      <c r="AG1570">
        <v>5.4850000000000003</v>
      </c>
      <c r="AH1570">
        <v>431.59100000000001</v>
      </c>
      <c r="AI1570" t="s">
        <v>22</v>
      </c>
      <c r="AJ1570">
        <v>3845</v>
      </c>
      <c r="AK1570">
        <v>240</v>
      </c>
      <c r="AL1570">
        <v>715</v>
      </c>
      <c r="AM1570">
        <v>15</v>
      </c>
      <c r="AN1570">
        <v>40</v>
      </c>
      <c r="AO1570">
        <v>0</v>
      </c>
      <c r="AP1570">
        <v>5</v>
      </c>
      <c r="AQ1570">
        <v>20</v>
      </c>
      <c r="AR1570">
        <v>60</v>
      </c>
      <c r="AS1570">
        <v>130</v>
      </c>
      <c r="AT1570">
        <v>5070</v>
      </c>
      <c r="AU1570" t="s">
        <v>33</v>
      </c>
    </row>
    <row r="1571" spans="1:47" x14ac:dyDescent="0.2">
      <c r="A1571">
        <v>2172</v>
      </c>
      <c r="B1571" t="s">
        <v>792</v>
      </c>
      <c r="C1571">
        <v>38</v>
      </c>
      <c r="D1571" t="s">
        <v>796</v>
      </c>
      <c r="G1571" t="str">
        <f t="shared" si="24"/>
        <v>HLY170238SW8</v>
      </c>
      <c r="H1571">
        <v>71.900000000000006</v>
      </c>
      <c r="I1571">
        <v>-162.684</v>
      </c>
      <c r="J1571" s="3">
        <v>20170902</v>
      </c>
      <c r="K1571">
        <v>2017</v>
      </c>
      <c r="L1571">
        <v>2.9915699999999998</v>
      </c>
      <c r="M1571">
        <v>11.079499999999999</v>
      </c>
      <c r="N1571">
        <v>0.19955000000000001</v>
      </c>
      <c r="O1571">
        <v>2.7162500000000001</v>
      </c>
      <c r="P1571">
        <v>0</v>
      </c>
      <c r="Q1571">
        <v>0</v>
      </c>
      <c r="R1571">
        <v>0</v>
      </c>
      <c r="S1571">
        <v>0</v>
      </c>
      <c r="T1571">
        <v>1.28182</v>
      </c>
      <c r="U1571">
        <v>0.20294999999999999</v>
      </c>
      <c r="V1571">
        <v>18.471640000000001</v>
      </c>
      <c r="W1571" t="s">
        <v>10</v>
      </c>
      <c r="X1571">
        <v>47.781999999999996</v>
      </c>
      <c r="Y1571">
        <v>351.84300000000002</v>
      </c>
      <c r="Z1571">
        <v>2.84</v>
      </c>
      <c r="AA1571">
        <v>60.360999999999997</v>
      </c>
      <c r="AB1571">
        <v>0</v>
      </c>
      <c r="AC1571">
        <v>0</v>
      </c>
      <c r="AD1571">
        <v>0</v>
      </c>
      <c r="AE1571">
        <v>0</v>
      </c>
      <c r="AF1571">
        <v>13.782999999999999</v>
      </c>
      <c r="AG1571">
        <v>9.4589999999999996</v>
      </c>
      <c r="AH1571">
        <v>486.06799999999998</v>
      </c>
      <c r="AI1571" t="s">
        <v>22</v>
      </c>
      <c r="AJ1571">
        <v>2510</v>
      </c>
      <c r="AK1571">
        <v>1830</v>
      </c>
      <c r="AL1571">
        <v>410</v>
      </c>
      <c r="AM1571">
        <v>10</v>
      </c>
      <c r="AN1571">
        <v>0</v>
      </c>
      <c r="AO1571">
        <v>0</v>
      </c>
      <c r="AP1571">
        <v>0</v>
      </c>
      <c r="AQ1571">
        <v>0</v>
      </c>
      <c r="AR1571">
        <v>80</v>
      </c>
      <c r="AS1571">
        <v>60</v>
      </c>
      <c r="AT1571">
        <v>4900</v>
      </c>
      <c r="AU1571" t="s">
        <v>33</v>
      </c>
    </row>
    <row r="1572" spans="1:47" x14ac:dyDescent="0.2">
      <c r="A1572">
        <v>2173</v>
      </c>
      <c r="B1572" t="s">
        <v>792</v>
      </c>
      <c r="C1572">
        <v>40</v>
      </c>
      <c r="D1572" t="s">
        <v>797</v>
      </c>
      <c r="G1572" t="str">
        <f t="shared" si="24"/>
        <v>HLY170240SW10</v>
      </c>
      <c r="H1572">
        <v>72.103999999999999</v>
      </c>
      <c r="I1572">
        <v>-162.1105</v>
      </c>
      <c r="J1572" s="3">
        <v>20170903</v>
      </c>
      <c r="K1572">
        <v>2017</v>
      </c>
      <c r="L1572">
        <v>1.7338800000000001</v>
      </c>
      <c r="M1572">
        <v>1.05132</v>
      </c>
      <c r="N1572">
        <v>1.4120600000000001</v>
      </c>
      <c r="O1572">
        <v>0</v>
      </c>
      <c r="P1572">
        <v>0.15833</v>
      </c>
      <c r="Q1572">
        <v>0</v>
      </c>
      <c r="R1572">
        <v>0.27906999999999998</v>
      </c>
      <c r="S1572">
        <v>0</v>
      </c>
      <c r="T1572">
        <v>0</v>
      </c>
      <c r="U1572">
        <v>0.10929999999999999</v>
      </c>
      <c r="V1572">
        <v>4.7439600000000004</v>
      </c>
      <c r="W1572" t="s">
        <v>9</v>
      </c>
      <c r="X1572">
        <v>28.596</v>
      </c>
      <c r="Y1572">
        <v>43.670999999999999</v>
      </c>
      <c r="Z1572">
        <v>17.681000000000001</v>
      </c>
      <c r="AA1572">
        <v>0</v>
      </c>
      <c r="AB1572">
        <v>11.308999999999999</v>
      </c>
      <c r="AC1572">
        <v>0</v>
      </c>
      <c r="AD1572">
        <v>4.5750000000000002</v>
      </c>
      <c r="AE1572">
        <v>0</v>
      </c>
      <c r="AF1572">
        <v>0</v>
      </c>
      <c r="AG1572">
        <v>5.2050000000000001</v>
      </c>
      <c r="AH1572">
        <v>111.03700000000001</v>
      </c>
      <c r="AI1572" t="s">
        <v>22</v>
      </c>
      <c r="AJ1572">
        <v>350</v>
      </c>
      <c r="AK1572">
        <v>300</v>
      </c>
      <c r="AL1572">
        <v>980</v>
      </c>
      <c r="AM1572">
        <v>0</v>
      </c>
      <c r="AN1572">
        <v>70</v>
      </c>
      <c r="AO1572">
        <v>0</v>
      </c>
      <c r="AP1572">
        <v>10</v>
      </c>
      <c r="AQ1572">
        <v>0</v>
      </c>
      <c r="AR1572">
        <v>0</v>
      </c>
      <c r="AS1572">
        <v>10</v>
      </c>
      <c r="AT1572">
        <v>1720</v>
      </c>
      <c r="AU1572" t="s">
        <v>35</v>
      </c>
    </row>
    <row r="1573" spans="1:47" x14ac:dyDescent="0.2">
      <c r="A1573">
        <v>2174</v>
      </c>
      <c r="B1573" t="s">
        <v>792</v>
      </c>
      <c r="C1573">
        <v>42</v>
      </c>
      <c r="D1573" t="s">
        <v>798</v>
      </c>
      <c r="G1573" t="str">
        <f t="shared" si="24"/>
        <v>HLY170242W2</v>
      </c>
      <c r="H1573">
        <v>72.122166669999999</v>
      </c>
      <c r="I1573">
        <v>-163.19999999999999</v>
      </c>
      <c r="J1573" s="3">
        <v>20170903</v>
      </c>
      <c r="K1573">
        <v>2017</v>
      </c>
      <c r="L1573">
        <v>4.6800100000000002</v>
      </c>
      <c r="M1573">
        <v>4.9574299999999996</v>
      </c>
      <c r="N1573">
        <v>0.86924000000000001</v>
      </c>
      <c r="O1573">
        <v>4.8559999999999999E-2</v>
      </c>
      <c r="P1573">
        <v>0</v>
      </c>
      <c r="Q1573">
        <v>0</v>
      </c>
      <c r="R1573">
        <v>0</v>
      </c>
      <c r="S1573">
        <v>9.8640000000000005E-2</v>
      </c>
      <c r="T1573">
        <v>0</v>
      </c>
      <c r="U1573">
        <v>1.75621</v>
      </c>
      <c r="V1573">
        <v>12.41009</v>
      </c>
      <c r="W1573" t="s">
        <v>10</v>
      </c>
      <c r="X1573">
        <v>73.018000000000001</v>
      </c>
      <c r="Y1573">
        <v>204.60300000000001</v>
      </c>
      <c r="Z1573">
        <v>12.728999999999999</v>
      </c>
      <c r="AA1573">
        <v>1.079</v>
      </c>
      <c r="AB1573">
        <v>0</v>
      </c>
      <c r="AC1573">
        <v>0</v>
      </c>
      <c r="AD1573">
        <v>0</v>
      </c>
      <c r="AE1573">
        <v>7.0460000000000003</v>
      </c>
      <c r="AF1573">
        <v>0</v>
      </c>
      <c r="AG1573">
        <v>48.027000000000001</v>
      </c>
      <c r="AH1573">
        <v>346.50200000000001</v>
      </c>
      <c r="AI1573" t="s">
        <v>22</v>
      </c>
      <c r="AJ1573">
        <v>2180</v>
      </c>
      <c r="AK1573">
        <v>780</v>
      </c>
      <c r="AL1573">
        <v>410</v>
      </c>
      <c r="AM1573">
        <v>70</v>
      </c>
      <c r="AN1573">
        <v>0</v>
      </c>
      <c r="AO1573">
        <v>0</v>
      </c>
      <c r="AP1573">
        <v>0</v>
      </c>
      <c r="AQ1573">
        <v>60</v>
      </c>
      <c r="AR1573">
        <v>0</v>
      </c>
      <c r="AS1573">
        <v>150</v>
      </c>
      <c r="AT1573">
        <v>3650</v>
      </c>
      <c r="AU1573" t="s">
        <v>33</v>
      </c>
    </row>
    <row r="1574" spans="1:47" x14ac:dyDescent="0.2">
      <c r="A1574">
        <v>2175</v>
      </c>
      <c r="B1574" t="s">
        <v>792</v>
      </c>
      <c r="C1574">
        <v>44</v>
      </c>
      <c r="D1574" t="s">
        <v>799</v>
      </c>
      <c r="G1574" t="str">
        <f t="shared" si="24"/>
        <v>HLY170244W4</v>
      </c>
      <c r="H1574">
        <v>72.210333329999997</v>
      </c>
      <c r="I1574">
        <v>-164.16749999999999</v>
      </c>
      <c r="J1574" s="3">
        <v>20170903</v>
      </c>
      <c r="K1574">
        <v>2017</v>
      </c>
      <c r="L1574">
        <v>4.71828</v>
      </c>
      <c r="M1574">
        <v>3.8031299999999999</v>
      </c>
      <c r="N1574">
        <v>0.50058999999999998</v>
      </c>
      <c r="O1574">
        <v>2.0251399999999999</v>
      </c>
      <c r="P1574">
        <v>1.0000000000000001E-5</v>
      </c>
      <c r="Q1574">
        <v>0</v>
      </c>
      <c r="R1574">
        <v>0.10285</v>
      </c>
      <c r="S1574">
        <v>0</v>
      </c>
      <c r="T1574">
        <v>1.1996100000000001</v>
      </c>
      <c r="U1574">
        <v>1.499E-2</v>
      </c>
      <c r="V1574">
        <v>12.364599999999999</v>
      </c>
      <c r="W1574" t="s">
        <v>9</v>
      </c>
      <c r="X1574">
        <v>69.850999999999999</v>
      </c>
      <c r="Y1574">
        <v>110.468</v>
      </c>
      <c r="Z1574">
        <v>7.2220000000000004</v>
      </c>
      <c r="AA1574">
        <v>45.003</v>
      </c>
      <c r="AB1574">
        <v>1E-3</v>
      </c>
      <c r="AC1574">
        <v>0</v>
      </c>
      <c r="AD1574">
        <v>1.6859999999999999</v>
      </c>
      <c r="AE1574">
        <v>0</v>
      </c>
      <c r="AF1574">
        <v>12.898999999999999</v>
      </c>
      <c r="AG1574">
        <v>0.316</v>
      </c>
      <c r="AH1574">
        <v>247.446</v>
      </c>
      <c r="AI1574" t="s">
        <v>22</v>
      </c>
      <c r="AJ1574">
        <v>750</v>
      </c>
      <c r="AK1574">
        <v>2530</v>
      </c>
      <c r="AL1574">
        <v>510</v>
      </c>
      <c r="AM1574">
        <v>10</v>
      </c>
      <c r="AN1574">
        <v>10</v>
      </c>
      <c r="AO1574">
        <v>0</v>
      </c>
      <c r="AP1574">
        <v>30</v>
      </c>
      <c r="AQ1574">
        <v>0</v>
      </c>
      <c r="AR1574">
        <v>30</v>
      </c>
      <c r="AS1574">
        <v>130</v>
      </c>
      <c r="AT1574">
        <v>4000</v>
      </c>
      <c r="AU1574" t="s">
        <v>34</v>
      </c>
    </row>
    <row r="1575" spans="1:47" x14ac:dyDescent="0.2">
      <c r="A1575">
        <v>2176</v>
      </c>
      <c r="B1575" t="s">
        <v>792</v>
      </c>
      <c r="C1575">
        <v>46</v>
      </c>
      <c r="D1575" t="s">
        <v>800</v>
      </c>
      <c r="G1575" t="str">
        <f t="shared" si="24"/>
        <v>HLY170246W6</v>
      </c>
      <c r="H1575">
        <v>72.349333329999993</v>
      </c>
      <c r="I1575">
        <v>-164.91033329999999</v>
      </c>
      <c r="J1575" s="3">
        <v>20170903</v>
      </c>
      <c r="K1575">
        <v>2017</v>
      </c>
      <c r="L1575">
        <v>1.75162</v>
      </c>
      <c r="M1575">
        <v>6.41364</v>
      </c>
      <c r="N1575">
        <v>3.5990000000000001E-2</v>
      </c>
      <c r="O1575">
        <v>0.72638999999999998</v>
      </c>
      <c r="P1575">
        <v>0.59431</v>
      </c>
      <c r="Q1575">
        <v>0</v>
      </c>
      <c r="R1575">
        <v>0</v>
      </c>
      <c r="S1575">
        <v>0</v>
      </c>
      <c r="T1575">
        <v>0.14954000000000001</v>
      </c>
      <c r="U1575">
        <v>0.17888999999999999</v>
      </c>
      <c r="V1575">
        <v>9.8503799999999995</v>
      </c>
      <c r="W1575" t="s">
        <v>10</v>
      </c>
      <c r="X1575">
        <v>23.231999999999999</v>
      </c>
      <c r="Y1575">
        <v>289.21499999999997</v>
      </c>
      <c r="Z1575">
        <v>0.51100000000000001</v>
      </c>
      <c r="AA1575">
        <v>16.141999999999999</v>
      </c>
      <c r="AB1575">
        <v>42.451000000000001</v>
      </c>
      <c r="AC1575">
        <v>0</v>
      </c>
      <c r="AD1575">
        <v>0</v>
      </c>
      <c r="AE1575">
        <v>0</v>
      </c>
      <c r="AF1575">
        <v>1.6080000000000001</v>
      </c>
      <c r="AG1575">
        <v>3.7519999999999998</v>
      </c>
      <c r="AH1575">
        <v>376.911</v>
      </c>
      <c r="AI1575" t="s">
        <v>22</v>
      </c>
      <c r="AJ1575">
        <v>942.5</v>
      </c>
      <c r="AK1575">
        <v>1942.5</v>
      </c>
      <c r="AL1575">
        <v>112.5</v>
      </c>
      <c r="AM1575">
        <v>2.5</v>
      </c>
      <c r="AN1575">
        <v>50</v>
      </c>
      <c r="AO1575">
        <v>0</v>
      </c>
      <c r="AP1575">
        <v>0</v>
      </c>
      <c r="AQ1575">
        <v>0</v>
      </c>
      <c r="AR1575">
        <v>30</v>
      </c>
      <c r="AS1575">
        <v>120</v>
      </c>
      <c r="AT1575">
        <v>3200</v>
      </c>
      <c r="AU1575" t="s">
        <v>34</v>
      </c>
    </row>
    <row r="1576" spans="1:47" x14ac:dyDescent="0.2">
      <c r="A1576">
        <v>2177</v>
      </c>
      <c r="B1576" t="s">
        <v>792</v>
      </c>
      <c r="C1576">
        <v>48</v>
      </c>
      <c r="D1576" t="s">
        <v>801</v>
      </c>
      <c r="G1576" t="str">
        <f t="shared" si="24"/>
        <v>HLY170248W8</v>
      </c>
      <c r="H1576">
        <v>72.492000000000004</v>
      </c>
      <c r="I1576">
        <v>-165.6851667</v>
      </c>
      <c r="J1576" s="3">
        <v>20170903</v>
      </c>
      <c r="K1576">
        <v>2017</v>
      </c>
      <c r="L1576">
        <v>3.6194000000000002</v>
      </c>
      <c r="M1576">
        <v>1.51868</v>
      </c>
      <c r="N1576">
        <v>5.0900000000000001E-2</v>
      </c>
      <c r="O1576">
        <v>0</v>
      </c>
      <c r="P1576">
        <v>0.54754999999999998</v>
      </c>
      <c r="Q1576">
        <v>0</v>
      </c>
      <c r="R1576">
        <v>4.4040000000000003E-2</v>
      </c>
      <c r="S1576">
        <v>0</v>
      </c>
      <c r="T1576">
        <v>1.814E-2</v>
      </c>
      <c r="U1576">
        <v>0.12132</v>
      </c>
      <c r="V1576">
        <v>5.9200299999999997</v>
      </c>
      <c r="W1576" t="s">
        <v>9</v>
      </c>
      <c r="X1576">
        <v>57.052999999999997</v>
      </c>
      <c r="Y1576">
        <v>52.588999999999999</v>
      </c>
      <c r="Z1576">
        <v>0.68799999999999994</v>
      </c>
      <c r="AA1576">
        <v>0</v>
      </c>
      <c r="AB1576">
        <v>39.110999999999997</v>
      </c>
      <c r="AC1576">
        <v>0</v>
      </c>
      <c r="AD1576">
        <v>0.72199999999999998</v>
      </c>
      <c r="AE1576">
        <v>0</v>
      </c>
      <c r="AF1576">
        <v>0.19500000000000001</v>
      </c>
      <c r="AG1576">
        <v>2.6549999999999998</v>
      </c>
      <c r="AH1576">
        <v>153.01300000000001</v>
      </c>
      <c r="AI1576" t="s">
        <v>21</v>
      </c>
      <c r="AJ1576">
        <v>950</v>
      </c>
      <c r="AK1576">
        <v>680</v>
      </c>
      <c r="AL1576">
        <v>60</v>
      </c>
      <c r="AM1576">
        <v>0</v>
      </c>
      <c r="AN1576">
        <v>20</v>
      </c>
      <c r="AO1576">
        <v>0</v>
      </c>
      <c r="AP1576">
        <v>10</v>
      </c>
      <c r="AQ1576">
        <v>0</v>
      </c>
      <c r="AR1576">
        <v>10</v>
      </c>
      <c r="AS1576">
        <v>140</v>
      </c>
      <c r="AT1576">
        <v>1870</v>
      </c>
      <c r="AU1576" t="s">
        <v>33</v>
      </c>
    </row>
    <row r="1577" spans="1:47" x14ac:dyDescent="0.2">
      <c r="A1577">
        <v>2178</v>
      </c>
      <c r="B1577" t="s">
        <v>792</v>
      </c>
      <c r="C1577">
        <v>50</v>
      </c>
      <c r="D1577" t="s">
        <v>802</v>
      </c>
      <c r="G1577" t="str">
        <f t="shared" si="24"/>
        <v>HLY170250W10</v>
      </c>
      <c r="H1577">
        <v>72.637166669999999</v>
      </c>
      <c r="I1577">
        <v>-166.4495</v>
      </c>
      <c r="J1577" s="3">
        <v>20170903</v>
      </c>
      <c r="K1577">
        <v>2017</v>
      </c>
      <c r="L1577">
        <v>7.8577599999999999</v>
      </c>
      <c r="M1577">
        <v>1.4617599999999999</v>
      </c>
      <c r="N1577">
        <v>2.9669999999999998E-2</v>
      </c>
      <c r="O1577">
        <v>0</v>
      </c>
      <c r="P1577">
        <v>0.39711000000000002</v>
      </c>
      <c r="Q1577">
        <v>0</v>
      </c>
      <c r="R1577">
        <v>0</v>
      </c>
      <c r="S1577">
        <v>0</v>
      </c>
      <c r="T1577">
        <v>0.11969</v>
      </c>
      <c r="U1577">
        <v>9.6189999999999998E-2</v>
      </c>
      <c r="V1577">
        <v>9.96218</v>
      </c>
      <c r="W1577" t="s">
        <v>9</v>
      </c>
      <c r="X1577">
        <v>125.35</v>
      </c>
      <c r="Y1577">
        <v>47.831000000000003</v>
      </c>
      <c r="Z1577">
        <v>0.376</v>
      </c>
      <c r="AA1577">
        <v>0</v>
      </c>
      <c r="AB1577">
        <v>28.364999999999998</v>
      </c>
      <c r="AC1577">
        <v>0</v>
      </c>
      <c r="AD1577">
        <v>0</v>
      </c>
      <c r="AE1577">
        <v>0</v>
      </c>
      <c r="AF1577">
        <v>1.2869999999999999</v>
      </c>
      <c r="AG1577">
        <v>2.1</v>
      </c>
      <c r="AH1577">
        <v>205.309</v>
      </c>
      <c r="AI1577" t="s">
        <v>21</v>
      </c>
      <c r="AJ1577">
        <v>2220</v>
      </c>
      <c r="AK1577">
        <v>550</v>
      </c>
      <c r="AL1577">
        <v>60</v>
      </c>
      <c r="AM1577">
        <v>0</v>
      </c>
      <c r="AN1577">
        <v>20</v>
      </c>
      <c r="AO1577">
        <v>0</v>
      </c>
      <c r="AP1577">
        <v>0</v>
      </c>
      <c r="AQ1577">
        <v>0</v>
      </c>
      <c r="AR1577">
        <v>30</v>
      </c>
      <c r="AS1577">
        <v>40</v>
      </c>
      <c r="AT1577">
        <v>2920</v>
      </c>
      <c r="AU1577" t="s">
        <v>33</v>
      </c>
    </row>
    <row r="1578" spans="1:47" x14ac:dyDescent="0.2">
      <c r="A1578">
        <v>2179</v>
      </c>
      <c r="B1578" t="s">
        <v>792</v>
      </c>
      <c r="C1578">
        <v>52</v>
      </c>
      <c r="D1578" t="s">
        <v>803</v>
      </c>
      <c r="G1578" t="str">
        <f t="shared" si="24"/>
        <v>HLY170252W12</v>
      </c>
      <c r="H1578">
        <v>72.878166669999999</v>
      </c>
      <c r="I1578">
        <v>-166.84833330000001</v>
      </c>
      <c r="J1578" s="3">
        <v>20170903</v>
      </c>
      <c r="K1578">
        <v>2017</v>
      </c>
      <c r="L1578">
        <v>1.40855</v>
      </c>
      <c r="M1578">
        <v>7.8080800000000004</v>
      </c>
      <c r="N1578">
        <v>4.1399999999999996E-3</v>
      </c>
      <c r="O1578">
        <v>0</v>
      </c>
      <c r="P1578">
        <v>0.15001</v>
      </c>
      <c r="Q1578">
        <v>0</v>
      </c>
      <c r="R1578">
        <v>0</v>
      </c>
      <c r="S1578">
        <v>0</v>
      </c>
      <c r="T1578">
        <v>1.8551599999999999</v>
      </c>
      <c r="U1578">
        <v>0.28497</v>
      </c>
      <c r="V1578">
        <v>11.510910000000001</v>
      </c>
      <c r="W1578" t="s">
        <v>10</v>
      </c>
      <c r="X1578">
        <v>20.187000000000001</v>
      </c>
      <c r="Y1578">
        <v>190.82</v>
      </c>
      <c r="Z1578">
        <v>5.6000000000000001E-2</v>
      </c>
      <c r="AA1578">
        <v>0</v>
      </c>
      <c r="AB1578">
        <v>10.715</v>
      </c>
      <c r="AC1578">
        <v>0</v>
      </c>
      <c r="AD1578">
        <v>0</v>
      </c>
      <c r="AE1578">
        <v>0</v>
      </c>
      <c r="AF1578">
        <v>19.948</v>
      </c>
      <c r="AG1578">
        <v>5.59</v>
      </c>
      <c r="AH1578">
        <v>247.316</v>
      </c>
      <c r="AI1578" t="s">
        <v>22</v>
      </c>
      <c r="AJ1578">
        <v>1422.5</v>
      </c>
      <c r="AK1578">
        <v>712.5</v>
      </c>
      <c r="AL1578">
        <v>30</v>
      </c>
      <c r="AM1578">
        <v>0</v>
      </c>
      <c r="AN1578">
        <v>7.5</v>
      </c>
      <c r="AO1578">
        <v>0</v>
      </c>
      <c r="AP1578">
        <v>0</v>
      </c>
      <c r="AQ1578">
        <v>0</v>
      </c>
      <c r="AR1578">
        <v>15</v>
      </c>
      <c r="AS1578">
        <v>77.5</v>
      </c>
      <c r="AT1578">
        <v>2265</v>
      </c>
      <c r="AU1578" t="s">
        <v>33</v>
      </c>
    </row>
    <row r="1579" spans="1:47" x14ac:dyDescent="0.2">
      <c r="A1579">
        <v>2180</v>
      </c>
      <c r="B1579" t="s">
        <v>792</v>
      </c>
      <c r="C1579">
        <v>53</v>
      </c>
      <c r="D1579" t="s">
        <v>804</v>
      </c>
      <c r="G1579" t="str">
        <f t="shared" si="24"/>
        <v>HLY170253NW1</v>
      </c>
      <c r="H1579">
        <v>73.039333330000005</v>
      </c>
      <c r="I1579">
        <v>-163.423</v>
      </c>
      <c r="J1579" s="3">
        <v>20170904</v>
      </c>
      <c r="K1579">
        <v>2017</v>
      </c>
      <c r="L1579">
        <v>4.0021699999999996</v>
      </c>
      <c r="M1579">
        <v>2.0699800000000002</v>
      </c>
      <c r="N1579">
        <v>0.41981000000000002</v>
      </c>
      <c r="O1579">
        <v>3.569E-2</v>
      </c>
      <c r="P1579">
        <v>0.36029</v>
      </c>
      <c r="Q1579">
        <v>0</v>
      </c>
      <c r="R1579">
        <v>0.12060999999999999</v>
      </c>
      <c r="S1579">
        <v>1.5200000000000001E-3</v>
      </c>
      <c r="T1579">
        <v>5.4309999999999997E-2</v>
      </c>
      <c r="U1579">
        <v>6.6549999999999998E-2</v>
      </c>
      <c r="V1579">
        <v>7.1309300000000002</v>
      </c>
      <c r="W1579" t="s">
        <v>9</v>
      </c>
      <c r="X1579">
        <v>59.256</v>
      </c>
      <c r="Y1579">
        <v>60.540999999999997</v>
      </c>
      <c r="Z1579">
        <v>5.899</v>
      </c>
      <c r="AA1579">
        <v>0.79300000000000004</v>
      </c>
      <c r="AB1579">
        <v>25.734999999999999</v>
      </c>
      <c r="AC1579">
        <v>0</v>
      </c>
      <c r="AD1579">
        <v>2.6949999999999998</v>
      </c>
      <c r="AE1579">
        <v>3.6999999999999998E-2</v>
      </c>
      <c r="AF1579">
        <v>0.58399999999999996</v>
      </c>
      <c r="AG1579">
        <v>1.8680000000000001</v>
      </c>
      <c r="AH1579">
        <v>157.40799999999999</v>
      </c>
      <c r="AI1579" t="s">
        <v>22</v>
      </c>
      <c r="AJ1579">
        <v>1135</v>
      </c>
      <c r="AK1579">
        <v>542.5</v>
      </c>
      <c r="AL1579">
        <v>1212.5</v>
      </c>
      <c r="AM1579">
        <v>12.5</v>
      </c>
      <c r="AN1579">
        <v>57.5</v>
      </c>
      <c r="AO1579">
        <v>0</v>
      </c>
      <c r="AP1579">
        <v>7.5</v>
      </c>
      <c r="AQ1579">
        <v>2.5</v>
      </c>
      <c r="AR1579">
        <v>20</v>
      </c>
      <c r="AS1579">
        <v>117.5</v>
      </c>
      <c r="AT1579">
        <v>3107.5</v>
      </c>
      <c r="AU1579" t="s">
        <v>35</v>
      </c>
    </row>
    <row r="1580" spans="1:47" x14ac:dyDescent="0.2">
      <c r="A1580">
        <v>2181</v>
      </c>
      <c r="B1580" t="s">
        <v>792</v>
      </c>
      <c r="C1580">
        <v>56</v>
      </c>
      <c r="D1580" t="s">
        <v>805</v>
      </c>
      <c r="G1580" t="str">
        <f t="shared" si="24"/>
        <v>HLY170256NW4</v>
      </c>
      <c r="H1580">
        <v>72.853999999999999</v>
      </c>
      <c r="I1580">
        <v>-163.1776667</v>
      </c>
      <c r="J1580" s="3">
        <v>20170904</v>
      </c>
      <c r="K1580">
        <v>2017</v>
      </c>
      <c r="L1580">
        <v>2.4860500000000001</v>
      </c>
      <c r="M1580">
        <v>4.1644699999999997</v>
      </c>
      <c r="N1580">
        <v>0.11583</v>
      </c>
      <c r="O1580">
        <v>10.44774</v>
      </c>
      <c r="P1580">
        <v>0</v>
      </c>
      <c r="Q1580">
        <v>0</v>
      </c>
      <c r="R1580">
        <v>1.07148</v>
      </c>
      <c r="S1580">
        <v>0</v>
      </c>
      <c r="T1580">
        <v>0.10695</v>
      </c>
      <c r="U1580">
        <v>0.17219999999999999</v>
      </c>
      <c r="V1580">
        <v>18.564720000000001</v>
      </c>
      <c r="W1580" t="s">
        <v>12</v>
      </c>
      <c r="X1580">
        <v>36.509</v>
      </c>
      <c r="Y1580">
        <v>147.92400000000001</v>
      </c>
      <c r="Z1580">
        <v>1.55</v>
      </c>
      <c r="AA1580">
        <v>232.172</v>
      </c>
      <c r="AB1580">
        <v>0</v>
      </c>
      <c r="AC1580">
        <v>0</v>
      </c>
      <c r="AD1580">
        <v>26.786999999999999</v>
      </c>
      <c r="AE1580">
        <v>0</v>
      </c>
      <c r="AF1580">
        <v>1.1499999999999999</v>
      </c>
      <c r="AG1580">
        <v>3.6589999999999998</v>
      </c>
      <c r="AH1580">
        <v>449.75099999999998</v>
      </c>
      <c r="AI1580" t="s">
        <v>24</v>
      </c>
      <c r="AJ1580">
        <v>1000</v>
      </c>
      <c r="AK1580">
        <v>1020</v>
      </c>
      <c r="AL1580">
        <v>490</v>
      </c>
      <c r="AM1580">
        <v>20</v>
      </c>
      <c r="AN1580">
        <v>0</v>
      </c>
      <c r="AO1580">
        <v>0</v>
      </c>
      <c r="AP1580">
        <v>10</v>
      </c>
      <c r="AQ1580">
        <v>0</v>
      </c>
      <c r="AR1580">
        <v>30</v>
      </c>
      <c r="AS1580">
        <v>190</v>
      </c>
      <c r="AT1580">
        <v>2760</v>
      </c>
      <c r="AU1580" t="s">
        <v>34</v>
      </c>
    </row>
    <row r="1581" spans="1:47" x14ac:dyDescent="0.2">
      <c r="A1581">
        <v>2182</v>
      </c>
      <c r="B1581" t="s">
        <v>792</v>
      </c>
      <c r="C1581">
        <v>58</v>
      </c>
      <c r="D1581" t="s">
        <v>806</v>
      </c>
      <c r="G1581" t="str">
        <f t="shared" si="24"/>
        <v>HLY170258NW6</v>
      </c>
      <c r="H1581">
        <v>72.727000000000004</v>
      </c>
      <c r="I1581">
        <v>-162.9781667</v>
      </c>
      <c r="J1581" s="3">
        <v>20170904</v>
      </c>
      <c r="K1581">
        <v>2017</v>
      </c>
      <c r="L1581">
        <v>2.6620900000000001</v>
      </c>
      <c r="M1581">
        <v>6.6514899999999999</v>
      </c>
      <c r="N1581">
        <v>0.14051</v>
      </c>
      <c r="O1581">
        <v>0.10049</v>
      </c>
      <c r="P1581">
        <v>1.73E-3</v>
      </c>
      <c r="Q1581">
        <v>0</v>
      </c>
      <c r="R1581">
        <v>0</v>
      </c>
      <c r="S1581">
        <v>0</v>
      </c>
      <c r="T1581">
        <v>0.50639000000000001</v>
      </c>
      <c r="U1581">
        <v>5.5180400000000001</v>
      </c>
      <c r="V1581">
        <v>15.58074</v>
      </c>
      <c r="W1581" t="s">
        <v>10</v>
      </c>
      <c r="X1581">
        <v>40.564999999999998</v>
      </c>
      <c r="Y1581">
        <v>277.10500000000002</v>
      </c>
      <c r="Z1581">
        <v>1.92</v>
      </c>
      <c r="AA1581">
        <v>2.2330000000000001</v>
      </c>
      <c r="AB1581">
        <v>0.123</v>
      </c>
      <c r="AC1581">
        <v>0</v>
      </c>
      <c r="AD1581">
        <v>0</v>
      </c>
      <c r="AE1581">
        <v>0</v>
      </c>
      <c r="AF1581">
        <v>5.4450000000000003</v>
      </c>
      <c r="AG1581">
        <v>123.042</v>
      </c>
      <c r="AH1581">
        <v>450.43299999999999</v>
      </c>
      <c r="AI1581" t="s">
        <v>22</v>
      </c>
      <c r="AJ1581">
        <v>747.5</v>
      </c>
      <c r="AK1581">
        <v>2385</v>
      </c>
      <c r="AL1581">
        <v>77.5</v>
      </c>
      <c r="AM1581">
        <v>7.5</v>
      </c>
      <c r="AN1581">
        <v>42.5</v>
      </c>
      <c r="AO1581">
        <v>0</v>
      </c>
      <c r="AP1581">
        <v>0</v>
      </c>
      <c r="AQ1581">
        <v>0</v>
      </c>
      <c r="AR1581">
        <v>7.5</v>
      </c>
      <c r="AS1581">
        <v>105</v>
      </c>
      <c r="AT1581">
        <v>3372.5</v>
      </c>
      <c r="AU1581" t="s">
        <v>34</v>
      </c>
    </row>
    <row r="1582" spans="1:47" x14ac:dyDescent="0.2">
      <c r="A1582">
        <v>2183</v>
      </c>
      <c r="B1582" t="s">
        <v>792</v>
      </c>
      <c r="C1582">
        <v>60</v>
      </c>
      <c r="D1582" t="s">
        <v>807</v>
      </c>
      <c r="G1582" t="str">
        <f t="shared" si="24"/>
        <v>HLY170260NW8</v>
      </c>
      <c r="H1582">
        <v>72.476333330000003</v>
      </c>
      <c r="I1582">
        <v>-162.63733329999999</v>
      </c>
      <c r="J1582" s="3">
        <v>20170904</v>
      </c>
      <c r="K1582">
        <v>2017</v>
      </c>
      <c r="L1582">
        <v>4.2089699999999999</v>
      </c>
      <c r="M1582">
        <v>2.98698</v>
      </c>
      <c r="N1582">
        <v>7.0379999999999998E-2</v>
      </c>
      <c r="O1582">
        <v>1.2600000000000001E-3</v>
      </c>
      <c r="P1582">
        <v>6.4000000000000005E-4</v>
      </c>
      <c r="Q1582">
        <v>0</v>
      </c>
      <c r="R1582">
        <v>0</v>
      </c>
      <c r="S1582">
        <v>0</v>
      </c>
      <c r="T1582">
        <v>7.8100000000000001E-3</v>
      </c>
      <c r="U1582">
        <v>0.10922999999999999</v>
      </c>
      <c r="V1582">
        <v>7.3852700000000002</v>
      </c>
      <c r="W1582" t="s">
        <v>9</v>
      </c>
      <c r="X1582">
        <v>57.256</v>
      </c>
      <c r="Y1582">
        <v>91.444000000000003</v>
      </c>
      <c r="Z1582">
        <v>0.99299999999999999</v>
      </c>
      <c r="AA1582">
        <v>2.8000000000000001E-2</v>
      </c>
      <c r="AB1582">
        <v>4.5999999999999999E-2</v>
      </c>
      <c r="AC1582">
        <v>0</v>
      </c>
      <c r="AD1582">
        <v>0</v>
      </c>
      <c r="AE1582">
        <v>0</v>
      </c>
      <c r="AF1582">
        <v>8.4000000000000005E-2</v>
      </c>
      <c r="AG1582">
        <v>1.9059999999999999</v>
      </c>
      <c r="AH1582">
        <v>151.75700000000001</v>
      </c>
      <c r="AI1582" t="s">
        <v>22</v>
      </c>
      <c r="AJ1582">
        <v>990</v>
      </c>
      <c r="AK1582">
        <v>2080</v>
      </c>
      <c r="AL1582">
        <v>110</v>
      </c>
      <c r="AM1582">
        <v>10</v>
      </c>
      <c r="AN1582">
        <v>80</v>
      </c>
      <c r="AO1582">
        <v>0</v>
      </c>
      <c r="AP1582">
        <v>0</v>
      </c>
      <c r="AQ1582">
        <v>0</v>
      </c>
      <c r="AR1582">
        <v>10</v>
      </c>
      <c r="AS1582">
        <v>170</v>
      </c>
      <c r="AT1582">
        <v>3450</v>
      </c>
      <c r="AU1582" t="s">
        <v>34</v>
      </c>
    </row>
    <row r="1583" spans="1:47" x14ac:dyDescent="0.2">
      <c r="A1583">
        <v>2184</v>
      </c>
      <c r="B1583" t="s">
        <v>792</v>
      </c>
      <c r="C1583">
        <v>62</v>
      </c>
      <c r="D1583" t="s">
        <v>808</v>
      </c>
      <c r="G1583" t="str">
        <f t="shared" si="24"/>
        <v>HLY170262NW10</v>
      </c>
      <c r="H1583">
        <v>72.228999999999999</v>
      </c>
      <c r="I1583">
        <v>-162.3075</v>
      </c>
      <c r="J1583" s="3">
        <v>20170904</v>
      </c>
      <c r="K1583">
        <v>2017</v>
      </c>
      <c r="L1583">
        <v>2.9233500000000001</v>
      </c>
      <c r="M1583">
        <v>12.637589999999999</v>
      </c>
      <c r="N1583">
        <v>0.15583</v>
      </c>
      <c r="O1583">
        <v>3.8300000000000001E-3</v>
      </c>
      <c r="P1583">
        <v>3.916E-2</v>
      </c>
      <c r="Q1583">
        <v>0</v>
      </c>
      <c r="R1583">
        <v>4.5100000000000001E-3</v>
      </c>
      <c r="S1583">
        <v>0.67184999999999995</v>
      </c>
      <c r="T1583">
        <v>8.3700000000000007E-3</v>
      </c>
      <c r="U1583">
        <v>0.11651</v>
      </c>
      <c r="V1583">
        <v>16.561</v>
      </c>
      <c r="W1583" t="s">
        <v>10</v>
      </c>
      <c r="X1583">
        <v>44.408999999999999</v>
      </c>
      <c r="Y1583">
        <v>365.88900000000001</v>
      </c>
      <c r="Z1583">
        <v>2.105</v>
      </c>
      <c r="AA1583">
        <v>8.5000000000000006E-2</v>
      </c>
      <c r="AB1583">
        <v>2.7970000000000002</v>
      </c>
      <c r="AC1583">
        <v>0</v>
      </c>
      <c r="AD1583">
        <v>7.3999999999999996E-2</v>
      </c>
      <c r="AE1583">
        <v>47.988999999999997</v>
      </c>
      <c r="AF1583">
        <v>0.09</v>
      </c>
      <c r="AG1583">
        <v>2.3860000000000001</v>
      </c>
      <c r="AH1583">
        <v>465.82400000000001</v>
      </c>
      <c r="AI1583" t="s">
        <v>22</v>
      </c>
      <c r="AJ1583">
        <v>2230</v>
      </c>
      <c r="AK1583">
        <v>2880</v>
      </c>
      <c r="AL1583">
        <v>680</v>
      </c>
      <c r="AM1583">
        <v>40</v>
      </c>
      <c r="AN1583">
        <v>40</v>
      </c>
      <c r="AO1583">
        <v>0</v>
      </c>
      <c r="AP1583">
        <v>30</v>
      </c>
      <c r="AQ1583">
        <v>110</v>
      </c>
      <c r="AR1583">
        <v>60</v>
      </c>
      <c r="AS1583">
        <v>170</v>
      </c>
      <c r="AT1583">
        <v>6240</v>
      </c>
      <c r="AU1583" t="s">
        <v>34</v>
      </c>
    </row>
    <row r="1584" spans="1:47" x14ac:dyDescent="0.2">
      <c r="A1584">
        <v>2185</v>
      </c>
      <c r="B1584" t="s">
        <v>792</v>
      </c>
      <c r="C1584">
        <v>65</v>
      </c>
      <c r="D1584" t="s">
        <v>809</v>
      </c>
      <c r="G1584" t="str">
        <f t="shared" si="24"/>
        <v>HLY170265NNE3</v>
      </c>
      <c r="H1584">
        <v>72.468999999999994</v>
      </c>
      <c r="I1584">
        <v>-161.54949999999999</v>
      </c>
      <c r="J1584" s="3">
        <v>20170904</v>
      </c>
      <c r="K1584">
        <v>2017</v>
      </c>
      <c r="L1584">
        <v>1.8824799999999999</v>
      </c>
      <c r="M1584">
        <v>27.887799999999999</v>
      </c>
      <c r="N1584">
        <v>5.7520000000000002E-2</v>
      </c>
      <c r="O1584">
        <v>1.1480000000000001E-2</v>
      </c>
      <c r="P1584">
        <v>0.19288</v>
      </c>
      <c r="Q1584">
        <v>0</v>
      </c>
      <c r="R1584">
        <v>0</v>
      </c>
      <c r="S1584">
        <v>0</v>
      </c>
      <c r="T1584">
        <v>0.10861999999999999</v>
      </c>
      <c r="U1584">
        <v>0.67434000000000005</v>
      </c>
      <c r="V1584">
        <v>30.81512</v>
      </c>
      <c r="W1584" t="s">
        <v>10</v>
      </c>
      <c r="X1584">
        <v>29.175999999999998</v>
      </c>
      <c r="Y1584">
        <v>762.49</v>
      </c>
      <c r="Z1584">
        <v>0.84399999999999997</v>
      </c>
      <c r="AA1584">
        <v>0.255</v>
      </c>
      <c r="AB1584">
        <v>13.776999999999999</v>
      </c>
      <c r="AC1584">
        <v>0</v>
      </c>
      <c r="AD1584">
        <v>0</v>
      </c>
      <c r="AE1584">
        <v>0</v>
      </c>
      <c r="AF1584">
        <v>1.1679999999999999</v>
      </c>
      <c r="AG1584">
        <v>14.917999999999999</v>
      </c>
      <c r="AH1584">
        <v>822.62800000000004</v>
      </c>
      <c r="AI1584" t="s">
        <v>22</v>
      </c>
      <c r="AJ1584">
        <v>980</v>
      </c>
      <c r="AK1584">
        <v>1960</v>
      </c>
      <c r="AL1584">
        <v>40</v>
      </c>
      <c r="AM1584">
        <v>20</v>
      </c>
      <c r="AN1584">
        <v>20</v>
      </c>
      <c r="AO1584">
        <v>0</v>
      </c>
      <c r="AP1584">
        <v>0</v>
      </c>
      <c r="AQ1584">
        <v>0</v>
      </c>
      <c r="AR1584">
        <v>10</v>
      </c>
      <c r="AS1584">
        <v>100</v>
      </c>
      <c r="AT1584">
        <v>3130</v>
      </c>
      <c r="AU1584" t="s">
        <v>34</v>
      </c>
    </row>
    <row r="1585" spans="1:47" x14ac:dyDescent="0.2">
      <c r="A1585">
        <v>2186</v>
      </c>
      <c r="B1585" t="s">
        <v>792</v>
      </c>
      <c r="C1585">
        <v>66</v>
      </c>
      <c r="D1585" t="s">
        <v>810</v>
      </c>
      <c r="G1585" t="str">
        <f t="shared" si="24"/>
        <v>HLY170266NNE4</v>
      </c>
      <c r="H1585">
        <v>72.594166670000007</v>
      </c>
      <c r="I1585">
        <v>-161.35383329999999</v>
      </c>
      <c r="J1585" s="3">
        <v>20170904</v>
      </c>
      <c r="K1585">
        <v>2017</v>
      </c>
      <c r="L1585">
        <v>1.5845899999999999</v>
      </c>
      <c r="M1585">
        <v>5.3473899999999999</v>
      </c>
      <c r="N1585">
        <v>0.11854000000000001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2.6778400000000002</v>
      </c>
      <c r="U1585">
        <v>0.10986</v>
      </c>
      <c r="V1585">
        <v>9.8382199999999997</v>
      </c>
      <c r="W1585" t="s">
        <v>10</v>
      </c>
      <c r="X1585">
        <v>24.597000000000001</v>
      </c>
      <c r="Y1585">
        <v>164.99600000000001</v>
      </c>
      <c r="Z1585">
        <v>1.62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28.794</v>
      </c>
      <c r="AG1585">
        <v>2.1469999999999998</v>
      </c>
      <c r="AH1585">
        <v>222.154</v>
      </c>
      <c r="AI1585" t="s">
        <v>22</v>
      </c>
      <c r="AJ1585">
        <v>1370</v>
      </c>
      <c r="AK1585">
        <v>985</v>
      </c>
      <c r="AL1585">
        <v>107.5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17.5</v>
      </c>
      <c r="AS1585">
        <v>172.5</v>
      </c>
      <c r="AT1585">
        <v>2652.5</v>
      </c>
      <c r="AU1585" t="s">
        <v>33</v>
      </c>
    </row>
    <row r="1586" spans="1:47" x14ac:dyDescent="0.2">
      <c r="A1586">
        <v>2187</v>
      </c>
      <c r="B1586" t="s">
        <v>792</v>
      </c>
      <c r="C1586">
        <v>68</v>
      </c>
      <c r="D1586" t="s">
        <v>811</v>
      </c>
      <c r="G1586" t="str">
        <f t="shared" si="24"/>
        <v>HLY170268NNE6</v>
      </c>
      <c r="H1586">
        <v>72.833333330000002</v>
      </c>
      <c r="I1586">
        <v>-160.9636667</v>
      </c>
      <c r="J1586" s="3">
        <v>20170905</v>
      </c>
      <c r="K1586">
        <v>2017</v>
      </c>
      <c r="L1586">
        <v>0.4788</v>
      </c>
      <c r="M1586">
        <v>12.58982</v>
      </c>
      <c r="N1586">
        <v>2.716E-2</v>
      </c>
      <c r="O1586">
        <v>0</v>
      </c>
      <c r="P1586">
        <v>0.16183</v>
      </c>
      <c r="Q1586">
        <v>0</v>
      </c>
      <c r="R1586">
        <v>3.29E-3</v>
      </c>
      <c r="S1586">
        <v>0</v>
      </c>
      <c r="T1586">
        <v>1.0319999999999999E-2</v>
      </c>
      <c r="U1586">
        <v>6.7000000000000002E-4</v>
      </c>
      <c r="V1586">
        <v>13.271890000000001</v>
      </c>
      <c r="W1586" t="s">
        <v>10</v>
      </c>
      <c r="X1586">
        <v>6.9580000000000002</v>
      </c>
      <c r="Y1586">
        <v>369.80500000000001</v>
      </c>
      <c r="Z1586">
        <v>0.33800000000000002</v>
      </c>
      <c r="AA1586">
        <v>0</v>
      </c>
      <c r="AB1586">
        <v>11.558999999999999</v>
      </c>
      <c r="AC1586">
        <v>0</v>
      </c>
      <c r="AD1586">
        <v>5.3999999999999999E-2</v>
      </c>
      <c r="AE1586">
        <v>0</v>
      </c>
      <c r="AF1586">
        <v>0.111</v>
      </c>
      <c r="AG1586">
        <v>0.02</v>
      </c>
      <c r="AH1586">
        <v>388.84500000000003</v>
      </c>
      <c r="AI1586" t="s">
        <v>22</v>
      </c>
      <c r="AJ1586">
        <v>950</v>
      </c>
      <c r="AK1586">
        <v>1320</v>
      </c>
      <c r="AL1586">
        <v>55</v>
      </c>
      <c r="AM1586">
        <v>0</v>
      </c>
      <c r="AN1586">
        <v>25</v>
      </c>
      <c r="AO1586">
        <v>0</v>
      </c>
      <c r="AP1586">
        <v>5</v>
      </c>
      <c r="AQ1586">
        <v>0</v>
      </c>
      <c r="AR1586">
        <v>5</v>
      </c>
      <c r="AS1586">
        <v>20</v>
      </c>
      <c r="AT1586">
        <v>2380</v>
      </c>
      <c r="AU1586" t="s">
        <v>34</v>
      </c>
    </row>
    <row r="1587" spans="1:47" x14ac:dyDescent="0.2">
      <c r="A1587">
        <v>2188</v>
      </c>
      <c r="B1587" t="s">
        <v>792</v>
      </c>
      <c r="C1587">
        <v>70</v>
      </c>
      <c r="D1587" t="s">
        <v>812</v>
      </c>
      <c r="G1587" t="str">
        <f t="shared" si="24"/>
        <v>HLY170270NNE8</v>
      </c>
      <c r="H1587">
        <v>72.954666669999995</v>
      </c>
      <c r="I1587">
        <v>-160.7488333</v>
      </c>
      <c r="J1587" s="3">
        <v>20170905</v>
      </c>
      <c r="K1587">
        <v>2017</v>
      </c>
      <c r="L1587">
        <v>0.79171000000000002</v>
      </c>
      <c r="M1587">
        <v>1.4191</v>
      </c>
      <c r="N1587">
        <v>0.10817</v>
      </c>
      <c r="O1587">
        <v>1.4400000000000001E-3</v>
      </c>
      <c r="P1587">
        <v>0.67217000000000005</v>
      </c>
      <c r="Q1587">
        <v>0</v>
      </c>
      <c r="R1587">
        <v>0</v>
      </c>
      <c r="S1587">
        <v>0</v>
      </c>
      <c r="T1587">
        <v>0</v>
      </c>
      <c r="U1587">
        <v>2.435E-2</v>
      </c>
      <c r="V1587">
        <v>3.01694</v>
      </c>
      <c r="W1587" t="s">
        <v>10</v>
      </c>
      <c r="X1587">
        <v>11.869</v>
      </c>
      <c r="Y1587">
        <v>31.66</v>
      </c>
      <c r="Z1587">
        <v>1.3720000000000001</v>
      </c>
      <c r="AA1587">
        <v>3.2000000000000001E-2</v>
      </c>
      <c r="AB1587">
        <v>48.012</v>
      </c>
      <c r="AC1587">
        <v>0</v>
      </c>
      <c r="AD1587">
        <v>0</v>
      </c>
      <c r="AE1587">
        <v>0</v>
      </c>
      <c r="AF1587">
        <v>0</v>
      </c>
      <c r="AG1587">
        <v>0.86899999999999999</v>
      </c>
      <c r="AH1587">
        <v>93.813999999999993</v>
      </c>
      <c r="AI1587" t="s">
        <v>25</v>
      </c>
      <c r="AJ1587">
        <v>800</v>
      </c>
      <c r="AK1587">
        <v>140</v>
      </c>
      <c r="AL1587">
        <v>270</v>
      </c>
      <c r="AM1587">
        <v>10</v>
      </c>
      <c r="AN1587">
        <v>120</v>
      </c>
      <c r="AO1587">
        <v>0</v>
      </c>
      <c r="AP1587">
        <v>0</v>
      </c>
      <c r="AQ1587">
        <v>0</v>
      </c>
      <c r="AR1587">
        <v>0</v>
      </c>
      <c r="AS1587">
        <v>60</v>
      </c>
      <c r="AT1587">
        <v>1400</v>
      </c>
      <c r="AU1587" t="s">
        <v>33</v>
      </c>
    </row>
    <row r="1588" spans="1:47" x14ac:dyDescent="0.2">
      <c r="A1588">
        <v>2189</v>
      </c>
      <c r="B1588" t="s">
        <v>792</v>
      </c>
      <c r="C1588">
        <v>72</v>
      </c>
      <c r="D1588" t="s">
        <v>813</v>
      </c>
      <c r="G1588" t="str">
        <f t="shared" si="24"/>
        <v>HLY170272NNE10</v>
      </c>
      <c r="H1588">
        <v>73.078999999999994</v>
      </c>
      <c r="I1588">
        <v>-160.5553333</v>
      </c>
      <c r="J1588" s="3">
        <v>20170905</v>
      </c>
      <c r="K1588">
        <v>2017</v>
      </c>
      <c r="L1588">
        <v>0.18159</v>
      </c>
      <c r="M1588">
        <v>0.27250999999999997</v>
      </c>
      <c r="N1588">
        <v>4.81E-3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1.404E-2</v>
      </c>
      <c r="U1588">
        <v>1.0232399999999999</v>
      </c>
      <c r="V1588">
        <v>1.4961899999999999</v>
      </c>
      <c r="W1588" t="s">
        <v>18</v>
      </c>
      <c r="X1588">
        <v>2.4590000000000001</v>
      </c>
      <c r="Y1588">
        <v>14.07</v>
      </c>
      <c r="Z1588">
        <v>6.5000000000000002E-2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0.151</v>
      </c>
      <c r="AG1588">
        <v>102.324</v>
      </c>
      <c r="AH1588">
        <v>119.069</v>
      </c>
      <c r="AI1588" t="s">
        <v>30</v>
      </c>
      <c r="AJ1588">
        <v>590</v>
      </c>
      <c r="AK1588">
        <v>80</v>
      </c>
      <c r="AL1588">
        <v>30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10</v>
      </c>
      <c r="AS1588">
        <v>10</v>
      </c>
      <c r="AT1588">
        <v>720</v>
      </c>
      <c r="AU1588" t="s">
        <v>33</v>
      </c>
    </row>
    <row r="1589" spans="1:47" x14ac:dyDescent="0.2">
      <c r="A1589">
        <v>2190</v>
      </c>
      <c r="B1589" t="s">
        <v>792</v>
      </c>
      <c r="C1589">
        <v>74</v>
      </c>
      <c r="D1589" t="s">
        <v>814</v>
      </c>
      <c r="G1589" t="str">
        <f t="shared" si="24"/>
        <v>HLY170274NNE12</v>
      </c>
      <c r="H1589">
        <v>73.194999999999993</v>
      </c>
      <c r="I1589">
        <v>-160.32849999999999</v>
      </c>
      <c r="J1589" s="3">
        <v>20170905</v>
      </c>
      <c r="K1589">
        <v>2017</v>
      </c>
      <c r="L1589">
        <v>0.15142</v>
      </c>
      <c r="M1589">
        <v>1.7409999999999998E-2</v>
      </c>
      <c r="N1589">
        <v>7.0299999999999998E-3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0.17585999999999999</v>
      </c>
      <c r="W1589" t="s">
        <v>9</v>
      </c>
      <c r="X1589">
        <v>2.1349999999999998</v>
      </c>
      <c r="Y1589">
        <v>0.53300000000000003</v>
      </c>
      <c r="Z1589">
        <v>9.5000000000000001E-2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2.7629999999999999</v>
      </c>
      <c r="AI1589" t="s">
        <v>21</v>
      </c>
      <c r="AJ1589">
        <v>160</v>
      </c>
      <c r="AK1589">
        <v>230</v>
      </c>
      <c r="AL1589">
        <v>40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430</v>
      </c>
      <c r="AU1589" t="s">
        <v>34</v>
      </c>
    </row>
    <row r="1590" spans="1:47" x14ac:dyDescent="0.2">
      <c r="A1590">
        <v>2191</v>
      </c>
      <c r="B1590" t="s">
        <v>792</v>
      </c>
      <c r="C1590">
        <v>97</v>
      </c>
      <c r="D1590" t="s">
        <v>815</v>
      </c>
      <c r="G1590" t="str">
        <f t="shared" si="24"/>
        <v>HLY170297NE15</v>
      </c>
      <c r="H1590">
        <v>72.593999999999994</v>
      </c>
      <c r="I1590">
        <v>-158.71216670000001</v>
      </c>
      <c r="J1590" s="3">
        <v>20170907</v>
      </c>
      <c r="K1590">
        <v>2017</v>
      </c>
      <c r="L1590">
        <v>0.94843999999999995</v>
      </c>
      <c r="M1590">
        <v>4.4176700000000002</v>
      </c>
      <c r="N1590">
        <v>6.1650000000000003E-2</v>
      </c>
      <c r="O1590">
        <v>8.2040000000000002E-2</v>
      </c>
      <c r="P1590">
        <v>0</v>
      </c>
      <c r="Q1590">
        <v>0</v>
      </c>
      <c r="R1590">
        <v>0</v>
      </c>
      <c r="S1590">
        <v>0</v>
      </c>
      <c r="T1590">
        <v>1.469E-2</v>
      </c>
      <c r="U1590">
        <v>0.99629000000000001</v>
      </c>
      <c r="V1590">
        <v>6.5207800000000002</v>
      </c>
      <c r="W1590" t="s">
        <v>10</v>
      </c>
      <c r="X1590">
        <v>13.438000000000001</v>
      </c>
      <c r="Y1590">
        <v>155.05199999999999</v>
      </c>
      <c r="Z1590">
        <v>0.81599999999999995</v>
      </c>
      <c r="AA1590">
        <v>1.823</v>
      </c>
      <c r="AB1590">
        <v>0</v>
      </c>
      <c r="AC1590">
        <v>0</v>
      </c>
      <c r="AD1590">
        <v>0</v>
      </c>
      <c r="AE1590">
        <v>0</v>
      </c>
      <c r="AF1590">
        <v>0.158</v>
      </c>
      <c r="AG1590">
        <v>98.724999999999994</v>
      </c>
      <c r="AH1590">
        <v>270.012</v>
      </c>
      <c r="AI1590" t="s">
        <v>22</v>
      </c>
      <c r="AJ1590">
        <v>1430</v>
      </c>
      <c r="AK1590">
        <v>250</v>
      </c>
      <c r="AL1590">
        <v>330</v>
      </c>
      <c r="AM1590">
        <v>60</v>
      </c>
      <c r="AN1590">
        <v>0</v>
      </c>
      <c r="AO1590">
        <v>0</v>
      </c>
      <c r="AP1590">
        <v>0</v>
      </c>
      <c r="AQ1590">
        <v>0</v>
      </c>
      <c r="AR1590">
        <v>10</v>
      </c>
      <c r="AS1590">
        <v>60</v>
      </c>
      <c r="AT1590">
        <v>2140</v>
      </c>
      <c r="AU1590" t="s">
        <v>33</v>
      </c>
    </row>
    <row r="1591" spans="1:47" x14ac:dyDescent="0.2">
      <c r="A1591">
        <v>2192</v>
      </c>
      <c r="B1591" t="s">
        <v>792</v>
      </c>
      <c r="C1591">
        <v>110</v>
      </c>
      <c r="D1591" t="s">
        <v>395</v>
      </c>
      <c r="G1591" t="str">
        <f t="shared" si="24"/>
        <v>HLY1702110E4</v>
      </c>
      <c r="H1591">
        <v>71.912000000000006</v>
      </c>
      <c r="I1591">
        <v>-160.52116670000001</v>
      </c>
      <c r="J1591" s="3">
        <v>20170908</v>
      </c>
      <c r="K1591">
        <v>2017</v>
      </c>
      <c r="L1591">
        <v>0.83321000000000001</v>
      </c>
      <c r="M1591">
        <v>19.71162</v>
      </c>
      <c r="N1591">
        <v>3.85E-2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3.739E-2</v>
      </c>
      <c r="U1591">
        <v>2.0619999999999999E-2</v>
      </c>
      <c r="V1591">
        <v>20.64134</v>
      </c>
      <c r="W1591" t="s">
        <v>10</v>
      </c>
      <c r="X1591">
        <v>15.975</v>
      </c>
      <c r="Y1591">
        <v>521.83199999999999</v>
      </c>
      <c r="Z1591">
        <v>0.56299999999999994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0.40200000000000002</v>
      </c>
      <c r="AG1591">
        <v>0.42299999999999999</v>
      </c>
      <c r="AH1591">
        <v>539.19500000000005</v>
      </c>
      <c r="AI1591" t="s">
        <v>22</v>
      </c>
      <c r="AJ1591">
        <v>930</v>
      </c>
      <c r="AK1591">
        <v>1220</v>
      </c>
      <c r="AL1591">
        <v>90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10</v>
      </c>
      <c r="AS1591">
        <v>90</v>
      </c>
      <c r="AT1591">
        <v>2340</v>
      </c>
      <c r="AU1591" t="s">
        <v>34</v>
      </c>
    </row>
    <row r="1592" spans="1:47" x14ac:dyDescent="0.2">
      <c r="A1592">
        <v>2193</v>
      </c>
      <c r="B1592" t="s">
        <v>792</v>
      </c>
      <c r="C1592">
        <v>112</v>
      </c>
      <c r="D1592" t="s">
        <v>816</v>
      </c>
      <c r="G1592" t="str">
        <f t="shared" si="24"/>
        <v>HLY1702112E6</v>
      </c>
      <c r="H1592">
        <v>71.823499999999996</v>
      </c>
      <c r="I1592">
        <v>-159.69883329999999</v>
      </c>
      <c r="J1592" s="3">
        <v>20170908</v>
      </c>
      <c r="K1592">
        <v>2017</v>
      </c>
      <c r="L1592">
        <v>3.2366999999999999</v>
      </c>
      <c r="M1592">
        <v>25.749870000000001</v>
      </c>
      <c r="N1592">
        <v>5.0279999999999998E-2</v>
      </c>
      <c r="O1592">
        <v>2.16E-3</v>
      </c>
      <c r="P1592">
        <v>0</v>
      </c>
      <c r="Q1592">
        <v>0</v>
      </c>
      <c r="R1592">
        <v>0</v>
      </c>
      <c r="S1592">
        <v>0</v>
      </c>
      <c r="T1592">
        <v>6.0400000000000002E-3</v>
      </c>
      <c r="U1592">
        <v>3.8309999999999997E-2</v>
      </c>
      <c r="V1592">
        <v>29.083359999999999</v>
      </c>
      <c r="W1592" t="s">
        <v>10</v>
      </c>
      <c r="X1592">
        <v>51.423000000000002</v>
      </c>
      <c r="Y1592">
        <v>703.84900000000005</v>
      </c>
      <c r="Z1592">
        <v>0.69499999999999995</v>
      </c>
      <c r="AA1592">
        <v>4.8000000000000001E-2</v>
      </c>
      <c r="AB1592">
        <v>0</v>
      </c>
      <c r="AC1592">
        <v>0</v>
      </c>
      <c r="AD1592">
        <v>0</v>
      </c>
      <c r="AE1592">
        <v>0</v>
      </c>
      <c r="AF1592">
        <v>6.5000000000000002E-2</v>
      </c>
      <c r="AG1592">
        <v>0.94799999999999995</v>
      </c>
      <c r="AH1592">
        <v>757.02800000000002</v>
      </c>
      <c r="AI1592" t="s">
        <v>22</v>
      </c>
      <c r="AJ1592">
        <v>1590</v>
      </c>
      <c r="AK1592">
        <v>1650</v>
      </c>
      <c r="AL1592">
        <v>60</v>
      </c>
      <c r="AM1592">
        <v>20</v>
      </c>
      <c r="AN1592">
        <v>0</v>
      </c>
      <c r="AO1592">
        <v>0</v>
      </c>
      <c r="AP1592">
        <v>0</v>
      </c>
      <c r="AQ1592">
        <v>0</v>
      </c>
      <c r="AR1592">
        <v>10</v>
      </c>
      <c r="AS1592">
        <v>70</v>
      </c>
      <c r="AT1592">
        <v>3400</v>
      </c>
      <c r="AU1592" t="s">
        <v>34</v>
      </c>
    </row>
    <row r="1593" spans="1:47" x14ac:dyDescent="0.2">
      <c r="A1593">
        <v>2194</v>
      </c>
      <c r="B1593" t="s">
        <v>792</v>
      </c>
      <c r="C1593">
        <v>114</v>
      </c>
      <c r="D1593" t="s">
        <v>817</v>
      </c>
      <c r="G1593" t="str">
        <f t="shared" si="24"/>
        <v>HLY1702114E8</v>
      </c>
      <c r="H1593">
        <v>71.730166670000003</v>
      </c>
      <c r="I1593">
        <v>-158.8908333</v>
      </c>
      <c r="J1593" s="3">
        <v>20170908</v>
      </c>
      <c r="K1593">
        <v>2017</v>
      </c>
      <c r="L1593">
        <v>0.47915999999999997</v>
      </c>
      <c r="M1593">
        <v>5.1531700000000003</v>
      </c>
      <c r="N1593">
        <v>0.27631</v>
      </c>
      <c r="O1593">
        <v>0.80598999999999998</v>
      </c>
      <c r="P1593">
        <v>2.2000000000000001E-4</v>
      </c>
      <c r="Q1593">
        <v>0</v>
      </c>
      <c r="R1593">
        <v>0</v>
      </c>
      <c r="S1593">
        <v>0</v>
      </c>
      <c r="T1593">
        <v>0.45654</v>
      </c>
      <c r="U1593">
        <v>0.4012</v>
      </c>
      <c r="V1593">
        <v>7.5725899999999999</v>
      </c>
      <c r="W1593" t="s">
        <v>10</v>
      </c>
      <c r="X1593">
        <v>6.7729999999999997</v>
      </c>
      <c r="Y1593">
        <v>161.31899999999999</v>
      </c>
      <c r="Z1593">
        <v>3.742</v>
      </c>
      <c r="AA1593">
        <v>17.911000000000001</v>
      </c>
      <c r="AB1593">
        <v>1.6E-2</v>
      </c>
      <c r="AC1593">
        <v>0</v>
      </c>
      <c r="AD1593">
        <v>0</v>
      </c>
      <c r="AE1593">
        <v>0</v>
      </c>
      <c r="AF1593">
        <v>4.9089999999999998</v>
      </c>
      <c r="AG1593">
        <v>35.103999999999999</v>
      </c>
      <c r="AH1593">
        <v>229.774</v>
      </c>
      <c r="AI1593" t="s">
        <v>22</v>
      </c>
      <c r="AJ1593">
        <v>970</v>
      </c>
      <c r="AK1593">
        <v>1610</v>
      </c>
      <c r="AL1593">
        <v>130</v>
      </c>
      <c r="AM1593">
        <v>10</v>
      </c>
      <c r="AN1593">
        <v>20</v>
      </c>
      <c r="AO1593">
        <v>0</v>
      </c>
      <c r="AP1593">
        <v>0</v>
      </c>
      <c r="AQ1593">
        <v>0</v>
      </c>
      <c r="AR1593">
        <v>40</v>
      </c>
      <c r="AS1593">
        <v>110</v>
      </c>
      <c r="AT1593">
        <v>2890</v>
      </c>
      <c r="AU1593" t="s">
        <v>34</v>
      </c>
    </row>
    <row r="1594" spans="1:47" x14ac:dyDescent="0.2">
      <c r="A1594">
        <v>2195</v>
      </c>
      <c r="B1594" t="s">
        <v>792</v>
      </c>
      <c r="C1594">
        <v>116</v>
      </c>
      <c r="D1594" t="s">
        <v>818</v>
      </c>
      <c r="G1594" t="str">
        <f t="shared" si="24"/>
        <v>HLY1702116E10</v>
      </c>
      <c r="H1594">
        <v>71.637666670000002</v>
      </c>
      <c r="I1594">
        <v>-158.08316669999999</v>
      </c>
      <c r="J1594" s="3">
        <v>20170909</v>
      </c>
      <c r="K1594">
        <v>2017</v>
      </c>
      <c r="L1594">
        <v>2.5926300000000002</v>
      </c>
      <c r="M1594">
        <v>2.9232999999999998</v>
      </c>
      <c r="N1594">
        <v>4.1730000000000003E-2</v>
      </c>
      <c r="O1594">
        <v>12.575699999999999</v>
      </c>
      <c r="P1594">
        <v>0.88821000000000006</v>
      </c>
      <c r="Q1594">
        <v>0</v>
      </c>
      <c r="R1594">
        <v>0</v>
      </c>
      <c r="S1594">
        <v>2.9E-4</v>
      </c>
      <c r="T1594">
        <v>0</v>
      </c>
      <c r="U1594">
        <v>0.85987000000000002</v>
      </c>
      <c r="V1594">
        <v>19.881730000000001</v>
      </c>
      <c r="W1594" t="s">
        <v>12</v>
      </c>
      <c r="X1594">
        <v>44.884999999999998</v>
      </c>
      <c r="Y1594">
        <v>73.227000000000004</v>
      </c>
      <c r="Z1594">
        <v>0.57699999999999996</v>
      </c>
      <c r="AA1594">
        <v>279.45999999999998</v>
      </c>
      <c r="AB1594">
        <v>63.444000000000003</v>
      </c>
      <c r="AC1594">
        <v>0</v>
      </c>
      <c r="AD1594">
        <v>0</v>
      </c>
      <c r="AE1594">
        <v>7.0000000000000001E-3</v>
      </c>
      <c r="AF1594">
        <v>0</v>
      </c>
      <c r="AG1594">
        <v>81.626999999999995</v>
      </c>
      <c r="AH1594">
        <v>543.22699999999998</v>
      </c>
      <c r="AI1594" t="s">
        <v>24</v>
      </c>
      <c r="AJ1594">
        <v>1410</v>
      </c>
      <c r="AK1594">
        <v>590</v>
      </c>
      <c r="AL1594">
        <v>230</v>
      </c>
      <c r="AM1594">
        <v>20</v>
      </c>
      <c r="AN1594">
        <v>70</v>
      </c>
      <c r="AO1594">
        <v>0</v>
      </c>
      <c r="AP1594">
        <v>0</v>
      </c>
      <c r="AQ1594">
        <v>10</v>
      </c>
      <c r="AR1594">
        <v>0</v>
      </c>
      <c r="AS1594">
        <v>170</v>
      </c>
      <c r="AT1594">
        <v>2500</v>
      </c>
      <c r="AU1594" t="s">
        <v>33</v>
      </c>
    </row>
    <row r="1595" spans="1:47" x14ac:dyDescent="0.2">
      <c r="A1595">
        <v>2196</v>
      </c>
      <c r="B1595" t="s">
        <v>792</v>
      </c>
      <c r="C1595">
        <v>117</v>
      </c>
      <c r="D1595" t="s">
        <v>819</v>
      </c>
      <c r="G1595" t="str">
        <f t="shared" si="24"/>
        <v>HLY1702117SE1</v>
      </c>
      <c r="H1595">
        <v>71.323499999999996</v>
      </c>
      <c r="I1595">
        <v>-159.41749999999999</v>
      </c>
      <c r="J1595" s="3">
        <v>20170909</v>
      </c>
      <c r="K1595">
        <v>2017</v>
      </c>
      <c r="L1595">
        <v>10.656779999999999</v>
      </c>
      <c r="M1595">
        <v>4.5064000000000002</v>
      </c>
      <c r="N1595">
        <v>3.3963000000000001</v>
      </c>
      <c r="O1595">
        <v>5.0990000000000001E-2</v>
      </c>
      <c r="P1595">
        <v>0.91039999999999999</v>
      </c>
      <c r="Q1595">
        <v>0</v>
      </c>
      <c r="R1595">
        <v>0</v>
      </c>
      <c r="S1595">
        <v>0</v>
      </c>
      <c r="T1595">
        <v>0.20311000000000001</v>
      </c>
      <c r="U1595">
        <v>0.70367000000000002</v>
      </c>
      <c r="V1595">
        <v>20.42765</v>
      </c>
      <c r="W1595" t="s">
        <v>9</v>
      </c>
      <c r="X1595">
        <v>152.273</v>
      </c>
      <c r="Y1595">
        <v>285.93799999999999</v>
      </c>
      <c r="Z1595">
        <v>48.783999999999999</v>
      </c>
      <c r="AA1595">
        <v>1.133</v>
      </c>
      <c r="AB1595">
        <v>65.028999999999996</v>
      </c>
      <c r="AC1595">
        <v>0</v>
      </c>
      <c r="AD1595">
        <v>0</v>
      </c>
      <c r="AE1595">
        <v>0</v>
      </c>
      <c r="AF1595">
        <v>2.1840000000000002</v>
      </c>
      <c r="AG1595">
        <v>39.814</v>
      </c>
      <c r="AH1595">
        <v>595.15499999999997</v>
      </c>
      <c r="AI1595" t="s">
        <v>22</v>
      </c>
      <c r="AJ1595">
        <v>12120</v>
      </c>
      <c r="AK1595">
        <v>260</v>
      </c>
      <c r="AL1595">
        <v>3690</v>
      </c>
      <c r="AM1595">
        <v>60</v>
      </c>
      <c r="AN1595">
        <v>170</v>
      </c>
      <c r="AO1595">
        <v>0</v>
      </c>
      <c r="AP1595">
        <v>0</v>
      </c>
      <c r="AQ1595">
        <v>0</v>
      </c>
      <c r="AR1595">
        <v>50</v>
      </c>
      <c r="AS1595">
        <v>70</v>
      </c>
      <c r="AT1595">
        <v>16420</v>
      </c>
      <c r="AU1595" t="s">
        <v>33</v>
      </c>
    </row>
    <row r="1596" spans="1:47" x14ac:dyDescent="0.2">
      <c r="A1596">
        <v>2197</v>
      </c>
      <c r="B1596" t="s">
        <v>792</v>
      </c>
      <c r="C1596">
        <v>119</v>
      </c>
      <c r="D1596" t="s">
        <v>820</v>
      </c>
      <c r="G1596" t="str">
        <f t="shared" si="24"/>
        <v>HLY1702119SE3</v>
      </c>
      <c r="H1596">
        <v>71.485500000000002</v>
      </c>
      <c r="I1596">
        <v>-160.09549999999999</v>
      </c>
      <c r="J1596" s="3">
        <v>20170909</v>
      </c>
      <c r="K1596">
        <v>2017</v>
      </c>
      <c r="L1596">
        <v>2.93432</v>
      </c>
      <c r="M1596">
        <v>9.4330499999999997</v>
      </c>
      <c r="N1596">
        <v>0.11236</v>
      </c>
      <c r="O1596">
        <v>1.59206</v>
      </c>
      <c r="P1596">
        <v>0.23918</v>
      </c>
      <c r="Q1596">
        <v>0</v>
      </c>
      <c r="R1596">
        <v>5.8009999999999999E-2</v>
      </c>
      <c r="S1596">
        <v>0</v>
      </c>
      <c r="T1596">
        <v>1.12121</v>
      </c>
      <c r="U1596">
        <v>4.9910000000000003E-2</v>
      </c>
      <c r="V1596">
        <v>15.540100000000001</v>
      </c>
      <c r="W1596" t="s">
        <v>10</v>
      </c>
      <c r="X1596">
        <v>42.585999999999999</v>
      </c>
      <c r="Y1596">
        <v>253.381</v>
      </c>
      <c r="Z1596">
        <v>1.421</v>
      </c>
      <c r="AA1596">
        <v>35.378999999999998</v>
      </c>
      <c r="AB1596">
        <v>17.084</v>
      </c>
      <c r="AC1596">
        <v>0</v>
      </c>
      <c r="AD1596">
        <v>0.95099999999999996</v>
      </c>
      <c r="AE1596">
        <v>0</v>
      </c>
      <c r="AF1596">
        <v>12.055999999999999</v>
      </c>
      <c r="AG1596">
        <v>1.431</v>
      </c>
      <c r="AH1596">
        <v>364.28899999999999</v>
      </c>
      <c r="AI1596" t="s">
        <v>22</v>
      </c>
      <c r="AJ1596">
        <v>2312.5</v>
      </c>
      <c r="AK1596">
        <v>2000</v>
      </c>
      <c r="AL1596">
        <v>95</v>
      </c>
      <c r="AM1596">
        <v>5</v>
      </c>
      <c r="AN1596">
        <v>20</v>
      </c>
      <c r="AO1596">
        <v>0</v>
      </c>
      <c r="AP1596">
        <v>15</v>
      </c>
      <c r="AQ1596">
        <v>0</v>
      </c>
      <c r="AR1596">
        <v>20</v>
      </c>
      <c r="AS1596">
        <v>120</v>
      </c>
      <c r="AT1596">
        <v>4587.5</v>
      </c>
      <c r="AU1596" t="s">
        <v>33</v>
      </c>
    </row>
    <row r="1597" spans="1:47" x14ac:dyDescent="0.2">
      <c r="A1597">
        <v>2198</v>
      </c>
      <c r="B1597" t="s">
        <v>792</v>
      </c>
      <c r="C1597">
        <v>121</v>
      </c>
      <c r="D1597" t="s">
        <v>821</v>
      </c>
      <c r="G1597" t="str">
        <f t="shared" si="24"/>
        <v>HLY1702121SE5</v>
      </c>
      <c r="H1597">
        <v>71.641333329999995</v>
      </c>
      <c r="I1597">
        <v>-160.792</v>
      </c>
      <c r="J1597" s="3">
        <v>20170909</v>
      </c>
      <c r="K1597">
        <v>2017</v>
      </c>
      <c r="L1597">
        <v>3.0296699999999999</v>
      </c>
      <c r="M1597">
        <v>23.268409999999999</v>
      </c>
      <c r="N1597">
        <v>9.7559999999999994E-2</v>
      </c>
      <c r="O1597">
        <v>2.8799999999999999E-2</v>
      </c>
      <c r="P1597">
        <v>9.7500000000000003E-2</v>
      </c>
      <c r="Q1597">
        <v>0</v>
      </c>
      <c r="R1597">
        <v>0</v>
      </c>
      <c r="S1597">
        <v>1.847E-2</v>
      </c>
      <c r="T1597">
        <v>1.423E-2</v>
      </c>
      <c r="U1597">
        <v>0.52225999999999995</v>
      </c>
      <c r="V1597">
        <v>27.076899999999998</v>
      </c>
      <c r="W1597" t="s">
        <v>10</v>
      </c>
      <c r="X1597">
        <v>55.258000000000003</v>
      </c>
      <c r="Y1597">
        <v>828.52300000000002</v>
      </c>
      <c r="Z1597">
        <v>1.429</v>
      </c>
      <c r="AA1597">
        <v>0.64</v>
      </c>
      <c r="AB1597">
        <v>6.9640000000000004</v>
      </c>
      <c r="AC1597">
        <v>0</v>
      </c>
      <c r="AD1597">
        <v>0</v>
      </c>
      <c r="AE1597">
        <v>1.319</v>
      </c>
      <c r="AF1597">
        <v>0.153</v>
      </c>
      <c r="AG1597">
        <v>11.369</v>
      </c>
      <c r="AH1597">
        <v>905.65499999999997</v>
      </c>
      <c r="AI1597" t="s">
        <v>22</v>
      </c>
      <c r="AJ1597">
        <v>2297.5</v>
      </c>
      <c r="AK1597">
        <v>1422.5</v>
      </c>
      <c r="AL1597">
        <v>77.5</v>
      </c>
      <c r="AM1597">
        <v>5</v>
      </c>
      <c r="AN1597">
        <v>7.5</v>
      </c>
      <c r="AO1597">
        <v>0</v>
      </c>
      <c r="AP1597">
        <v>0</v>
      </c>
      <c r="AQ1597">
        <v>2.5</v>
      </c>
      <c r="AR1597">
        <v>32.5</v>
      </c>
      <c r="AS1597">
        <v>170</v>
      </c>
      <c r="AT1597">
        <v>4015</v>
      </c>
      <c r="AU1597" t="s">
        <v>33</v>
      </c>
    </row>
    <row r="1598" spans="1:47" x14ac:dyDescent="0.2">
      <c r="A1598">
        <v>2199</v>
      </c>
      <c r="B1598" t="s">
        <v>792</v>
      </c>
      <c r="C1598">
        <v>123</v>
      </c>
      <c r="D1598" s="4" t="s">
        <v>824</v>
      </c>
      <c r="E1598" s="4" t="s">
        <v>824</v>
      </c>
      <c r="F1598" s="4" t="s">
        <v>822</v>
      </c>
      <c r="G1598" t="str">
        <f t="shared" si="24"/>
        <v>HLY1702123DBO4.6N</v>
      </c>
      <c r="H1598">
        <v>71.774000000000001</v>
      </c>
      <c r="I1598">
        <v>-161.59933330000001</v>
      </c>
      <c r="J1598" s="3">
        <v>20170909</v>
      </c>
      <c r="K1598">
        <v>2017</v>
      </c>
      <c r="L1598">
        <v>2.0548999999999999</v>
      </c>
      <c r="M1598">
        <v>11.29715</v>
      </c>
      <c r="N1598">
        <v>0.18937000000000001</v>
      </c>
      <c r="O1598">
        <v>7.2000000000000005E-4</v>
      </c>
      <c r="P1598">
        <v>0.21778</v>
      </c>
      <c r="Q1598">
        <v>0</v>
      </c>
      <c r="R1598">
        <v>0</v>
      </c>
      <c r="S1598">
        <v>0</v>
      </c>
      <c r="T1598">
        <v>1.9499999999999999E-3</v>
      </c>
      <c r="U1598">
        <v>0.11716</v>
      </c>
      <c r="V1598">
        <v>13.87903</v>
      </c>
      <c r="W1598" t="s">
        <v>10</v>
      </c>
      <c r="X1598">
        <v>37.244</v>
      </c>
      <c r="Y1598">
        <v>320.92200000000003</v>
      </c>
      <c r="Z1598">
        <v>2.6589999999999998</v>
      </c>
      <c r="AA1598">
        <v>1.6E-2</v>
      </c>
      <c r="AB1598">
        <v>15.555999999999999</v>
      </c>
      <c r="AC1598">
        <v>0</v>
      </c>
      <c r="AD1598">
        <v>0</v>
      </c>
      <c r="AE1598">
        <v>0</v>
      </c>
      <c r="AF1598">
        <v>2.1000000000000001E-2</v>
      </c>
      <c r="AG1598">
        <v>4.3330000000000002</v>
      </c>
      <c r="AH1598">
        <v>380.75099999999998</v>
      </c>
      <c r="AI1598" t="s">
        <v>22</v>
      </c>
      <c r="AJ1598">
        <v>1457.5</v>
      </c>
      <c r="AK1598">
        <v>882.5</v>
      </c>
      <c r="AL1598">
        <v>107.5</v>
      </c>
      <c r="AM1598">
        <v>2.5</v>
      </c>
      <c r="AN1598">
        <v>5</v>
      </c>
      <c r="AO1598">
        <v>0</v>
      </c>
      <c r="AP1598">
        <v>0</v>
      </c>
      <c r="AQ1598">
        <v>0</v>
      </c>
      <c r="AR1598">
        <v>12.5</v>
      </c>
      <c r="AS1598">
        <v>35</v>
      </c>
      <c r="AT1598">
        <v>2502.5</v>
      </c>
      <c r="AU1598" t="s">
        <v>33</v>
      </c>
    </row>
    <row r="1599" spans="1:47" x14ac:dyDescent="0.2">
      <c r="A1599">
        <v>2200</v>
      </c>
      <c r="B1599" t="s">
        <v>792</v>
      </c>
      <c r="C1599">
        <v>125</v>
      </c>
      <c r="D1599" t="s">
        <v>823</v>
      </c>
      <c r="G1599" t="str">
        <f t="shared" si="24"/>
        <v>HLY1702125SE9</v>
      </c>
      <c r="H1599">
        <v>71.969666669999995</v>
      </c>
      <c r="I1599">
        <v>-162.09</v>
      </c>
      <c r="J1599" s="3">
        <v>20170909</v>
      </c>
      <c r="K1599">
        <v>2017</v>
      </c>
      <c r="L1599">
        <v>1.3620399999999999</v>
      </c>
      <c r="M1599">
        <v>3.0742500000000001</v>
      </c>
      <c r="N1599">
        <v>1.56345</v>
      </c>
      <c r="O1599">
        <v>0</v>
      </c>
      <c r="P1599">
        <v>0.33789999999999998</v>
      </c>
      <c r="Q1599">
        <v>0</v>
      </c>
      <c r="R1599">
        <v>1.64236</v>
      </c>
      <c r="S1599">
        <v>2.5559999999999999E-2</v>
      </c>
      <c r="T1599">
        <v>1.823E-2</v>
      </c>
      <c r="U1599">
        <v>3.0394999999999999</v>
      </c>
      <c r="V1599">
        <v>11.06329</v>
      </c>
      <c r="W1599" t="s">
        <v>10</v>
      </c>
      <c r="X1599">
        <v>21.605</v>
      </c>
      <c r="Y1599">
        <v>126.89700000000001</v>
      </c>
      <c r="Z1599">
        <v>22.690999999999999</v>
      </c>
      <c r="AA1599">
        <v>0</v>
      </c>
      <c r="AB1599">
        <v>24.135999999999999</v>
      </c>
      <c r="AC1599">
        <v>0</v>
      </c>
      <c r="AD1599">
        <v>26.923999999999999</v>
      </c>
      <c r="AE1599">
        <v>1.8260000000000001</v>
      </c>
      <c r="AF1599">
        <v>0.19600000000000001</v>
      </c>
      <c r="AG1599">
        <v>144.209</v>
      </c>
      <c r="AH1599">
        <v>368.48399999999998</v>
      </c>
      <c r="AI1599" t="s">
        <v>30</v>
      </c>
      <c r="AJ1599">
        <v>1490</v>
      </c>
      <c r="AK1599">
        <v>940</v>
      </c>
      <c r="AL1599">
        <v>4060</v>
      </c>
      <c r="AM1599">
        <v>0</v>
      </c>
      <c r="AN1599">
        <v>130</v>
      </c>
      <c r="AO1599">
        <v>0</v>
      </c>
      <c r="AP1599">
        <v>90</v>
      </c>
      <c r="AQ1599">
        <v>10</v>
      </c>
      <c r="AR1599">
        <v>40</v>
      </c>
      <c r="AS1599">
        <v>310</v>
      </c>
      <c r="AT1599">
        <v>7070</v>
      </c>
      <c r="AU1599" t="s">
        <v>35</v>
      </c>
    </row>
    <row r="1600" spans="1:47" x14ac:dyDescent="0.2">
      <c r="A1600">
        <v>2201</v>
      </c>
      <c r="B1600" t="s">
        <v>792</v>
      </c>
      <c r="C1600">
        <v>126</v>
      </c>
      <c r="D1600" s="7" t="s">
        <v>825</v>
      </c>
      <c r="E1600" s="3" t="s">
        <v>944</v>
      </c>
      <c r="F1600" s="4" t="s">
        <v>825</v>
      </c>
      <c r="G1600" t="str">
        <f t="shared" si="24"/>
        <v>HLY1702126DBO4.5N</v>
      </c>
      <c r="H1600">
        <v>71.609499999999997</v>
      </c>
      <c r="I1600">
        <v>-161.62766669999999</v>
      </c>
      <c r="J1600" s="3">
        <v>20170909</v>
      </c>
      <c r="K1600">
        <v>2017</v>
      </c>
      <c r="L1600">
        <v>3.2698</v>
      </c>
      <c r="M1600">
        <v>12.897</v>
      </c>
      <c r="N1600">
        <v>8.7980000000000003E-2</v>
      </c>
      <c r="O1600">
        <v>1.1524099999999999</v>
      </c>
      <c r="P1600">
        <v>0.60255999999999998</v>
      </c>
      <c r="Q1600">
        <v>0</v>
      </c>
      <c r="R1600">
        <v>0</v>
      </c>
      <c r="S1600">
        <v>0.10476000000000001</v>
      </c>
      <c r="T1600">
        <v>0.94637000000000004</v>
      </c>
      <c r="U1600">
        <v>9.6790000000000001E-2</v>
      </c>
      <c r="V1600">
        <v>19.15767</v>
      </c>
      <c r="W1600" t="s">
        <v>10</v>
      </c>
      <c r="X1600">
        <v>56.268999999999998</v>
      </c>
      <c r="Y1600">
        <v>362.97</v>
      </c>
      <c r="Z1600">
        <v>1.2509999999999999</v>
      </c>
      <c r="AA1600">
        <v>25.609000000000002</v>
      </c>
      <c r="AB1600">
        <v>43.04</v>
      </c>
      <c r="AC1600">
        <v>0</v>
      </c>
      <c r="AD1600">
        <v>0</v>
      </c>
      <c r="AE1600">
        <v>7.4829999999999997</v>
      </c>
      <c r="AF1600">
        <v>10.176</v>
      </c>
      <c r="AG1600">
        <v>2.073</v>
      </c>
      <c r="AH1600">
        <v>508.87099999999998</v>
      </c>
      <c r="AI1600" t="s">
        <v>22</v>
      </c>
      <c r="AJ1600">
        <v>2527.5</v>
      </c>
      <c r="AK1600">
        <v>1482.5</v>
      </c>
      <c r="AL1600">
        <v>190</v>
      </c>
      <c r="AM1600">
        <v>7.5</v>
      </c>
      <c r="AN1600">
        <v>42.5</v>
      </c>
      <c r="AO1600">
        <v>0</v>
      </c>
      <c r="AP1600">
        <v>0</v>
      </c>
      <c r="AQ1600">
        <v>5</v>
      </c>
      <c r="AR1600">
        <v>50</v>
      </c>
      <c r="AS1600">
        <v>95</v>
      </c>
      <c r="AT1600">
        <v>4400</v>
      </c>
      <c r="AU1600" t="s">
        <v>33</v>
      </c>
    </row>
    <row r="1601" spans="1:47" x14ac:dyDescent="0.2">
      <c r="A1601">
        <v>2202</v>
      </c>
      <c r="B1601" t="s">
        <v>792</v>
      </c>
      <c r="C1601">
        <v>128</v>
      </c>
      <c r="D1601" s="7" t="s">
        <v>826</v>
      </c>
      <c r="E1601" s="3" t="s">
        <v>945</v>
      </c>
      <c r="F1601" s="4" t="s">
        <v>826</v>
      </c>
      <c r="G1601" t="str">
        <f t="shared" si="24"/>
        <v>HLY1702128DBO4.4N</v>
      </c>
      <c r="H1601">
        <v>71.479166669999998</v>
      </c>
      <c r="I1601">
        <v>-161.51616670000001</v>
      </c>
      <c r="J1601" s="3">
        <v>20170910</v>
      </c>
      <c r="K1601">
        <v>2017</v>
      </c>
      <c r="L1601">
        <v>6.1638700000000002</v>
      </c>
      <c r="M1601">
        <v>13.665889999999999</v>
      </c>
      <c r="N1601">
        <v>0.30370999999999998</v>
      </c>
      <c r="O1601">
        <v>4.5990000000000003E-2</v>
      </c>
      <c r="P1601">
        <v>0.41835</v>
      </c>
      <c r="Q1601">
        <v>0</v>
      </c>
      <c r="R1601">
        <v>0</v>
      </c>
      <c r="S1601">
        <v>3.0089999999999999E-2</v>
      </c>
      <c r="T1601">
        <v>1.22462</v>
      </c>
      <c r="U1601">
        <v>0.46190999999999999</v>
      </c>
      <c r="V1601">
        <v>22.314430000000002</v>
      </c>
      <c r="W1601" t="s">
        <v>10</v>
      </c>
      <c r="X1601">
        <v>92.971999999999994</v>
      </c>
      <c r="Y1601">
        <v>382.96699999999998</v>
      </c>
      <c r="Z1601">
        <v>4.3239999999999998</v>
      </c>
      <c r="AA1601">
        <v>1.022</v>
      </c>
      <c r="AB1601">
        <v>29.882000000000001</v>
      </c>
      <c r="AC1601">
        <v>0</v>
      </c>
      <c r="AD1601">
        <v>0</v>
      </c>
      <c r="AE1601">
        <v>2.149</v>
      </c>
      <c r="AF1601">
        <v>13.167999999999999</v>
      </c>
      <c r="AG1601">
        <v>19.486000000000001</v>
      </c>
      <c r="AH1601">
        <v>545.97</v>
      </c>
      <c r="AI1601" t="s">
        <v>22</v>
      </c>
      <c r="AJ1601">
        <v>6382.5</v>
      </c>
      <c r="AK1601">
        <v>2467.5</v>
      </c>
      <c r="AL1601">
        <v>490</v>
      </c>
      <c r="AM1601">
        <v>5</v>
      </c>
      <c r="AN1601">
        <v>27.5</v>
      </c>
      <c r="AO1601">
        <v>0</v>
      </c>
      <c r="AP1601">
        <v>0</v>
      </c>
      <c r="AQ1601">
        <v>5</v>
      </c>
      <c r="AR1601">
        <v>67.5</v>
      </c>
      <c r="AS1601">
        <v>300</v>
      </c>
      <c r="AT1601">
        <v>9745</v>
      </c>
      <c r="AU1601" t="s">
        <v>33</v>
      </c>
    </row>
    <row r="1602" spans="1:47" x14ac:dyDescent="0.2">
      <c r="A1602">
        <v>2203</v>
      </c>
      <c r="B1602" t="s">
        <v>792</v>
      </c>
      <c r="C1602">
        <v>129</v>
      </c>
      <c r="D1602" s="7" t="s">
        <v>827</v>
      </c>
      <c r="E1602" s="3" t="s">
        <v>946</v>
      </c>
      <c r="F1602" s="4" t="s">
        <v>827</v>
      </c>
      <c r="G1602" t="str">
        <f t="shared" si="24"/>
        <v>HLY1702129DBO4.3N</v>
      </c>
      <c r="H1602">
        <v>71.348500000000001</v>
      </c>
      <c r="I1602">
        <v>-161.4088333</v>
      </c>
      <c r="J1602" s="3">
        <v>20170910</v>
      </c>
      <c r="K1602">
        <v>2017</v>
      </c>
      <c r="L1602">
        <v>2.44156</v>
      </c>
      <c r="M1602">
        <v>17.84177</v>
      </c>
      <c r="N1602">
        <v>0.45294000000000001</v>
      </c>
      <c r="O1602">
        <v>7.8079999999999997E-2</v>
      </c>
      <c r="P1602">
        <v>0.29493999999999998</v>
      </c>
      <c r="Q1602">
        <v>0</v>
      </c>
      <c r="R1602">
        <v>0</v>
      </c>
      <c r="S1602">
        <v>1E-4</v>
      </c>
      <c r="T1602">
        <v>0.13355</v>
      </c>
      <c r="U1602">
        <v>8.8289999999999993E-2</v>
      </c>
      <c r="V1602">
        <v>21.331230000000001</v>
      </c>
      <c r="W1602" t="s">
        <v>10</v>
      </c>
      <c r="X1602">
        <v>36.658000000000001</v>
      </c>
      <c r="Y1602">
        <v>504.81400000000002</v>
      </c>
      <c r="Z1602">
        <v>6.5519999999999996</v>
      </c>
      <c r="AA1602">
        <v>1.7350000000000001</v>
      </c>
      <c r="AB1602">
        <v>21.067</v>
      </c>
      <c r="AC1602">
        <v>0</v>
      </c>
      <c r="AD1602">
        <v>0</v>
      </c>
      <c r="AE1602">
        <v>7.0000000000000001E-3</v>
      </c>
      <c r="AF1602">
        <v>1.4359999999999999</v>
      </c>
      <c r="AG1602">
        <v>2.5619999999999998</v>
      </c>
      <c r="AH1602">
        <v>574.83100000000002</v>
      </c>
      <c r="AI1602" t="s">
        <v>22</v>
      </c>
      <c r="AJ1602">
        <v>3000</v>
      </c>
      <c r="AK1602">
        <v>2377.5</v>
      </c>
      <c r="AL1602">
        <v>400</v>
      </c>
      <c r="AM1602">
        <v>10</v>
      </c>
      <c r="AN1602">
        <v>20</v>
      </c>
      <c r="AO1602">
        <v>0</v>
      </c>
      <c r="AP1602">
        <v>0</v>
      </c>
      <c r="AQ1602">
        <v>2.5</v>
      </c>
      <c r="AR1602">
        <v>27.5</v>
      </c>
      <c r="AS1602">
        <v>297.5</v>
      </c>
      <c r="AT1602">
        <v>6135</v>
      </c>
      <c r="AU1602" t="s">
        <v>33</v>
      </c>
    </row>
    <row r="1603" spans="1:47" x14ac:dyDescent="0.2">
      <c r="A1603">
        <v>2204</v>
      </c>
      <c r="B1603" t="s">
        <v>792</v>
      </c>
      <c r="C1603">
        <v>130</v>
      </c>
      <c r="D1603" s="7" t="s">
        <v>828</v>
      </c>
      <c r="E1603" s="3" t="s">
        <v>947</v>
      </c>
      <c r="F1603" s="4" t="s">
        <v>828</v>
      </c>
      <c r="G1603" t="str">
        <f t="shared" ref="G1603:G1666" si="25">CONCATENATE(B1603,C1603,D1603)</f>
        <v>HLY1702130DBO4.2N</v>
      </c>
      <c r="H1603">
        <v>71.221166670000002</v>
      </c>
      <c r="I1603">
        <v>-161.2968333</v>
      </c>
      <c r="J1603" s="3">
        <v>20170910</v>
      </c>
      <c r="K1603">
        <v>2017</v>
      </c>
      <c r="L1603">
        <v>8.9303100000000004</v>
      </c>
      <c r="M1603">
        <v>8.2174700000000005</v>
      </c>
      <c r="N1603">
        <v>8.4531700000000001</v>
      </c>
      <c r="O1603">
        <v>9.5255100000000006</v>
      </c>
      <c r="P1603">
        <v>1.0188200000000001</v>
      </c>
      <c r="Q1603">
        <v>0</v>
      </c>
      <c r="R1603">
        <v>0</v>
      </c>
      <c r="S1603">
        <v>4.095E-2</v>
      </c>
      <c r="T1603">
        <v>0.1953</v>
      </c>
      <c r="U1603">
        <v>0.29276000000000002</v>
      </c>
      <c r="V1603">
        <v>36.674289999999999</v>
      </c>
      <c r="W1603" t="s">
        <v>12</v>
      </c>
      <c r="X1603">
        <v>127.834</v>
      </c>
      <c r="Y1603">
        <v>295.07799999999997</v>
      </c>
      <c r="Z1603">
        <v>121.94199999999999</v>
      </c>
      <c r="AA1603">
        <v>211.678</v>
      </c>
      <c r="AB1603">
        <v>72.772999999999996</v>
      </c>
      <c r="AC1603">
        <v>0</v>
      </c>
      <c r="AD1603">
        <v>0</v>
      </c>
      <c r="AE1603">
        <v>2.9249999999999998</v>
      </c>
      <c r="AF1603">
        <v>2.1</v>
      </c>
      <c r="AG1603">
        <v>12.893000000000001</v>
      </c>
      <c r="AH1603">
        <v>847.22299999999996</v>
      </c>
      <c r="AI1603" t="s">
        <v>22</v>
      </c>
      <c r="AJ1603">
        <v>6203.3329999999996</v>
      </c>
      <c r="AK1603">
        <v>1676.6669999999999</v>
      </c>
      <c r="AL1603">
        <v>7319.9989999999998</v>
      </c>
      <c r="AM1603">
        <v>90</v>
      </c>
      <c r="AN1603">
        <v>173.333</v>
      </c>
      <c r="AO1603">
        <v>0</v>
      </c>
      <c r="AP1603">
        <v>0</v>
      </c>
      <c r="AQ1603">
        <v>3.3330000000000002</v>
      </c>
      <c r="AR1603">
        <v>16.667000000000002</v>
      </c>
      <c r="AS1603">
        <v>103.333</v>
      </c>
      <c r="AT1603">
        <v>15586.665000000001</v>
      </c>
      <c r="AU1603" t="s">
        <v>35</v>
      </c>
    </row>
    <row r="1604" spans="1:47" x14ac:dyDescent="0.2">
      <c r="A1604">
        <v>2205</v>
      </c>
      <c r="B1604" t="s">
        <v>792</v>
      </c>
      <c r="C1604">
        <v>131</v>
      </c>
      <c r="D1604" s="7" t="s">
        <v>829</v>
      </c>
      <c r="E1604" s="3" t="s">
        <v>948</v>
      </c>
      <c r="F1604" s="4" t="s">
        <v>829</v>
      </c>
      <c r="G1604" t="str">
        <f t="shared" si="25"/>
        <v>HLY1702131DBO4.1N</v>
      </c>
      <c r="H1604">
        <v>71.088499999999996</v>
      </c>
      <c r="I1604">
        <v>-161.1985</v>
      </c>
      <c r="J1604" s="3">
        <v>20170910</v>
      </c>
      <c r="K1604">
        <v>2017</v>
      </c>
      <c r="L1604">
        <v>7.8454199999999998</v>
      </c>
      <c r="M1604">
        <v>4.7207699999999999</v>
      </c>
      <c r="N1604">
        <v>2.4543900000000001</v>
      </c>
      <c r="O1604">
        <v>1.35131</v>
      </c>
      <c r="P1604">
        <v>1.37151</v>
      </c>
      <c r="Q1604">
        <v>0</v>
      </c>
      <c r="R1604">
        <v>0.22825999999999999</v>
      </c>
      <c r="S1604">
        <v>0</v>
      </c>
      <c r="T1604">
        <v>0.52954000000000001</v>
      </c>
      <c r="U1604">
        <v>0.23254</v>
      </c>
      <c r="V1604">
        <v>18.733740000000001</v>
      </c>
      <c r="W1604" t="s">
        <v>9</v>
      </c>
      <c r="X1604">
        <v>112.274</v>
      </c>
      <c r="Y1604">
        <v>209.53200000000001</v>
      </c>
      <c r="Z1604">
        <v>35.11</v>
      </c>
      <c r="AA1604">
        <v>30.029</v>
      </c>
      <c r="AB1604">
        <v>97.965000000000003</v>
      </c>
      <c r="AC1604">
        <v>0</v>
      </c>
      <c r="AD1604">
        <v>3.742</v>
      </c>
      <c r="AE1604">
        <v>0</v>
      </c>
      <c r="AF1604">
        <v>5.694</v>
      </c>
      <c r="AG1604">
        <v>12.455</v>
      </c>
      <c r="AH1604">
        <v>506.80099999999999</v>
      </c>
      <c r="AI1604" t="s">
        <v>22</v>
      </c>
      <c r="AJ1604">
        <v>2697.5</v>
      </c>
      <c r="AK1604">
        <v>782.5</v>
      </c>
      <c r="AL1604">
        <v>29467.5</v>
      </c>
      <c r="AM1604">
        <v>42.5</v>
      </c>
      <c r="AN1604">
        <v>262.5</v>
      </c>
      <c r="AO1604">
        <v>0</v>
      </c>
      <c r="AP1604">
        <v>20</v>
      </c>
      <c r="AQ1604">
        <v>0</v>
      </c>
      <c r="AR1604">
        <v>37.5</v>
      </c>
      <c r="AS1604">
        <v>112.5</v>
      </c>
      <c r="AT1604">
        <v>33422.5</v>
      </c>
      <c r="AU1604" t="s">
        <v>35</v>
      </c>
    </row>
    <row r="1605" spans="1:47" x14ac:dyDescent="0.2">
      <c r="A1605">
        <v>2207</v>
      </c>
      <c r="B1605" t="s">
        <v>792</v>
      </c>
      <c r="C1605">
        <v>134</v>
      </c>
      <c r="D1605" t="s">
        <v>555</v>
      </c>
      <c r="G1605" t="str">
        <f t="shared" si="25"/>
        <v>HLY1702134SLIP4</v>
      </c>
      <c r="H1605">
        <v>63.024333329999997</v>
      </c>
      <c r="I1605">
        <v>-173.46199999999999</v>
      </c>
      <c r="J1605" s="3">
        <v>20170912</v>
      </c>
      <c r="K1605">
        <v>2017</v>
      </c>
      <c r="L1605">
        <v>1.0783799999999999</v>
      </c>
      <c r="M1605">
        <v>3.6943299999999999</v>
      </c>
      <c r="N1605">
        <v>0.22875000000000001</v>
      </c>
      <c r="O1605">
        <v>0</v>
      </c>
      <c r="P1605">
        <v>0.21906</v>
      </c>
      <c r="Q1605">
        <v>0</v>
      </c>
      <c r="R1605">
        <v>0</v>
      </c>
      <c r="S1605">
        <v>0</v>
      </c>
      <c r="T1605">
        <v>1.0957300000000001</v>
      </c>
      <c r="U1605">
        <v>4.6780000000000002E-2</v>
      </c>
      <c r="V1605">
        <v>6.3630300000000002</v>
      </c>
      <c r="W1605" t="s">
        <v>10</v>
      </c>
      <c r="X1605">
        <v>20.568999999999999</v>
      </c>
      <c r="Y1605">
        <v>131.976</v>
      </c>
      <c r="Z1605">
        <v>2.552</v>
      </c>
      <c r="AA1605">
        <v>0</v>
      </c>
      <c r="AB1605">
        <v>15.647</v>
      </c>
      <c r="AC1605">
        <v>0</v>
      </c>
      <c r="AD1605">
        <v>0</v>
      </c>
      <c r="AE1605">
        <v>0</v>
      </c>
      <c r="AF1605">
        <v>11.782</v>
      </c>
      <c r="AG1605">
        <v>0.995</v>
      </c>
      <c r="AH1605">
        <v>183.52099999999999</v>
      </c>
      <c r="AI1605" t="s">
        <v>22</v>
      </c>
      <c r="AJ1605">
        <v>1350</v>
      </c>
      <c r="AK1605">
        <v>580</v>
      </c>
      <c r="AL1605">
        <v>140</v>
      </c>
      <c r="AM1605">
        <v>0</v>
      </c>
      <c r="AN1605">
        <v>20</v>
      </c>
      <c r="AO1605">
        <v>0</v>
      </c>
      <c r="AP1605">
        <v>0</v>
      </c>
      <c r="AQ1605">
        <v>0</v>
      </c>
      <c r="AR1605">
        <v>20</v>
      </c>
      <c r="AS1605">
        <v>160</v>
      </c>
      <c r="AT1605">
        <v>2270</v>
      </c>
      <c r="AU1605" t="s">
        <v>33</v>
      </c>
    </row>
    <row r="1606" spans="1:47" x14ac:dyDescent="0.2">
      <c r="A1606">
        <v>2208</v>
      </c>
      <c r="B1606" t="s">
        <v>792</v>
      </c>
      <c r="C1606">
        <v>136</v>
      </c>
      <c r="D1606" t="s">
        <v>554</v>
      </c>
      <c r="G1606" t="str">
        <f t="shared" si="25"/>
        <v>HLY1702136SLIP5</v>
      </c>
      <c r="H1606">
        <v>62.557666670000003</v>
      </c>
      <c r="I1606">
        <v>-173.55116670000001</v>
      </c>
      <c r="J1606" s="3">
        <v>20170913</v>
      </c>
      <c r="K1606">
        <v>2017</v>
      </c>
      <c r="L1606">
        <v>2.8128500000000001</v>
      </c>
      <c r="M1606">
        <v>8.1366399999999999</v>
      </c>
      <c r="N1606">
        <v>2.79535</v>
      </c>
      <c r="O1606">
        <v>0</v>
      </c>
      <c r="P1606">
        <v>3.5E-4</v>
      </c>
      <c r="Q1606">
        <v>0</v>
      </c>
      <c r="R1606">
        <v>0</v>
      </c>
      <c r="S1606">
        <v>0</v>
      </c>
      <c r="T1606">
        <v>4.3709999999999999E-2</v>
      </c>
      <c r="U1606">
        <v>0.15498999999999999</v>
      </c>
      <c r="V1606">
        <v>13.94389</v>
      </c>
      <c r="W1606" t="s">
        <v>10</v>
      </c>
      <c r="X1606">
        <v>46.823999999999998</v>
      </c>
      <c r="Y1606">
        <v>212.113</v>
      </c>
      <c r="Z1606">
        <v>30.805</v>
      </c>
      <c r="AA1606">
        <v>0</v>
      </c>
      <c r="AB1606">
        <v>2.5000000000000001E-2</v>
      </c>
      <c r="AC1606">
        <v>0</v>
      </c>
      <c r="AD1606">
        <v>0</v>
      </c>
      <c r="AE1606">
        <v>0</v>
      </c>
      <c r="AF1606">
        <v>0.47</v>
      </c>
      <c r="AG1606">
        <v>3.4239999999999999</v>
      </c>
      <c r="AH1606">
        <v>293.661</v>
      </c>
      <c r="AI1606" t="s">
        <v>22</v>
      </c>
      <c r="AJ1606">
        <v>1450</v>
      </c>
      <c r="AK1606">
        <v>640</v>
      </c>
      <c r="AL1606">
        <v>1270</v>
      </c>
      <c r="AM1606">
        <v>0</v>
      </c>
      <c r="AN1606">
        <v>10</v>
      </c>
      <c r="AO1606">
        <v>0</v>
      </c>
      <c r="AP1606">
        <v>0</v>
      </c>
      <c r="AQ1606">
        <v>0</v>
      </c>
      <c r="AR1606">
        <v>10</v>
      </c>
      <c r="AS1606">
        <v>70</v>
      </c>
      <c r="AT1606">
        <v>3450</v>
      </c>
      <c r="AU1606" t="s">
        <v>33</v>
      </c>
    </row>
    <row r="1607" spans="1:47" x14ac:dyDescent="0.2">
      <c r="A1607">
        <v>2209</v>
      </c>
      <c r="B1607" t="s">
        <v>792</v>
      </c>
      <c r="C1607">
        <v>138</v>
      </c>
      <c r="D1607" t="s">
        <v>553</v>
      </c>
      <c r="G1607" t="str">
        <f t="shared" si="25"/>
        <v>HLY1702138SLIP3</v>
      </c>
      <c r="H1607">
        <v>62.387500000000003</v>
      </c>
      <c r="I1607">
        <v>-174.57433330000001</v>
      </c>
      <c r="J1607" s="3">
        <v>20170913</v>
      </c>
      <c r="K1607">
        <v>2017</v>
      </c>
      <c r="L1607">
        <v>8.3980700000000006</v>
      </c>
      <c r="M1607">
        <v>7.4688600000000003</v>
      </c>
      <c r="N1607">
        <v>2.0654300000000001</v>
      </c>
      <c r="O1607">
        <v>1.6199999999999999E-3</v>
      </c>
      <c r="P1607">
        <v>0.27698</v>
      </c>
      <c r="Q1607">
        <v>0</v>
      </c>
      <c r="R1607">
        <v>4.5799999999999999E-3</v>
      </c>
      <c r="S1607">
        <v>0.72355999999999998</v>
      </c>
      <c r="T1607">
        <v>0.13439000000000001</v>
      </c>
      <c r="U1607">
        <v>0.38496999999999998</v>
      </c>
      <c r="V1607">
        <v>19.458459999999999</v>
      </c>
      <c r="W1607" t="s">
        <v>9</v>
      </c>
      <c r="X1607">
        <v>122.938</v>
      </c>
      <c r="Y1607">
        <v>213.51900000000001</v>
      </c>
      <c r="Z1607">
        <v>25.222000000000001</v>
      </c>
      <c r="AA1607">
        <v>3.5999999999999997E-2</v>
      </c>
      <c r="AB1607">
        <v>19.783999999999999</v>
      </c>
      <c r="AC1607">
        <v>0</v>
      </c>
      <c r="AD1607">
        <v>7.4999999999999997E-2</v>
      </c>
      <c r="AE1607">
        <v>51.683</v>
      </c>
      <c r="AF1607">
        <v>1.4450000000000001</v>
      </c>
      <c r="AG1607">
        <v>7.335</v>
      </c>
      <c r="AH1607">
        <v>442.03699999999998</v>
      </c>
      <c r="AI1607" t="s">
        <v>22</v>
      </c>
      <c r="AJ1607">
        <v>3520</v>
      </c>
      <c r="AK1607">
        <v>780</v>
      </c>
      <c r="AL1607">
        <v>850</v>
      </c>
      <c r="AM1607">
        <v>20</v>
      </c>
      <c r="AN1607">
        <v>60</v>
      </c>
      <c r="AO1607">
        <v>0</v>
      </c>
      <c r="AP1607">
        <v>10</v>
      </c>
      <c r="AQ1607">
        <v>10</v>
      </c>
      <c r="AR1607">
        <v>30</v>
      </c>
      <c r="AS1607">
        <v>350</v>
      </c>
      <c r="AT1607">
        <v>5630</v>
      </c>
      <c r="AU1607" t="s">
        <v>33</v>
      </c>
    </row>
    <row r="1608" spans="1:47" x14ac:dyDescent="0.2">
      <c r="A1608">
        <v>2210</v>
      </c>
      <c r="B1608" t="s">
        <v>792</v>
      </c>
      <c r="C1608">
        <v>140</v>
      </c>
      <c r="D1608" t="s">
        <v>552</v>
      </c>
      <c r="G1608" t="str">
        <f t="shared" si="25"/>
        <v>HLY1702140SLIP2</v>
      </c>
      <c r="H1608">
        <v>62.044333330000001</v>
      </c>
      <c r="I1608">
        <v>-175.2101667</v>
      </c>
      <c r="J1608" s="3">
        <v>20170913</v>
      </c>
      <c r="K1608">
        <v>2017</v>
      </c>
      <c r="L1608">
        <v>15.27627</v>
      </c>
      <c r="M1608">
        <v>5.6497700000000002</v>
      </c>
      <c r="N1608">
        <v>0.27228000000000002</v>
      </c>
      <c r="O1608">
        <v>2.8400000000000001E-3</v>
      </c>
      <c r="P1608">
        <v>1.4320999999999999</v>
      </c>
      <c r="Q1608">
        <v>0</v>
      </c>
      <c r="R1608">
        <v>0</v>
      </c>
      <c r="S1608">
        <v>0</v>
      </c>
      <c r="T1608">
        <v>0</v>
      </c>
      <c r="U1608">
        <v>0.27382000000000001</v>
      </c>
      <c r="V1608">
        <v>22.907080000000001</v>
      </c>
      <c r="W1608" t="s">
        <v>9</v>
      </c>
      <c r="X1608">
        <v>216.126</v>
      </c>
      <c r="Y1608">
        <v>169.011</v>
      </c>
      <c r="Z1608">
        <v>3.399</v>
      </c>
      <c r="AA1608">
        <v>6.3E-2</v>
      </c>
      <c r="AB1608">
        <v>102.29300000000001</v>
      </c>
      <c r="AC1608">
        <v>0</v>
      </c>
      <c r="AD1608">
        <v>0</v>
      </c>
      <c r="AE1608">
        <v>0</v>
      </c>
      <c r="AF1608">
        <v>0</v>
      </c>
      <c r="AG1608">
        <v>4.7510000000000003</v>
      </c>
      <c r="AH1608">
        <v>495.64299999999997</v>
      </c>
      <c r="AI1608" t="s">
        <v>21</v>
      </c>
      <c r="AJ1608">
        <v>1920</v>
      </c>
      <c r="AK1608">
        <v>570</v>
      </c>
      <c r="AL1608">
        <v>230</v>
      </c>
      <c r="AM1608">
        <v>10</v>
      </c>
      <c r="AN1608">
        <v>30</v>
      </c>
      <c r="AO1608">
        <v>0</v>
      </c>
      <c r="AP1608">
        <v>0</v>
      </c>
      <c r="AQ1608">
        <v>0</v>
      </c>
      <c r="AR1608">
        <v>0</v>
      </c>
      <c r="AS1608">
        <v>210</v>
      </c>
      <c r="AT1608">
        <v>2970</v>
      </c>
      <c r="AU1608" t="s">
        <v>33</v>
      </c>
    </row>
    <row r="1609" spans="1:47" x14ac:dyDescent="0.2">
      <c r="A1609">
        <v>2326</v>
      </c>
      <c r="B1609" t="s">
        <v>889</v>
      </c>
      <c r="C1609">
        <v>40</v>
      </c>
      <c r="D1609" t="s">
        <v>551</v>
      </c>
      <c r="G1609" t="str">
        <f t="shared" si="25"/>
        <v>SWL201740SLIP1</v>
      </c>
      <c r="H1609">
        <v>62.009</v>
      </c>
      <c r="I1609">
        <v>-175.059</v>
      </c>
      <c r="J1609" s="3">
        <v>20170714</v>
      </c>
      <c r="K1609">
        <v>2017</v>
      </c>
      <c r="L1609">
        <v>10.73485</v>
      </c>
      <c r="M1609">
        <v>11.22869</v>
      </c>
      <c r="N1609">
        <v>0.24048</v>
      </c>
      <c r="O1609">
        <v>1.2109999999999999E-2</v>
      </c>
      <c r="P1609">
        <v>0.37130999999999997</v>
      </c>
      <c r="Q1609">
        <v>0</v>
      </c>
      <c r="R1609">
        <v>0</v>
      </c>
      <c r="S1609">
        <v>8.8370000000000004E-2</v>
      </c>
      <c r="T1609">
        <v>0.25481999999999999</v>
      </c>
      <c r="U1609">
        <v>0.35038000000000002</v>
      </c>
      <c r="V1609">
        <v>23.281009999999998</v>
      </c>
      <c r="W1609" t="s">
        <v>10</v>
      </c>
      <c r="X1609">
        <v>161.69200000000001</v>
      </c>
      <c r="Y1609">
        <v>321.28399999999999</v>
      </c>
      <c r="Z1609">
        <v>2.9940000000000002</v>
      </c>
      <c r="AA1609">
        <v>0.26900000000000002</v>
      </c>
      <c r="AB1609">
        <v>26.521999999999998</v>
      </c>
      <c r="AC1609">
        <v>0</v>
      </c>
      <c r="AD1609">
        <v>0</v>
      </c>
      <c r="AE1609">
        <v>6.3120000000000003</v>
      </c>
      <c r="AF1609">
        <v>2.74</v>
      </c>
      <c r="AG1609">
        <v>7.8010000000000002</v>
      </c>
      <c r="AH1609">
        <v>529.61400000000003</v>
      </c>
      <c r="AI1609" t="s">
        <v>22</v>
      </c>
      <c r="AJ1609">
        <v>2620</v>
      </c>
      <c r="AK1609">
        <v>580</v>
      </c>
      <c r="AL1609">
        <v>295</v>
      </c>
      <c r="AM1609">
        <v>35</v>
      </c>
      <c r="AN1609">
        <v>27.5</v>
      </c>
      <c r="AO1609">
        <v>0</v>
      </c>
      <c r="AP1609">
        <v>0</v>
      </c>
      <c r="AQ1609">
        <v>7.5</v>
      </c>
      <c r="AR1609">
        <v>22.5</v>
      </c>
      <c r="AS1609">
        <v>412.5</v>
      </c>
      <c r="AT1609">
        <f t="shared" ref="AT1609:AT1651" si="26">SUM(AJ1609:AS1609)</f>
        <v>4000</v>
      </c>
      <c r="AU1609" t="s">
        <v>33</v>
      </c>
    </row>
    <row r="1610" spans="1:47" x14ac:dyDescent="0.2">
      <c r="A1610">
        <v>2327</v>
      </c>
      <c r="B1610" t="s">
        <v>889</v>
      </c>
      <c r="C1610">
        <v>45</v>
      </c>
      <c r="D1610" t="s">
        <v>552</v>
      </c>
      <c r="G1610" t="str">
        <f t="shared" si="25"/>
        <v>SWL201745SLIP2</v>
      </c>
      <c r="H1610">
        <v>62.048999999999999</v>
      </c>
      <c r="I1610">
        <v>-175.20500000000001</v>
      </c>
      <c r="J1610" s="3">
        <v>20170714</v>
      </c>
      <c r="K1610">
        <v>2017</v>
      </c>
      <c r="L1610">
        <v>4.8110499999999998</v>
      </c>
      <c r="M1610">
        <v>10.03192</v>
      </c>
      <c r="N1610">
        <v>0.27001999999999998</v>
      </c>
      <c r="O1610">
        <v>2.7000000000000001E-3</v>
      </c>
      <c r="P1610">
        <v>0.82047999999999999</v>
      </c>
      <c r="Q1610">
        <v>0</v>
      </c>
      <c r="R1610">
        <v>0</v>
      </c>
      <c r="S1610">
        <v>0</v>
      </c>
      <c r="T1610">
        <v>7.2450000000000001E-2</v>
      </c>
      <c r="U1610">
        <v>0.31597999999999998</v>
      </c>
      <c r="V1610">
        <v>16.3246</v>
      </c>
      <c r="W1610" t="s">
        <v>10</v>
      </c>
      <c r="X1610">
        <v>70.204999999999998</v>
      </c>
      <c r="Y1610">
        <v>295.37900000000002</v>
      </c>
      <c r="Z1610">
        <v>3.3580000000000001</v>
      </c>
      <c r="AA1610">
        <v>0.06</v>
      </c>
      <c r="AB1610">
        <v>58.606000000000002</v>
      </c>
      <c r="AC1610">
        <v>0</v>
      </c>
      <c r="AD1610">
        <v>0</v>
      </c>
      <c r="AE1610">
        <v>0</v>
      </c>
      <c r="AF1610">
        <v>0.77900000000000003</v>
      </c>
      <c r="AG1610">
        <v>6.0049999999999999</v>
      </c>
      <c r="AH1610">
        <v>434.392</v>
      </c>
      <c r="AI1610" t="s">
        <v>22</v>
      </c>
      <c r="AJ1610">
        <v>1882.5</v>
      </c>
      <c r="AK1610">
        <v>705</v>
      </c>
      <c r="AL1610">
        <v>342.5</v>
      </c>
      <c r="AM1610">
        <v>15</v>
      </c>
      <c r="AN1610">
        <v>15</v>
      </c>
      <c r="AO1610">
        <v>0</v>
      </c>
      <c r="AP1610">
        <v>0</v>
      </c>
      <c r="AQ1610">
        <v>0</v>
      </c>
      <c r="AR1610">
        <v>32.5</v>
      </c>
      <c r="AS1610">
        <v>287.5</v>
      </c>
      <c r="AT1610">
        <f t="shared" si="26"/>
        <v>3280</v>
      </c>
      <c r="AU1610" t="s">
        <v>33</v>
      </c>
    </row>
    <row r="1611" spans="1:47" x14ac:dyDescent="0.2">
      <c r="A1611">
        <v>2328</v>
      </c>
      <c r="B1611" t="s">
        <v>889</v>
      </c>
      <c r="C1611">
        <v>51</v>
      </c>
      <c r="D1611" t="s">
        <v>553</v>
      </c>
      <c r="G1611" t="str">
        <f t="shared" si="25"/>
        <v>SWL201751SLIP3</v>
      </c>
      <c r="H1611">
        <v>62.390999999999998</v>
      </c>
      <c r="I1611">
        <v>-174.56899999999999</v>
      </c>
      <c r="J1611" s="3">
        <v>20170714</v>
      </c>
      <c r="K1611">
        <v>2017</v>
      </c>
      <c r="L1611">
        <v>10.114549999999999</v>
      </c>
      <c r="M1611">
        <v>1.5339100000000001</v>
      </c>
      <c r="N1611">
        <v>2.0447899999999999</v>
      </c>
      <c r="O1611">
        <v>5.6299999999999996E-3</v>
      </c>
      <c r="P1611">
        <v>0.37580999999999998</v>
      </c>
      <c r="Q1611">
        <v>0</v>
      </c>
      <c r="R1611">
        <v>0</v>
      </c>
      <c r="S1611">
        <v>7.5120000000000006E-2</v>
      </c>
      <c r="T1611">
        <v>1.0891200000000001</v>
      </c>
      <c r="U1611">
        <v>0.28532999999999997</v>
      </c>
      <c r="V1611">
        <v>15.52426</v>
      </c>
      <c r="W1611" t="s">
        <v>9</v>
      </c>
      <c r="X1611">
        <v>143.45099999999999</v>
      </c>
      <c r="Y1611">
        <v>43.683</v>
      </c>
      <c r="Z1611">
        <v>24.96</v>
      </c>
      <c r="AA1611">
        <v>0.125</v>
      </c>
      <c r="AB1611">
        <v>26.843</v>
      </c>
      <c r="AC1611">
        <v>0</v>
      </c>
      <c r="AD1611">
        <v>0</v>
      </c>
      <c r="AE1611">
        <v>5.3659999999999997</v>
      </c>
      <c r="AF1611">
        <v>11.711</v>
      </c>
      <c r="AG1611">
        <v>6.1829999999999998</v>
      </c>
      <c r="AH1611">
        <v>262.322</v>
      </c>
      <c r="AI1611" t="s">
        <v>21</v>
      </c>
      <c r="AJ1611">
        <v>1990</v>
      </c>
      <c r="AK1611">
        <v>500</v>
      </c>
      <c r="AL1611">
        <v>1102.5</v>
      </c>
      <c r="AM1611">
        <v>12.5</v>
      </c>
      <c r="AN1611">
        <v>40</v>
      </c>
      <c r="AO1611">
        <v>0</v>
      </c>
      <c r="AP1611">
        <v>0</v>
      </c>
      <c r="AQ1611">
        <v>2.5</v>
      </c>
      <c r="AR1611">
        <v>45</v>
      </c>
      <c r="AS1611">
        <v>225</v>
      </c>
      <c r="AT1611">
        <f t="shared" si="26"/>
        <v>3917.5</v>
      </c>
      <c r="AU1611" t="s">
        <v>33</v>
      </c>
    </row>
    <row r="1612" spans="1:47" x14ac:dyDescent="0.2">
      <c r="A1612">
        <v>2329</v>
      </c>
      <c r="B1612" t="s">
        <v>889</v>
      </c>
      <c r="C1612">
        <v>58</v>
      </c>
      <c r="D1612" t="s">
        <v>554</v>
      </c>
      <c r="G1612" t="str">
        <f t="shared" si="25"/>
        <v>SWL201758SLIP5</v>
      </c>
      <c r="H1612">
        <v>62.56</v>
      </c>
      <c r="I1612">
        <v>-173.548</v>
      </c>
      <c r="J1612" s="3">
        <v>20170715</v>
      </c>
      <c r="K1612">
        <v>2017</v>
      </c>
      <c r="L1612">
        <v>2.30722</v>
      </c>
      <c r="M1612">
        <v>10.826750000000001</v>
      </c>
      <c r="N1612">
        <v>2.4319299999999999</v>
      </c>
      <c r="O1612">
        <v>0</v>
      </c>
      <c r="P1612">
        <v>0.10573</v>
      </c>
      <c r="Q1612">
        <v>0</v>
      </c>
      <c r="R1612">
        <v>0</v>
      </c>
      <c r="S1612">
        <v>0</v>
      </c>
      <c r="T1612">
        <v>0.75656000000000001</v>
      </c>
      <c r="U1612">
        <v>8.0500000000000002E-2</v>
      </c>
      <c r="V1612">
        <v>16.508690000000001</v>
      </c>
      <c r="W1612" t="s">
        <v>10</v>
      </c>
      <c r="X1612">
        <v>37.890999999999998</v>
      </c>
      <c r="Y1612">
        <v>293.37599999999998</v>
      </c>
      <c r="Z1612">
        <v>27.218</v>
      </c>
      <c r="AA1612">
        <v>0</v>
      </c>
      <c r="AB1612">
        <v>7.5519999999999996</v>
      </c>
      <c r="AC1612">
        <v>0</v>
      </c>
      <c r="AD1612">
        <v>0</v>
      </c>
      <c r="AE1612">
        <v>0</v>
      </c>
      <c r="AF1612">
        <v>8.1349999999999998</v>
      </c>
      <c r="AG1612">
        <v>1.7769999999999999</v>
      </c>
      <c r="AH1612">
        <v>375.94900000000001</v>
      </c>
      <c r="AI1612" t="s">
        <v>22</v>
      </c>
      <c r="AJ1612">
        <v>1152.5</v>
      </c>
      <c r="AK1612">
        <v>557.5</v>
      </c>
      <c r="AL1612">
        <v>1082.5</v>
      </c>
      <c r="AM1612">
        <v>0</v>
      </c>
      <c r="AN1612">
        <v>2.5</v>
      </c>
      <c r="AO1612">
        <v>0</v>
      </c>
      <c r="AP1612">
        <v>0</v>
      </c>
      <c r="AQ1612">
        <v>0</v>
      </c>
      <c r="AR1612">
        <v>17.5</v>
      </c>
      <c r="AS1612">
        <v>47.5</v>
      </c>
      <c r="AT1612">
        <f t="shared" si="26"/>
        <v>2860</v>
      </c>
      <c r="AU1612" t="s">
        <v>33</v>
      </c>
    </row>
    <row r="1613" spans="1:47" x14ac:dyDescent="0.2">
      <c r="A1613">
        <v>2330</v>
      </c>
      <c r="B1613" t="s">
        <v>889</v>
      </c>
      <c r="C1613">
        <v>64</v>
      </c>
      <c r="D1613" t="s">
        <v>555</v>
      </c>
      <c r="G1613" t="str">
        <f t="shared" si="25"/>
        <v>SWL201764SLIP4</v>
      </c>
      <c r="H1613">
        <v>63.03</v>
      </c>
      <c r="I1613">
        <v>-173.458</v>
      </c>
      <c r="J1613" s="3">
        <v>20170715</v>
      </c>
      <c r="K1613">
        <v>2017</v>
      </c>
      <c r="L1613">
        <v>2.6664099999999999</v>
      </c>
      <c r="M1613">
        <v>4.6036900000000003</v>
      </c>
      <c r="N1613">
        <v>0.13020000000000001</v>
      </c>
      <c r="O1613">
        <v>0</v>
      </c>
      <c r="P1613">
        <v>0.1217</v>
      </c>
      <c r="Q1613">
        <v>0</v>
      </c>
      <c r="R1613">
        <v>0</v>
      </c>
      <c r="S1613">
        <v>0</v>
      </c>
      <c r="T1613">
        <v>4.7911700000000002</v>
      </c>
      <c r="U1613">
        <v>1.6639999999999999E-2</v>
      </c>
      <c r="V1613">
        <v>12.32981</v>
      </c>
      <c r="W1613" t="s">
        <v>17</v>
      </c>
      <c r="X1613">
        <v>43.683999999999997</v>
      </c>
      <c r="Y1613">
        <v>164.27699999999999</v>
      </c>
      <c r="Z1613">
        <v>1.4950000000000001</v>
      </c>
      <c r="AA1613">
        <v>0</v>
      </c>
      <c r="AB1613">
        <v>8.6929999999999996</v>
      </c>
      <c r="AC1613">
        <v>0</v>
      </c>
      <c r="AD1613">
        <v>0</v>
      </c>
      <c r="AE1613">
        <v>0</v>
      </c>
      <c r="AF1613">
        <v>51.518000000000001</v>
      </c>
      <c r="AG1613">
        <v>0.30299999999999999</v>
      </c>
      <c r="AH1613">
        <v>269.97000000000003</v>
      </c>
      <c r="AI1613" t="s">
        <v>22</v>
      </c>
      <c r="AJ1613">
        <v>1390</v>
      </c>
      <c r="AK1613">
        <v>620</v>
      </c>
      <c r="AL1613">
        <v>95</v>
      </c>
      <c r="AM1613">
        <v>0</v>
      </c>
      <c r="AN1613">
        <v>5</v>
      </c>
      <c r="AO1613">
        <v>0</v>
      </c>
      <c r="AP1613">
        <v>0</v>
      </c>
      <c r="AQ1613">
        <v>0</v>
      </c>
      <c r="AR1613">
        <v>50</v>
      </c>
      <c r="AS1613">
        <v>47.5</v>
      </c>
      <c r="AT1613">
        <f t="shared" si="26"/>
        <v>2207.5</v>
      </c>
      <c r="AU1613" t="s">
        <v>33</v>
      </c>
    </row>
    <row r="1614" spans="1:47" x14ac:dyDescent="0.2">
      <c r="A1614">
        <v>2331</v>
      </c>
      <c r="B1614" t="s">
        <v>889</v>
      </c>
      <c r="C1614">
        <v>73</v>
      </c>
      <c r="D1614" t="s">
        <v>885</v>
      </c>
      <c r="G1614" t="str">
        <f t="shared" si="25"/>
        <v>SWL201773BCL6C</v>
      </c>
      <c r="H1614">
        <v>64.671999999999997</v>
      </c>
      <c r="I1614">
        <v>-170.643</v>
      </c>
      <c r="J1614" s="3">
        <v>20170715</v>
      </c>
      <c r="K1614">
        <v>2017</v>
      </c>
      <c r="L1614">
        <v>4.2345499999999996</v>
      </c>
      <c r="M1614">
        <v>19.562629999999999</v>
      </c>
      <c r="N1614">
        <v>0.11093</v>
      </c>
      <c r="O1614">
        <v>0</v>
      </c>
      <c r="P1614">
        <v>6.9999999999999994E-5</v>
      </c>
      <c r="Q1614">
        <v>4.0000000000000003E-5</v>
      </c>
      <c r="R1614">
        <v>0</v>
      </c>
      <c r="S1614">
        <v>0</v>
      </c>
      <c r="T1614">
        <v>8.5599999999999999E-3</v>
      </c>
      <c r="U1614">
        <v>9.6360000000000001E-2</v>
      </c>
      <c r="V1614">
        <v>24.01314</v>
      </c>
      <c r="W1614" t="s">
        <v>10</v>
      </c>
      <c r="X1614">
        <v>60.198</v>
      </c>
      <c r="Y1614">
        <v>620.89499999999998</v>
      </c>
      <c r="Z1614">
        <v>1.593</v>
      </c>
      <c r="AA1614">
        <v>0</v>
      </c>
      <c r="AB1614">
        <v>5.0000000000000001E-3</v>
      </c>
      <c r="AC1614">
        <v>4.0000000000000001E-3</v>
      </c>
      <c r="AD1614">
        <v>0</v>
      </c>
      <c r="AE1614">
        <v>0</v>
      </c>
      <c r="AF1614">
        <v>9.1999999999999998E-2</v>
      </c>
      <c r="AG1614">
        <v>1.931</v>
      </c>
      <c r="AH1614">
        <v>684.71799999999996</v>
      </c>
      <c r="AI1614" t="s">
        <v>22</v>
      </c>
      <c r="AJ1614">
        <v>1755</v>
      </c>
      <c r="AK1614">
        <v>3912.5</v>
      </c>
      <c r="AL1614">
        <v>725</v>
      </c>
      <c r="AM1614">
        <v>0</v>
      </c>
      <c r="AN1614">
        <v>2.5</v>
      </c>
      <c r="AO1614">
        <v>5</v>
      </c>
      <c r="AP1614">
        <v>0</v>
      </c>
      <c r="AQ1614">
        <v>0</v>
      </c>
      <c r="AR1614">
        <v>5</v>
      </c>
      <c r="AS1614">
        <v>7.5</v>
      </c>
      <c r="AT1614">
        <f t="shared" si="26"/>
        <v>6412.5</v>
      </c>
      <c r="AU1614" t="s">
        <v>34</v>
      </c>
    </row>
    <row r="1615" spans="1:47" x14ac:dyDescent="0.2">
      <c r="A1615">
        <v>2332</v>
      </c>
      <c r="B1615" t="s">
        <v>889</v>
      </c>
      <c r="C1615">
        <v>80</v>
      </c>
      <c r="D1615" t="s">
        <v>556</v>
      </c>
      <c r="G1615" t="str">
        <f t="shared" si="25"/>
        <v>SWL201780UTBS5</v>
      </c>
      <c r="H1615">
        <v>64.67</v>
      </c>
      <c r="I1615">
        <v>-169.91399999999999</v>
      </c>
      <c r="J1615" s="3">
        <v>20170716</v>
      </c>
      <c r="K1615">
        <v>2017</v>
      </c>
      <c r="L1615">
        <v>7.8182499999999999</v>
      </c>
      <c r="M1615">
        <v>4.0547800000000001</v>
      </c>
      <c r="N1615">
        <v>0.36887999999999999</v>
      </c>
      <c r="O1615">
        <v>0.85702999999999996</v>
      </c>
      <c r="P1615">
        <v>0</v>
      </c>
      <c r="Q1615">
        <v>0</v>
      </c>
      <c r="R1615">
        <v>1.2E-4</v>
      </c>
      <c r="S1615">
        <v>1.746E-2</v>
      </c>
      <c r="T1615">
        <v>1.9810000000000001E-2</v>
      </c>
      <c r="U1615">
        <v>1.009E-2</v>
      </c>
      <c r="V1615">
        <v>13.146420000000001</v>
      </c>
      <c r="W1615" t="s">
        <v>9</v>
      </c>
      <c r="X1615">
        <v>110.884</v>
      </c>
      <c r="Y1615">
        <v>114.962</v>
      </c>
      <c r="Z1615">
        <v>4.9969999999999999</v>
      </c>
      <c r="AA1615">
        <v>19.045000000000002</v>
      </c>
      <c r="AB1615">
        <v>0</v>
      </c>
      <c r="AC1615">
        <v>0</v>
      </c>
      <c r="AD1615">
        <v>2E-3</v>
      </c>
      <c r="AE1615">
        <v>1.2470000000000001</v>
      </c>
      <c r="AF1615">
        <v>0.21299999999999999</v>
      </c>
      <c r="AG1615">
        <v>0.99299999999999999</v>
      </c>
      <c r="AH1615">
        <v>252.34299999999999</v>
      </c>
      <c r="AI1615" t="s">
        <v>22</v>
      </c>
      <c r="AJ1615">
        <v>1740</v>
      </c>
      <c r="AK1615">
        <v>575</v>
      </c>
      <c r="AL1615">
        <v>1680</v>
      </c>
      <c r="AM1615">
        <v>15</v>
      </c>
      <c r="AN1615">
        <v>0</v>
      </c>
      <c r="AO1615">
        <v>0</v>
      </c>
      <c r="AP1615">
        <v>2.5</v>
      </c>
      <c r="AQ1615">
        <v>2.5</v>
      </c>
      <c r="AR1615">
        <v>7.5</v>
      </c>
      <c r="AS1615">
        <v>2.5</v>
      </c>
      <c r="AT1615">
        <f t="shared" si="26"/>
        <v>4025</v>
      </c>
      <c r="AU1615" t="s">
        <v>33</v>
      </c>
    </row>
    <row r="1616" spans="1:47" x14ac:dyDescent="0.2">
      <c r="A1616">
        <v>2333</v>
      </c>
      <c r="B1616" t="s">
        <v>889</v>
      </c>
      <c r="C1616">
        <v>86</v>
      </c>
      <c r="D1616" t="s">
        <v>557</v>
      </c>
      <c r="G1616" t="str">
        <f t="shared" si="25"/>
        <v>SWL201786UTBS2</v>
      </c>
      <c r="H1616">
        <v>64.680999999999997</v>
      </c>
      <c r="I1616">
        <v>-169.096</v>
      </c>
      <c r="J1616" s="3">
        <v>20170716</v>
      </c>
      <c r="K1616">
        <v>2017</v>
      </c>
      <c r="L1616">
        <v>2.2905700000000002</v>
      </c>
      <c r="M1616">
        <v>2.7497600000000002</v>
      </c>
      <c r="N1616">
        <v>5.0004799999999996</v>
      </c>
      <c r="O1616">
        <v>1.67E-3</v>
      </c>
      <c r="P1616">
        <v>0</v>
      </c>
      <c r="Q1616">
        <v>0</v>
      </c>
      <c r="R1616">
        <v>0</v>
      </c>
      <c r="S1616">
        <v>0</v>
      </c>
      <c r="T1616">
        <v>9.11E-3</v>
      </c>
      <c r="U1616">
        <v>2.8300000000000001E-3</v>
      </c>
      <c r="V1616">
        <v>10.05442</v>
      </c>
      <c r="W1616" t="s">
        <v>11</v>
      </c>
      <c r="X1616">
        <v>33.066000000000003</v>
      </c>
      <c r="Y1616">
        <v>168.626</v>
      </c>
      <c r="Z1616">
        <v>73.322000000000003</v>
      </c>
      <c r="AA1616">
        <v>3.6999999999999998E-2</v>
      </c>
      <c r="AB1616">
        <v>0</v>
      </c>
      <c r="AC1616">
        <v>0</v>
      </c>
      <c r="AD1616">
        <v>0</v>
      </c>
      <c r="AE1616">
        <v>0</v>
      </c>
      <c r="AF1616">
        <v>9.8000000000000004E-2</v>
      </c>
      <c r="AG1616">
        <v>0.28299999999999997</v>
      </c>
      <c r="AH1616">
        <v>275.43200000000002</v>
      </c>
      <c r="AI1616" t="s">
        <v>22</v>
      </c>
      <c r="AJ1616">
        <v>1175</v>
      </c>
      <c r="AK1616">
        <v>960</v>
      </c>
      <c r="AL1616">
        <v>3950</v>
      </c>
      <c r="AM1616">
        <v>2.5</v>
      </c>
      <c r="AN1616">
        <v>0</v>
      </c>
      <c r="AO1616">
        <v>0</v>
      </c>
      <c r="AP1616">
        <v>0</v>
      </c>
      <c r="AQ1616">
        <v>0</v>
      </c>
      <c r="AR1616">
        <v>32.5</v>
      </c>
      <c r="AS1616">
        <v>0</v>
      </c>
      <c r="AT1616">
        <f t="shared" si="26"/>
        <v>6120</v>
      </c>
      <c r="AU1616" t="s">
        <v>35</v>
      </c>
    </row>
    <row r="1617" spans="1:47" x14ac:dyDescent="0.2">
      <c r="A1617">
        <v>2334</v>
      </c>
      <c r="B1617" t="s">
        <v>889</v>
      </c>
      <c r="C1617">
        <v>92</v>
      </c>
      <c r="D1617" t="s">
        <v>886</v>
      </c>
      <c r="G1617" t="str">
        <f t="shared" si="25"/>
        <v>SWL201792UTBS2A</v>
      </c>
      <c r="H1617">
        <v>64.671000000000006</v>
      </c>
      <c r="I1617">
        <v>-168.23599999999999</v>
      </c>
      <c r="J1617" s="3">
        <v>20170716</v>
      </c>
      <c r="K1617">
        <v>2017</v>
      </c>
      <c r="L1617">
        <v>2.3302700000000001</v>
      </c>
      <c r="M1617">
        <v>0.18611</v>
      </c>
      <c r="N1617">
        <v>5.9899800000000001</v>
      </c>
      <c r="O1617">
        <v>0</v>
      </c>
      <c r="P1617">
        <v>0</v>
      </c>
      <c r="Q1617">
        <v>1.2999999999999999E-4</v>
      </c>
      <c r="R1617">
        <v>2.7879999999999999E-2</v>
      </c>
      <c r="S1617">
        <v>0</v>
      </c>
      <c r="T1617">
        <v>1.3299999999999999E-2</v>
      </c>
      <c r="U1617">
        <v>3.9919999999999997E-2</v>
      </c>
      <c r="V1617">
        <v>8.5875900000000005</v>
      </c>
      <c r="W1617" t="s">
        <v>11</v>
      </c>
      <c r="X1617">
        <v>33.960999999999999</v>
      </c>
      <c r="Y1617">
        <v>7.2469999999999999</v>
      </c>
      <c r="Z1617">
        <v>87.983000000000004</v>
      </c>
      <c r="AA1617">
        <v>0</v>
      </c>
      <c r="AB1617">
        <v>0</v>
      </c>
      <c r="AC1617">
        <v>1.2E-2</v>
      </c>
      <c r="AD1617">
        <v>0.45700000000000002</v>
      </c>
      <c r="AE1617">
        <v>0</v>
      </c>
      <c r="AF1617">
        <v>0.14299999999999999</v>
      </c>
      <c r="AG1617">
        <v>2.456</v>
      </c>
      <c r="AH1617">
        <v>132.25899999999999</v>
      </c>
      <c r="AI1617" t="s">
        <v>23</v>
      </c>
      <c r="AJ1617">
        <v>1987.5</v>
      </c>
      <c r="AK1617">
        <v>1722.5</v>
      </c>
      <c r="AL1617">
        <v>2662.5</v>
      </c>
      <c r="AM1617">
        <v>0</v>
      </c>
      <c r="AN1617">
        <v>2.5</v>
      </c>
      <c r="AO1617">
        <v>35</v>
      </c>
      <c r="AP1617">
        <v>2.5</v>
      </c>
      <c r="AQ1617">
        <v>0</v>
      </c>
      <c r="AR1617">
        <v>60</v>
      </c>
      <c r="AS1617">
        <v>2.5</v>
      </c>
      <c r="AT1617">
        <f t="shared" si="26"/>
        <v>6475</v>
      </c>
      <c r="AU1617" t="s">
        <v>35</v>
      </c>
    </row>
    <row r="1618" spans="1:47" x14ac:dyDescent="0.2">
      <c r="A1618">
        <v>2335</v>
      </c>
      <c r="B1618" t="s">
        <v>889</v>
      </c>
      <c r="C1618">
        <v>97</v>
      </c>
      <c r="D1618" t="s">
        <v>887</v>
      </c>
      <c r="G1618" t="str">
        <f t="shared" si="25"/>
        <v>SWL201797DBO2.7</v>
      </c>
      <c r="H1618">
        <v>65.001000000000005</v>
      </c>
      <c r="I1618">
        <v>-168.22200000000001</v>
      </c>
      <c r="J1618" s="3">
        <v>20170716</v>
      </c>
      <c r="K1618">
        <v>2017</v>
      </c>
      <c r="L1618">
        <v>1.8829400000000001</v>
      </c>
      <c r="M1618">
        <v>0.46800000000000003</v>
      </c>
      <c r="N1618">
        <v>3.2078199999999999</v>
      </c>
      <c r="O1618">
        <v>5.0000000000000002E-5</v>
      </c>
      <c r="P1618">
        <v>0</v>
      </c>
      <c r="Q1618">
        <v>2.0000000000000002E-5</v>
      </c>
      <c r="R1618">
        <v>0.33715000000000001</v>
      </c>
      <c r="S1618">
        <v>0</v>
      </c>
      <c r="T1618">
        <v>1.58E-3</v>
      </c>
      <c r="U1618">
        <v>0.14280000000000001</v>
      </c>
      <c r="V1618">
        <v>6.0403599999999997</v>
      </c>
      <c r="W1618" t="s">
        <v>11</v>
      </c>
      <c r="X1618">
        <v>26.405000000000001</v>
      </c>
      <c r="Y1618">
        <v>13.442</v>
      </c>
      <c r="Z1618">
        <v>46.936999999999998</v>
      </c>
      <c r="AA1618">
        <v>1E-3</v>
      </c>
      <c r="AB1618">
        <v>0</v>
      </c>
      <c r="AC1618">
        <v>2E-3</v>
      </c>
      <c r="AD1618">
        <v>5.5270000000000001</v>
      </c>
      <c r="AE1618">
        <v>0</v>
      </c>
      <c r="AF1618">
        <v>1.7000000000000001E-2</v>
      </c>
      <c r="AG1618">
        <v>6.8959999999999999</v>
      </c>
      <c r="AH1618">
        <v>99.227000000000004</v>
      </c>
      <c r="AI1618" t="s">
        <v>23</v>
      </c>
      <c r="AJ1618">
        <v>1282.5</v>
      </c>
      <c r="AK1618">
        <v>2267.5</v>
      </c>
      <c r="AL1618">
        <v>3485</v>
      </c>
      <c r="AM1618">
        <v>2.5</v>
      </c>
      <c r="AN1618">
        <v>0</v>
      </c>
      <c r="AO1618">
        <v>5</v>
      </c>
      <c r="AP1618">
        <v>25</v>
      </c>
      <c r="AQ1618">
        <v>0</v>
      </c>
      <c r="AR1618">
        <v>10</v>
      </c>
      <c r="AS1618">
        <v>15</v>
      </c>
      <c r="AT1618">
        <f t="shared" si="26"/>
        <v>7092.5</v>
      </c>
      <c r="AU1618" t="s">
        <v>35</v>
      </c>
    </row>
    <row r="1619" spans="1:47" x14ac:dyDescent="0.2">
      <c r="A1619">
        <v>2336</v>
      </c>
      <c r="B1619" t="s">
        <v>889</v>
      </c>
      <c r="C1619">
        <v>103</v>
      </c>
      <c r="D1619" t="s">
        <v>179</v>
      </c>
      <c r="G1619" t="str">
        <f t="shared" si="25"/>
        <v>SWL2017103UTBS1</v>
      </c>
      <c r="H1619">
        <v>64.989999999999995</v>
      </c>
      <c r="I1619">
        <v>-169.13900000000001</v>
      </c>
      <c r="J1619" s="3">
        <v>20170716</v>
      </c>
      <c r="K1619">
        <v>2017</v>
      </c>
      <c r="L1619">
        <v>1.3832199999999999</v>
      </c>
      <c r="M1619">
        <v>5.0117000000000003</v>
      </c>
      <c r="N1619">
        <v>9.9889799999999997</v>
      </c>
      <c r="O1619">
        <v>0</v>
      </c>
      <c r="P1619">
        <v>6.0000000000000002E-5</v>
      </c>
      <c r="Q1619">
        <v>0</v>
      </c>
      <c r="R1619">
        <v>0</v>
      </c>
      <c r="S1619">
        <v>0</v>
      </c>
      <c r="T1619">
        <v>0.12656999999999999</v>
      </c>
      <c r="U1619">
        <v>1.3156699999999999</v>
      </c>
      <c r="V1619">
        <v>17.8262</v>
      </c>
      <c r="W1619" t="s">
        <v>11</v>
      </c>
      <c r="X1619">
        <v>19.513000000000002</v>
      </c>
      <c r="Y1619">
        <v>322.59300000000002</v>
      </c>
      <c r="Z1619">
        <v>145.816</v>
      </c>
      <c r="AA1619">
        <v>0</v>
      </c>
      <c r="AB1619">
        <v>4.0000000000000001E-3</v>
      </c>
      <c r="AC1619">
        <v>0</v>
      </c>
      <c r="AD1619">
        <v>0</v>
      </c>
      <c r="AE1619">
        <v>0</v>
      </c>
      <c r="AF1619">
        <v>1.361</v>
      </c>
      <c r="AG1619">
        <v>62.68</v>
      </c>
      <c r="AH1619">
        <v>551.96699999999998</v>
      </c>
      <c r="AI1619" t="s">
        <v>22</v>
      </c>
      <c r="AJ1619">
        <v>1475</v>
      </c>
      <c r="AK1619">
        <v>790</v>
      </c>
      <c r="AL1619">
        <v>15402.5</v>
      </c>
      <c r="AM1619">
        <v>0</v>
      </c>
      <c r="AN1619">
        <v>2.5</v>
      </c>
      <c r="AO1619">
        <v>0</v>
      </c>
      <c r="AP1619">
        <v>0</v>
      </c>
      <c r="AQ1619">
        <v>0</v>
      </c>
      <c r="AR1619">
        <v>112.5</v>
      </c>
      <c r="AS1619">
        <v>15</v>
      </c>
      <c r="AT1619">
        <f t="shared" si="26"/>
        <v>17797.5</v>
      </c>
      <c r="AU1619" t="s">
        <v>35</v>
      </c>
    </row>
    <row r="1620" spans="1:47" x14ac:dyDescent="0.2">
      <c r="A1620">
        <v>2337</v>
      </c>
      <c r="B1620" t="s">
        <v>889</v>
      </c>
      <c r="C1620">
        <v>109</v>
      </c>
      <c r="D1620" t="s">
        <v>558</v>
      </c>
      <c r="G1620" t="str">
        <f t="shared" si="25"/>
        <v>SWL2017109UTBS4</v>
      </c>
      <c r="H1620">
        <v>64.960999999999999</v>
      </c>
      <c r="I1620">
        <v>-169.89099999999999</v>
      </c>
      <c r="J1620" s="3">
        <v>20170716</v>
      </c>
      <c r="K1620">
        <v>2017</v>
      </c>
      <c r="L1620">
        <v>1.4605999999999999</v>
      </c>
      <c r="M1620">
        <v>1.0504199999999999</v>
      </c>
      <c r="N1620">
        <v>0.98070999999999997</v>
      </c>
      <c r="O1620">
        <v>0</v>
      </c>
      <c r="P1620">
        <v>0</v>
      </c>
      <c r="Q1620">
        <v>2.0000000000000002E-5</v>
      </c>
      <c r="R1620">
        <v>0</v>
      </c>
      <c r="S1620">
        <v>0</v>
      </c>
      <c r="T1620">
        <v>0</v>
      </c>
      <c r="U1620">
        <v>6.0000000000000002E-5</v>
      </c>
      <c r="V1620">
        <v>3.4918100000000001</v>
      </c>
      <c r="W1620" t="s">
        <v>9</v>
      </c>
      <c r="X1620">
        <v>20.379000000000001</v>
      </c>
      <c r="Y1620">
        <v>29.384</v>
      </c>
      <c r="Z1620">
        <v>14.404999999999999</v>
      </c>
      <c r="AA1620">
        <v>0</v>
      </c>
      <c r="AB1620">
        <v>0</v>
      </c>
      <c r="AC1620">
        <v>2E-3</v>
      </c>
      <c r="AD1620">
        <v>0</v>
      </c>
      <c r="AE1620">
        <v>0</v>
      </c>
      <c r="AF1620">
        <v>0</v>
      </c>
      <c r="AG1620">
        <v>1E-3</v>
      </c>
      <c r="AH1620">
        <v>64.171000000000006</v>
      </c>
      <c r="AI1620" t="s">
        <v>22</v>
      </c>
      <c r="AJ1620">
        <v>755</v>
      </c>
      <c r="AK1620">
        <v>745</v>
      </c>
      <c r="AL1620">
        <v>437.5</v>
      </c>
      <c r="AM1620">
        <v>0</v>
      </c>
      <c r="AN1620">
        <v>0</v>
      </c>
      <c r="AO1620">
        <v>5</v>
      </c>
      <c r="AP1620">
        <v>0</v>
      </c>
      <c r="AQ1620">
        <v>0</v>
      </c>
      <c r="AR1620">
        <v>0</v>
      </c>
      <c r="AS1620">
        <v>2.5</v>
      </c>
      <c r="AT1620">
        <f t="shared" si="26"/>
        <v>1945</v>
      </c>
      <c r="AU1620" t="s">
        <v>33</v>
      </c>
    </row>
    <row r="1621" spans="1:47" x14ac:dyDescent="0.2">
      <c r="A1621">
        <v>2338</v>
      </c>
      <c r="B1621" t="s">
        <v>889</v>
      </c>
      <c r="C1621">
        <v>121</v>
      </c>
      <c r="D1621" t="s">
        <v>559</v>
      </c>
      <c r="G1621" t="str">
        <f t="shared" si="25"/>
        <v>SWL2017121UTN1</v>
      </c>
      <c r="H1621">
        <v>66.710999999999999</v>
      </c>
      <c r="I1621">
        <v>-168.4</v>
      </c>
      <c r="J1621" s="3">
        <v>20170717</v>
      </c>
      <c r="K1621">
        <v>2017</v>
      </c>
      <c r="L1621">
        <v>2.0707</v>
      </c>
      <c r="M1621">
        <v>0.53785000000000005</v>
      </c>
      <c r="N1621">
        <v>2.4819999999999998E-2</v>
      </c>
      <c r="O1621">
        <v>0</v>
      </c>
      <c r="P1621">
        <v>4.5199999999999997E-3</v>
      </c>
      <c r="Q1621">
        <v>17.328389999999999</v>
      </c>
      <c r="R1621">
        <v>1.4E-3</v>
      </c>
      <c r="S1621">
        <v>0</v>
      </c>
      <c r="T1621">
        <v>9.0000000000000006E-5</v>
      </c>
      <c r="U1621">
        <v>0.38847999999999999</v>
      </c>
      <c r="V1621">
        <v>20.356249999999999</v>
      </c>
      <c r="W1621" t="s">
        <v>14</v>
      </c>
      <c r="X1621">
        <v>37.170999999999999</v>
      </c>
      <c r="Y1621">
        <v>14.968999999999999</v>
      </c>
      <c r="Z1621">
        <v>0.33800000000000002</v>
      </c>
      <c r="AA1621">
        <v>0</v>
      </c>
      <c r="AB1621">
        <v>0.32300000000000001</v>
      </c>
      <c r="AC1621">
        <v>2165.2979999999998</v>
      </c>
      <c r="AD1621">
        <v>2.3E-2</v>
      </c>
      <c r="AE1621">
        <v>0</v>
      </c>
      <c r="AF1621">
        <v>1E-3</v>
      </c>
      <c r="AG1621">
        <v>18.53</v>
      </c>
      <c r="AH1621">
        <v>2236.6529999999998</v>
      </c>
      <c r="AI1621" t="s">
        <v>26</v>
      </c>
      <c r="AJ1621">
        <v>1360</v>
      </c>
      <c r="AK1621">
        <v>705</v>
      </c>
      <c r="AL1621">
        <v>422.5</v>
      </c>
      <c r="AM1621">
        <v>0</v>
      </c>
      <c r="AN1621">
        <v>217.5</v>
      </c>
      <c r="AO1621">
        <v>185</v>
      </c>
      <c r="AP1621">
        <v>5</v>
      </c>
      <c r="AQ1621">
        <v>0</v>
      </c>
      <c r="AR1621">
        <v>0</v>
      </c>
      <c r="AS1621">
        <v>15</v>
      </c>
      <c r="AT1621">
        <f t="shared" si="26"/>
        <v>2910</v>
      </c>
      <c r="AU1621" t="s">
        <v>33</v>
      </c>
    </row>
    <row r="1622" spans="1:47" x14ac:dyDescent="0.2">
      <c r="A1622">
        <v>2339</v>
      </c>
      <c r="B1622" t="s">
        <v>889</v>
      </c>
      <c r="C1622">
        <v>126</v>
      </c>
      <c r="D1622" t="s">
        <v>560</v>
      </c>
      <c r="G1622" t="str">
        <f t="shared" si="25"/>
        <v>SWL2017126UTN2</v>
      </c>
      <c r="H1622">
        <v>67.05</v>
      </c>
      <c r="I1622">
        <v>-168.72900000000001</v>
      </c>
      <c r="J1622" s="3">
        <v>20170717</v>
      </c>
      <c r="K1622">
        <v>2017</v>
      </c>
      <c r="L1622">
        <v>7.82958</v>
      </c>
      <c r="M1622">
        <v>206.85054</v>
      </c>
      <c r="N1622">
        <v>7.8780000000000003E-2</v>
      </c>
      <c r="O1622">
        <v>3.6000000000000002E-4</v>
      </c>
      <c r="P1622">
        <v>0.69933999999999996</v>
      </c>
      <c r="Q1622">
        <v>0</v>
      </c>
      <c r="R1622">
        <v>0.20868</v>
      </c>
      <c r="S1622">
        <v>0.49822</v>
      </c>
      <c r="T1622">
        <v>0</v>
      </c>
      <c r="U1622">
        <v>0</v>
      </c>
      <c r="V1622">
        <v>216.16550000000001</v>
      </c>
      <c r="W1622" t="s">
        <v>10</v>
      </c>
      <c r="X1622">
        <v>136.286</v>
      </c>
      <c r="Y1622">
        <v>8125.3289999999997</v>
      </c>
      <c r="Z1622">
        <v>1.069</v>
      </c>
      <c r="AA1622">
        <v>8.0000000000000002E-3</v>
      </c>
      <c r="AB1622">
        <v>49.953000000000003</v>
      </c>
      <c r="AC1622">
        <v>0</v>
      </c>
      <c r="AD1622">
        <v>3.4209999999999998</v>
      </c>
      <c r="AE1622">
        <v>35.587000000000003</v>
      </c>
      <c r="AF1622">
        <v>0</v>
      </c>
      <c r="AG1622">
        <v>0</v>
      </c>
      <c r="AH1622">
        <v>8351.6530000000002</v>
      </c>
      <c r="AI1622" t="s">
        <v>22</v>
      </c>
      <c r="AJ1622">
        <v>2645</v>
      </c>
      <c r="AK1622">
        <v>5940</v>
      </c>
      <c r="AL1622">
        <v>332.5</v>
      </c>
      <c r="AM1622">
        <v>5</v>
      </c>
      <c r="AN1622">
        <v>35</v>
      </c>
      <c r="AO1622">
        <v>0</v>
      </c>
      <c r="AP1622">
        <v>12.5</v>
      </c>
      <c r="AQ1622">
        <v>22.5</v>
      </c>
      <c r="AR1622">
        <v>0</v>
      </c>
      <c r="AS1622">
        <v>0</v>
      </c>
      <c r="AT1622">
        <f t="shared" si="26"/>
        <v>8992.5</v>
      </c>
      <c r="AU1622" t="s">
        <v>34</v>
      </c>
    </row>
    <row r="1623" spans="1:47" x14ac:dyDescent="0.2">
      <c r="A1623">
        <v>2340</v>
      </c>
      <c r="B1623" t="s">
        <v>889</v>
      </c>
      <c r="C1623">
        <v>131</v>
      </c>
      <c r="D1623" t="s">
        <v>561</v>
      </c>
      <c r="G1623" t="str">
        <f t="shared" si="25"/>
        <v>SWL2017131UTN3</v>
      </c>
      <c r="H1623">
        <v>67.331000000000003</v>
      </c>
      <c r="I1623">
        <v>-168.90600000000001</v>
      </c>
      <c r="J1623" s="3">
        <v>20170717</v>
      </c>
      <c r="K1623">
        <v>2017</v>
      </c>
      <c r="L1623">
        <v>10.51296</v>
      </c>
      <c r="M1623">
        <v>111.57646</v>
      </c>
      <c r="N1623">
        <v>0.44496000000000002</v>
      </c>
      <c r="O1623">
        <v>1.0399999999999999E-3</v>
      </c>
      <c r="P1623">
        <v>2.2000000000000001E-4</v>
      </c>
      <c r="Q1623">
        <v>0</v>
      </c>
      <c r="R1623">
        <v>2.1095000000000002</v>
      </c>
      <c r="S1623">
        <v>0</v>
      </c>
      <c r="T1623">
        <v>0.72484000000000004</v>
      </c>
      <c r="U1623">
        <v>6.4999999999999997E-3</v>
      </c>
      <c r="V1623">
        <v>125.37648</v>
      </c>
      <c r="W1623" t="s">
        <v>10</v>
      </c>
      <c r="X1623">
        <v>156.00899999999999</v>
      </c>
      <c r="Y1623">
        <v>3615.223</v>
      </c>
      <c r="Z1623">
        <v>6.165</v>
      </c>
      <c r="AA1623">
        <v>2.3E-2</v>
      </c>
      <c r="AB1623">
        <v>1.6E-2</v>
      </c>
      <c r="AC1623">
        <v>0</v>
      </c>
      <c r="AD1623">
        <v>34.582000000000001</v>
      </c>
      <c r="AE1623">
        <v>0</v>
      </c>
      <c r="AF1623">
        <v>7.7939999999999996</v>
      </c>
      <c r="AG1623">
        <v>0.221</v>
      </c>
      <c r="AH1623">
        <v>3820.0329999999999</v>
      </c>
      <c r="AI1623" t="s">
        <v>22</v>
      </c>
      <c r="AJ1623">
        <v>2380</v>
      </c>
      <c r="AK1623">
        <v>3495</v>
      </c>
      <c r="AL1623">
        <v>1657.5</v>
      </c>
      <c r="AM1623">
        <v>7.5</v>
      </c>
      <c r="AN1623">
        <v>7.5</v>
      </c>
      <c r="AO1623">
        <v>0</v>
      </c>
      <c r="AP1623">
        <v>125</v>
      </c>
      <c r="AQ1623">
        <v>0</v>
      </c>
      <c r="AR1623">
        <v>7.5</v>
      </c>
      <c r="AS1623">
        <v>22.5</v>
      </c>
      <c r="AT1623">
        <f t="shared" si="26"/>
        <v>7702.5</v>
      </c>
      <c r="AU1623" t="s">
        <v>34</v>
      </c>
    </row>
    <row r="1624" spans="1:47" x14ac:dyDescent="0.2">
      <c r="A1624">
        <v>2341</v>
      </c>
      <c r="B1624" t="s">
        <v>889</v>
      </c>
      <c r="C1624">
        <v>136</v>
      </c>
      <c r="D1624" t="s">
        <v>562</v>
      </c>
      <c r="G1624" t="str">
        <f t="shared" si="25"/>
        <v>SWL2017136UTN4</v>
      </c>
      <c r="H1624">
        <v>67.5</v>
      </c>
      <c r="I1624">
        <v>-168.90799999999999</v>
      </c>
      <c r="J1624" s="3">
        <v>20170717</v>
      </c>
      <c r="K1624">
        <v>2017</v>
      </c>
      <c r="L1624">
        <v>11.2576</v>
      </c>
      <c r="M1624">
        <v>128.38865999999999</v>
      </c>
      <c r="N1624">
        <v>0.156</v>
      </c>
      <c r="O1624">
        <v>0</v>
      </c>
      <c r="P1624">
        <v>4.6000000000000001E-4</v>
      </c>
      <c r="Q1624">
        <v>0</v>
      </c>
      <c r="R1624">
        <v>2.7448199999999998</v>
      </c>
      <c r="S1624">
        <v>0</v>
      </c>
      <c r="T1624">
        <v>9.0000000000000006E-5</v>
      </c>
      <c r="U1624">
        <v>0.32900000000000001</v>
      </c>
      <c r="V1624">
        <v>142.87663000000001</v>
      </c>
      <c r="W1624" t="s">
        <v>10</v>
      </c>
      <c r="X1624">
        <v>168.96600000000001</v>
      </c>
      <c r="Y1624">
        <v>3723.049</v>
      </c>
      <c r="Z1624">
        <v>2.11</v>
      </c>
      <c r="AA1624">
        <v>0</v>
      </c>
      <c r="AB1624">
        <v>3.3000000000000002E-2</v>
      </c>
      <c r="AC1624">
        <v>0</v>
      </c>
      <c r="AD1624">
        <v>44.997</v>
      </c>
      <c r="AE1624">
        <v>0</v>
      </c>
      <c r="AF1624">
        <v>1E-3</v>
      </c>
      <c r="AG1624">
        <v>7.1820000000000004</v>
      </c>
      <c r="AH1624">
        <v>3946.3380000000002</v>
      </c>
      <c r="AI1624" t="s">
        <v>22</v>
      </c>
      <c r="AJ1624">
        <v>2880</v>
      </c>
      <c r="AK1624">
        <v>3172.5</v>
      </c>
      <c r="AL1624">
        <v>1410</v>
      </c>
      <c r="AM1624">
        <v>0</v>
      </c>
      <c r="AN1624">
        <v>10</v>
      </c>
      <c r="AO1624">
        <v>0</v>
      </c>
      <c r="AP1624">
        <v>145</v>
      </c>
      <c r="AQ1624">
        <v>0</v>
      </c>
      <c r="AR1624">
        <v>2.5</v>
      </c>
      <c r="AS1624">
        <v>215</v>
      </c>
      <c r="AT1624">
        <f t="shared" si="26"/>
        <v>7835</v>
      </c>
      <c r="AU1624" t="s">
        <v>34</v>
      </c>
    </row>
    <row r="1625" spans="1:47" x14ac:dyDescent="0.2">
      <c r="A1625">
        <v>2342</v>
      </c>
      <c r="B1625" t="s">
        <v>889</v>
      </c>
      <c r="C1625">
        <v>142</v>
      </c>
      <c r="D1625" t="s">
        <v>389</v>
      </c>
      <c r="G1625" t="str">
        <f t="shared" si="25"/>
        <v>SWL2017142SEC8</v>
      </c>
      <c r="H1625">
        <v>68.296999999999997</v>
      </c>
      <c r="I1625">
        <v>-166.94200000000001</v>
      </c>
      <c r="J1625" s="3">
        <v>20170718</v>
      </c>
      <c r="K1625">
        <v>2017</v>
      </c>
      <c r="L1625">
        <v>2.6439300000000001</v>
      </c>
      <c r="M1625">
        <v>0.28831000000000001</v>
      </c>
      <c r="N1625">
        <v>0.18682000000000001</v>
      </c>
      <c r="O1625">
        <v>2.4709999999999999E-2</v>
      </c>
      <c r="P1625">
        <v>0.16272</v>
      </c>
      <c r="Q1625">
        <v>0</v>
      </c>
      <c r="R1625">
        <v>1.018E-2</v>
      </c>
      <c r="S1625">
        <v>0</v>
      </c>
      <c r="T1625">
        <v>0.11839</v>
      </c>
      <c r="U1625">
        <v>0</v>
      </c>
      <c r="V1625">
        <v>3.43506</v>
      </c>
      <c r="W1625" t="s">
        <v>9</v>
      </c>
      <c r="X1625">
        <v>37.316000000000003</v>
      </c>
      <c r="Y1625">
        <v>9.5990000000000002</v>
      </c>
      <c r="Z1625">
        <v>2.6469999999999998</v>
      </c>
      <c r="AA1625">
        <v>0.54900000000000004</v>
      </c>
      <c r="AB1625">
        <v>11.622999999999999</v>
      </c>
      <c r="AC1625">
        <v>0</v>
      </c>
      <c r="AD1625">
        <v>0.18</v>
      </c>
      <c r="AE1625">
        <v>0</v>
      </c>
      <c r="AF1625">
        <v>1.2729999999999999</v>
      </c>
      <c r="AG1625">
        <v>0</v>
      </c>
      <c r="AH1625">
        <v>63.186999999999998</v>
      </c>
      <c r="AI1625" t="s">
        <v>21</v>
      </c>
      <c r="AJ1625">
        <v>3730</v>
      </c>
      <c r="AK1625">
        <v>250</v>
      </c>
      <c r="AL1625">
        <v>820</v>
      </c>
      <c r="AM1625">
        <v>60</v>
      </c>
      <c r="AN1625">
        <v>390</v>
      </c>
      <c r="AO1625">
        <v>0</v>
      </c>
      <c r="AP1625">
        <v>0</v>
      </c>
      <c r="AQ1625">
        <v>0</v>
      </c>
      <c r="AR1625">
        <v>70</v>
      </c>
      <c r="AS1625">
        <v>0</v>
      </c>
      <c r="AT1625">
        <f t="shared" si="26"/>
        <v>5320</v>
      </c>
      <c r="AU1625" t="s">
        <v>33</v>
      </c>
    </row>
    <row r="1626" spans="1:47" x14ac:dyDescent="0.2">
      <c r="A1626">
        <v>2343</v>
      </c>
      <c r="B1626" t="s">
        <v>889</v>
      </c>
      <c r="C1626">
        <v>147</v>
      </c>
      <c r="D1626" t="s">
        <v>387</v>
      </c>
      <c r="G1626" t="str">
        <f t="shared" si="25"/>
        <v>SWL2017147SEC7</v>
      </c>
      <c r="H1626">
        <v>68.242999999999995</v>
      </c>
      <c r="I1626">
        <v>-167.12200000000001</v>
      </c>
      <c r="J1626" s="3">
        <v>20170718</v>
      </c>
      <c r="K1626">
        <v>2017</v>
      </c>
      <c r="L1626">
        <v>4.0869400000000002</v>
      </c>
      <c r="M1626">
        <v>5.7706</v>
      </c>
      <c r="N1626">
        <v>0.10025000000000001</v>
      </c>
      <c r="O1626">
        <v>1.3653</v>
      </c>
      <c r="P1626">
        <v>4.0559999999999999E-2</v>
      </c>
      <c r="Q1626">
        <v>0</v>
      </c>
      <c r="R1626">
        <v>8.1700000000000002E-3</v>
      </c>
      <c r="S1626">
        <v>1.7819799999999999</v>
      </c>
      <c r="T1626">
        <v>8.09E-3</v>
      </c>
      <c r="U1626">
        <v>2.068E-2</v>
      </c>
      <c r="V1626">
        <v>13.18257</v>
      </c>
      <c r="W1626" t="s">
        <v>10</v>
      </c>
      <c r="X1626">
        <v>58.853000000000002</v>
      </c>
      <c r="Y1626">
        <v>348.27199999999999</v>
      </c>
      <c r="Z1626">
        <v>1.417</v>
      </c>
      <c r="AA1626">
        <v>30.34</v>
      </c>
      <c r="AB1626">
        <v>2.8969999999999998</v>
      </c>
      <c r="AC1626">
        <v>0</v>
      </c>
      <c r="AD1626">
        <v>0.13400000000000001</v>
      </c>
      <c r="AE1626">
        <v>97.712000000000003</v>
      </c>
      <c r="AF1626">
        <v>8.6999999999999994E-2</v>
      </c>
      <c r="AG1626">
        <v>0.68200000000000005</v>
      </c>
      <c r="AH1626">
        <v>540.39400000000001</v>
      </c>
      <c r="AI1626" t="s">
        <v>22</v>
      </c>
      <c r="AJ1626">
        <v>1690</v>
      </c>
      <c r="AK1626">
        <v>150</v>
      </c>
      <c r="AL1626">
        <v>710</v>
      </c>
      <c r="AM1626">
        <v>300</v>
      </c>
      <c r="AN1626">
        <v>500</v>
      </c>
      <c r="AO1626">
        <v>0</v>
      </c>
      <c r="AP1626">
        <v>0</v>
      </c>
      <c r="AQ1626">
        <v>50</v>
      </c>
      <c r="AR1626">
        <v>40</v>
      </c>
      <c r="AS1626">
        <v>50</v>
      </c>
      <c r="AT1626">
        <f t="shared" si="26"/>
        <v>3490</v>
      </c>
      <c r="AU1626" t="s">
        <v>33</v>
      </c>
    </row>
    <row r="1627" spans="1:47" x14ac:dyDescent="0.2">
      <c r="A1627">
        <v>2344</v>
      </c>
      <c r="B1627" t="s">
        <v>889</v>
      </c>
      <c r="C1627">
        <v>152</v>
      </c>
      <c r="D1627" t="s">
        <v>388</v>
      </c>
      <c r="G1627" t="str">
        <f t="shared" si="25"/>
        <v>SWL2017152SEC6</v>
      </c>
      <c r="H1627">
        <v>68.185000000000002</v>
      </c>
      <c r="I1627">
        <v>-167.30799999999999</v>
      </c>
      <c r="J1627" s="3">
        <v>20170718</v>
      </c>
      <c r="K1627">
        <v>2017</v>
      </c>
      <c r="L1627">
        <v>1.48367</v>
      </c>
      <c r="M1627">
        <v>2.2161599999999999</v>
      </c>
      <c r="N1627">
        <v>0.57730000000000004</v>
      </c>
      <c r="O1627">
        <v>7.0110000000000006E-2</v>
      </c>
      <c r="P1627">
        <v>0.14308999999999999</v>
      </c>
      <c r="Q1627">
        <v>0</v>
      </c>
      <c r="R1627">
        <v>0</v>
      </c>
      <c r="S1627">
        <v>2.0165899999999999</v>
      </c>
      <c r="T1627">
        <v>3.4880000000000001E-2</v>
      </c>
      <c r="U1627">
        <v>7.1749999999999994E-2</v>
      </c>
      <c r="V1627">
        <v>6.61355</v>
      </c>
      <c r="W1627" t="s">
        <v>10</v>
      </c>
      <c r="X1627">
        <v>21.783000000000001</v>
      </c>
      <c r="Y1627">
        <v>58.755000000000003</v>
      </c>
      <c r="Z1627">
        <v>7.9039999999999999</v>
      </c>
      <c r="AA1627">
        <v>1.5580000000000001</v>
      </c>
      <c r="AB1627">
        <v>10.221</v>
      </c>
      <c r="AC1627">
        <v>0</v>
      </c>
      <c r="AD1627">
        <v>0</v>
      </c>
      <c r="AE1627">
        <v>98.555999999999997</v>
      </c>
      <c r="AF1627">
        <v>0.375</v>
      </c>
      <c r="AG1627">
        <v>3.2309999999999999</v>
      </c>
      <c r="AH1627">
        <v>202.38300000000001</v>
      </c>
      <c r="AI1627" t="s">
        <v>28</v>
      </c>
      <c r="AJ1627">
        <v>1740</v>
      </c>
      <c r="AK1627">
        <v>430</v>
      </c>
      <c r="AL1627">
        <v>1600</v>
      </c>
      <c r="AM1627">
        <v>130</v>
      </c>
      <c r="AN1627">
        <v>410</v>
      </c>
      <c r="AO1627">
        <v>0</v>
      </c>
      <c r="AP1627">
        <v>0</v>
      </c>
      <c r="AQ1627">
        <v>100</v>
      </c>
      <c r="AR1627">
        <v>40</v>
      </c>
      <c r="AS1627">
        <v>90</v>
      </c>
      <c r="AT1627">
        <f t="shared" si="26"/>
        <v>4540</v>
      </c>
      <c r="AU1627" t="s">
        <v>33</v>
      </c>
    </row>
    <row r="1628" spans="1:47" x14ac:dyDescent="0.2">
      <c r="A1628">
        <v>2345</v>
      </c>
      <c r="B1628" t="s">
        <v>889</v>
      </c>
      <c r="C1628">
        <v>157</v>
      </c>
      <c r="D1628" t="s">
        <v>240</v>
      </c>
      <c r="G1628" t="str">
        <f t="shared" si="25"/>
        <v>SWL2017157SEC5</v>
      </c>
      <c r="H1628">
        <v>68.128</v>
      </c>
      <c r="I1628">
        <v>-167.495</v>
      </c>
      <c r="J1628" s="3">
        <v>20170718</v>
      </c>
      <c r="K1628">
        <v>2017</v>
      </c>
      <c r="L1628">
        <v>9.83352</v>
      </c>
      <c r="M1628">
        <v>0.36759999999999998</v>
      </c>
      <c r="N1628">
        <v>0.61158000000000001</v>
      </c>
      <c r="O1628">
        <v>1.79078</v>
      </c>
      <c r="P1628">
        <v>2.358E-2</v>
      </c>
      <c r="Q1628">
        <v>0</v>
      </c>
      <c r="R1628">
        <v>0</v>
      </c>
      <c r="S1628">
        <v>0</v>
      </c>
      <c r="T1628">
        <v>5.5799999999999999E-3</v>
      </c>
      <c r="U1628">
        <v>2.3540000000000001</v>
      </c>
      <c r="V1628">
        <v>14.98664</v>
      </c>
      <c r="W1628" t="s">
        <v>9</v>
      </c>
      <c r="X1628">
        <v>145.41499999999999</v>
      </c>
      <c r="Y1628">
        <v>17.216999999999999</v>
      </c>
      <c r="Z1628">
        <v>8.859</v>
      </c>
      <c r="AA1628">
        <v>39.795000000000002</v>
      </c>
      <c r="AB1628">
        <v>1.6839999999999999</v>
      </c>
      <c r="AC1628">
        <v>0</v>
      </c>
      <c r="AD1628">
        <v>0</v>
      </c>
      <c r="AE1628">
        <v>0</v>
      </c>
      <c r="AF1628">
        <v>0.06</v>
      </c>
      <c r="AG1628">
        <v>229.71799999999999</v>
      </c>
      <c r="AH1628">
        <v>442.74799999999999</v>
      </c>
      <c r="AI1628" t="s">
        <v>30</v>
      </c>
      <c r="AJ1628">
        <v>1890</v>
      </c>
      <c r="AK1628">
        <v>240</v>
      </c>
      <c r="AL1628">
        <v>1360</v>
      </c>
      <c r="AM1628">
        <v>50</v>
      </c>
      <c r="AN1628">
        <v>320</v>
      </c>
      <c r="AO1628">
        <v>0</v>
      </c>
      <c r="AP1628">
        <v>0</v>
      </c>
      <c r="AQ1628">
        <v>0</v>
      </c>
      <c r="AR1628">
        <v>10</v>
      </c>
      <c r="AS1628">
        <v>60</v>
      </c>
      <c r="AT1628">
        <f t="shared" si="26"/>
        <v>3930</v>
      </c>
      <c r="AU1628" t="s">
        <v>33</v>
      </c>
    </row>
    <row r="1629" spans="1:47" x14ac:dyDescent="0.2">
      <c r="A1629">
        <v>2346</v>
      </c>
      <c r="B1629" t="s">
        <v>889</v>
      </c>
      <c r="C1629">
        <v>162</v>
      </c>
      <c r="D1629" t="s">
        <v>233</v>
      </c>
      <c r="G1629" t="str">
        <f t="shared" si="25"/>
        <v>SWL2017162SEC4</v>
      </c>
      <c r="H1629">
        <v>68.013000000000005</v>
      </c>
      <c r="I1629">
        <v>-167.86699999999999</v>
      </c>
      <c r="J1629" s="3">
        <v>20170718</v>
      </c>
      <c r="K1629">
        <v>2017</v>
      </c>
      <c r="L1629">
        <v>5.9427099999999999</v>
      </c>
      <c r="M1629">
        <v>9.4324700000000004</v>
      </c>
      <c r="N1629">
        <v>9.8680000000000004E-2</v>
      </c>
      <c r="O1629">
        <v>0</v>
      </c>
      <c r="P1629">
        <v>3.8000000000000002E-4</v>
      </c>
      <c r="Q1629">
        <v>0.14312</v>
      </c>
      <c r="R1629">
        <v>6.0000000000000002E-5</v>
      </c>
      <c r="S1629">
        <v>0</v>
      </c>
      <c r="T1629">
        <v>0</v>
      </c>
      <c r="U1629">
        <v>2.8139999999999998E-2</v>
      </c>
      <c r="V1629">
        <v>15.64556</v>
      </c>
      <c r="W1629" t="s">
        <v>10</v>
      </c>
      <c r="X1629">
        <v>85.096000000000004</v>
      </c>
      <c r="Y1629">
        <v>266.149</v>
      </c>
      <c r="Z1629">
        <v>1.367</v>
      </c>
      <c r="AA1629">
        <v>0</v>
      </c>
      <c r="AB1629">
        <v>2.7E-2</v>
      </c>
      <c r="AC1629">
        <v>17.844000000000001</v>
      </c>
      <c r="AD1629">
        <v>1E-3</v>
      </c>
      <c r="AE1629">
        <v>0</v>
      </c>
      <c r="AF1629">
        <v>0</v>
      </c>
      <c r="AG1629">
        <v>0.83899999999999997</v>
      </c>
      <c r="AH1629">
        <v>371.32299999999998</v>
      </c>
      <c r="AI1629" t="s">
        <v>22</v>
      </c>
      <c r="AJ1629">
        <v>1677.5</v>
      </c>
      <c r="AK1629">
        <v>3552.5</v>
      </c>
      <c r="AL1629">
        <v>1082.5</v>
      </c>
      <c r="AM1629">
        <v>0</v>
      </c>
      <c r="AN1629">
        <v>45</v>
      </c>
      <c r="AO1629">
        <v>712.5</v>
      </c>
      <c r="AP1629">
        <v>0</v>
      </c>
      <c r="AQ1629">
        <v>0</v>
      </c>
      <c r="AR1629">
        <v>0</v>
      </c>
      <c r="AS1629">
        <v>67.5</v>
      </c>
      <c r="AT1629">
        <f t="shared" si="26"/>
        <v>7137.5</v>
      </c>
      <c r="AU1629" t="s">
        <v>34</v>
      </c>
    </row>
    <row r="1630" spans="1:47" x14ac:dyDescent="0.2">
      <c r="A1630">
        <v>2347</v>
      </c>
      <c r="B1630" t="s">
        <v>889</v>
      </c>
      <c r="C1630">
        <v>168</v>
      </c>
      <c r="D1630" t="s">
        <v>254</v>
      </c>
      <c r="G1630" t="str">
        <f t="shared" si="25"/>
        <v>SWL2017168SEC3</v>
      </c>
      <c r="H1630">
        <v>67.897999999999996</v>
      </c>
      <c r="I1630">
        <v>-168.23</v>
      </c>
      <c r="J1630" s="3">
        <v>20170718</v>
      </c>
      <c r="K1630">
        <v>2017</v>
      </c>
      <c r="L1630">
        <v>12.84329</v>
      </c>
      <c r="M1630">
        <v>41.070950000000003</v>
      </c>
      <c r="N1630">
        <v>3.5692699999999999</v>
      </c>
      <c r="O1630">
        <v>0</v>
      </c>
      <c r="P1630">
        <v>0.29421000000000003</v>
      </c>
      <c r="Q1630">
        <v>0</v>
      </c>
      <c r="R1630">
        <v>2.9009499999999999</v>
      </c>
      <c r="S1630">
        <v>0</v>
      </c>
      <c r="T1630">
        <v>1.8600000000000001E-3</v>
      </c>
      <c r="U1630">
        <v>1.6000000000000001E-4</v>
      </c>
      <c r="V1630">
        <v>60.680689999999998</v>
      </c>
      <c r="W1630" t="s">
        <v>10</v>
      </c>
      <c r="X1630">
        <v>242.499</v>
      </c>
      <c r="Y1630">
        <v>1299.43</v>
      </c>
      <c r="Z1630">
        <v>38.988</v>
      </c>
      <c r="AA1630">
        <v>0</v>
      </c>
      <c r="AB1630">
        <v>21.015000000000001</v>
      </c>
      <c r="AC1630">
        <v>0</v>
      </c>
      <c r="AD1630">
        <v>47.558999999999997</v>
      </c>
      <c r="AE1630">
        <v>0</v>
      </c>
      <c r="AF1630">
        <v>0.02</v>
      </c>
      <c r="AG1630">
        <v>4.0000000000000001E-3</v>
      </c>
      <c r="AH1630">
        <v>1649.5150000000001</v>
      </c>
      <c r="AI1630" t="s">
        <v>22</v>
      </c>
      <c r="AJ1630">
        <v>2795</v>
      </c>
      <c r="AK1630">
        <v>1905</v>
      </c>
      <c r="AL1630">
        <v>9550</v>
      </c>
      <c r="AM1630">
        <v>0</v>
      </c>
      <c r="AN1630">
        <v>22.5</v>
      </c>
      <c r="AO1630">
        <v>2.5</v>
      </c>
      <c r="AP1630">
        <v>147.5</v>
      </c>
      <c r="AQ1630">
        <v>0</v>
      </c>
      <c r="AR1630">
        <v>12.5</v>
      </c>
      <c r="AS1630">
        <v>7.5</v>
      </c>
      <c r="AT1630">
        <f t="shared" si="26"/>
        <v>14442.5</v>
      </c>
      <c r="AU1630" t="s">
        <v>35</v>
      </c>
    </row>
    <row r="1631" spans="1:47" x14ac:dyDescent="0.2">
      <c r="A1631">
        <v>2348</v>
      </c>
      <c r="B1631" t="s">
        <v>889</v>
      </c>
      <c r="C1631">
        <v>174</v>
      </c>
      <c r="D1631" t="s">
        <v>563</v>
      </c>
      <c r="G1631" t="str">
        <f t="shared" si="25"/>
        <v>SWL2017174UTN6</v>
      </c>
      <c r="H1631">
        <v>67.741</v>
      </c>
      <c r="I1631">
        <v>-168.434</v>
      </c>
      <c r="J1631" s="3">
        <v>20170719</v>
      </c>
      <c r="K1631">
        <v>2017</v>
      </c>
      <c r="L1631">
        <v>14.307320000000001</v>
      </c>
      <c r="M1631">
        <v>36.523069999999997</v>
      </c>
      <c r="N1631">
        <v>3.8746800000000001</v>
      </c>
      <c r="O1631">
        <v>0</v>
      </c>
      <c r="P1631">
        <v>1.1199999999999999E-3</v>
      </c>
      <c r="Q1631">
        <v>0</v>
      </c>
      <c r="R1631">
        <v>2.4220100000000002</v>
      </c>
      <c r="S1631">
        <v>0</v>
      </c>
      <c r="T1631">
        <v>0</v>
      </c>
      <c r="U1631">
        <v>0.8538</v>
      </c>
      <c r="V1631">
        <v>57.981999999999999</v>
      </c>
      <c r="W1631" t="s">
        <v>10</v>
      </c>
      <c r="X1631">
        <v>211.381</v>
      </c>
      <c r="Y1631">
        <v>1108.375</v>
      </c>
      <c r="Z1631">
        <v>43.27</v>
      </c>
      <c r="AA1631">
        <v>0</v>
      </c>
      <c r="AB1631">
        <v>0.08</v>
      </c>
      <c r="AC1631">
        <v>0</v>
      </c>
      <c r="AD1631">
        <v>39.704999999999998</v>
      </c>
      <c r="AE1631">
        <v>0</v>
      </c>
      <c r="AF1631">
        <v>0</v>
      </c>
      <c r="AG1631">
        <v>18.972999999999999</v>
      </c>
      <c r="AH1631">
        <v>1421.7840000000001</v>
      </c>
      <c r="AI1631" t="s">
        <v>22</v>
      </c>
      <c r="AJ1631">
        <v>3005</v>
      </c>
      <c r="AK1631">
        <v>577.5</v>
      </c>
      <c r="AL1631">
        <v>8735</v>
      </c>
      <c r="AM1631">
        <v>0</v>
      </c>
      <c r="AN1631">
        <v>5</v>
      </c>
      <c r="AO1631">
        <v>0</v>
      </c>
      <c r="AP1631">
        <v>117.5</v>
      </c>
      <c r="AQ1631">
        <v>0</v>
      </c>
      <c r="AR1631">
        <v>0</v>
      </c>
      <c r="AS1631">
        <v>7.5</v>
      </c>
      <c r="AT1631">
        <f t="shared" si="26"/>
        <v>12447.5</v>
      </c>
      <c r="AU1631" t="s">
        <v>35</v>
      </c>
    </row>
    <row r="1632" spans="1:47" x14ac:dyDescent="0.2">
      <c r="A1632">
        <v>2349</v>
      </c>
      <c r="B1632" t="s">
        <v>889</v>
      </c>
      <c r="C1632">
        <v>179</v>
      </c>
      <c r="D1632" t="s">
        <v>258</v>
      </c>
      <c r="G1632" t="str">
        <f t="shared" si="25"/>
        <v>SWL2017179SEC2</v>
      </c>
      <c r="H1632">
        <v>67.783000000000001</v>
      </c>
      <c r="I1632">
        <v>-168.59899999999999</v>
      </c>
      <c r="J1632" s="3">
        <v>20170719</v>
      </c>
      <c r="K1632">
        <v>2017</v>
      </c>
      <c r="L1632">
        <v>7.9192200000000001</v>
      </c>
      <c r="M1632">
        <v>53.729950000000002</v>
      </c>
      <c r="N1632">
        <v>4.0839499999999997</v>
      </c>
      <c r="O1632">
        <v>0</v>
      </c>
      <c r="P1632">
        <v>1.073E-2</v>
      </c>
      <c r="Q1632">
        <v>0</v>
      </c>
      <c r="R1632">
        <v>4.74092</v>
      </c>
      <c r="S1632">
        <v>0</v>
      </c>
      <c r="T1632">
        <v>7.8100000000000001E-3</v>
      </c>
      <c r="U1632">
        <v>9.2340000000000005E-2</v>
      </c>
      <c r="V1632">
        <v>70.584919999999997</v>
      </c>
      <c r="W1632" t="s">
        <v>10</v>
      </c>
      <c r="X1632">
        <v>117.831</v>
      </c>
      <c r="Y1632">
        <v>1623.7249999999999</v>
      </c>
      <c r="Z1632">
        <v>44.637999999999998</v>
      </c>
      <c r="AA1632">
        <v>0</v>
      </c>
      <c r="AB1632">
        <v>0.76600000000000001</v>
      </c>
      <c r="AC1632">
        <v>0</v>
      </c>
      <c r="AD1632">
        <v>77.72</v>
      </c>
      <c r="AE1632">
        <v>0</v>
      </c>
      <c r="AF1632">
        <v>8.4000000000000005E-2</v>
      </c>
      <c r="AG1632">
        <v>4.3730000000000002</v>
      </c>
      <c r="AH1632">
        <v>1869.1369999999999</v>
      </c>
      <c r="AI1632" t="s">
        <v>22</v>
      </c>
      <c r="AJ1632">
        <v>1325</v>
      </c>
      <c r="AK1632">
        <v>805</v>
      </c>
      <c r="AL1632">
        <v>13827.5</v>
      </c>
      <c r="AM1632">
        <v>0</v>
      </c>
      <c r="AN1632">
        <v>7.5</v>
      </c>
      <c r="AO1632">
        <v>0</v>
      </c>
      <c r="AP1632">
        <v>277.5</v>
      </c>
      <c r="AQ1632">
        <v>0</v>
      </c>
      <c r="AR1632">
        <v>2.5</v>
      </c>
      <c r="AS1632">
        <v>27.5</v>
      </c>
      <c r="AT1632">
        <f t="shared" si="26"/>
        <v>16272.5</v>
      </c>
      <c r="AU1632" t="s">
        <v>35</v>
      </c>
    </row>
    <row r="1633" spans="1:47" x14ac:dyDescent="0.2">
      <c r="A1633">
        <v>2350</v>
      </c>
      <c r="B1633" t="s">
        <v>889</v>
      </c>
      <c r="C1633">
        <v>184</v>
      </c>
      <c r="D1633" t="s">
        <v>306</v>
      </c>
      <c r="G1633" t="str">
        <f t="shared" si="25"/>
        <v>SWL2017184UTN5=SEC1</v>
      </c>
      <c r="H1633">
        <v>67.674999999999997</v>
      </c>
      <c r="I1633">
        <v>-168.923</v>
      </c>
      <c r="J1633" s="3">
        <v>20170719</v>
      </c>
      <c r="K1633">
        <v>2017</v>
      </c>
      <c r="L1633">
        <v>8.4265899999999991</v>
      </c>
      <c r="M1633">
        <v>148.44138000000001</v>
      </c>
      <c r="N1633">
        <v>0.37751000000000001</v>
      </c>
      <c r="O1633">
        <v>7.1099999999999997E-2</v>
      </c>
      <c r="P1633">
        <v>1.6000000000000001E-4</v>
      </c>
      <c r="Q1633">
        <v>0</v>
      </c>
      <c r="R1633">
        <v>2.4951400000000001</v>
      </c>
      <c r="S1633">
        <v>0</v>
      </c>
      <c r="T1633">
        <v>1.712E-2</v>
      </c>
      <c r="U1633">
        <v>4.8199999999999996E-3</v>
      </c>
      <c r="V1633">
        <v>159.83382</v>
      </c>
      <c r="W1633" t="s">
        <v>10</v>
      </c>
      <c r="X1633">
        <v>134.54499999999999</v>
      </c>
      <c r="Y1633">
        <v>4344.9080000000004</v>
      </c>
      <c r="Z1633">
        <v>4.9489999999999998</v>
      </c>
      <c r="AA1633">
        <v>1.58</v>
      </c>
      <c r="AB1633">
        <v>1.0999999999999999E-2</v>
      </c>
      <c r="AC1633">
        <v>0</v>
      </c>
      <c r="AD1633">
        <v>40.904000000000003</v>
      </c>
      <c r="AE1633">
        <v>0</v>
      </c>
      <c r="AF1633">
        <v>0.184</v>
      </c>
      <c r="AG1633">
        <v>8.2000000000000003E-2</v>
      </c>
      <c r="AH1633">
        <v>4527.1629999999996</v>
      </c>
      <c r="AI1633" t="s">
        <v>22</v>
      </c>
      <c r="AJ1633">
        <v>2535</v>
      </c>
      <c r="AK1633">
        <v>1195</v>
      </c>
      <c r="AL1633">
        <v>2392.5</v>
      </c>
      <c r="AM1633">
        <v>7.5</v>
      </c>
      <c r="AN1633">
        <v>7.5</v>
      </c>
      <c r="AO1633">
        <v>0</v>
      </c>
      <c r="AP1633">
        <v>160</v>
      </c>
      <c r="AQ1633">
        <v>0</v>
      </c>
      <c r="AR1633">
        <v>5</v>
      </c>
      <c r="AS1633">
        <v>105</v>
      </c>
      <c r="AT1633">
        <f t="shared" si="26"/>
        <v>6407.5</v>
      </c>
      <c r="AU1633" t="s">
        <v>33</v>
      </c>
    </row>
    <row r="1634" spans="1:47" x14ac:dyDescent="0.2">
      <c r="A1634">
        <v>2351</v>
      </c>
      <c r="B1634" t="s">
        <v>889</v>
      </c>
      <c r="C1634">
        <v>189</v>
      </c>
      <c r="D1634" t="s">
        <v>564</v>
      </c>
      <c r="G1634" t="str">
        <f t="shared" si="25"/>
        <v>SWL2017189UTN7</v>
      </c>
      <c r="H1634">
        <v>68.001000000000005</v>
      </c>
      <c r="I1634">
        <v>-168.928</v>
      </c>
      <c r="J1634" s="3">
        <v>20170719</v>
      </c>
      <c r="K1634">
        <v>2017</v>
      </c>
      <c r="L1634">
        <v>3.4835400000000001</v>
      </c>
      <c r="M1634">
        <v>20.607780000000002</v>
      </c>
      <c r="N1634">
        <v>6.4665699999999999</v>
      </c>
      <c r="O1634">
        <v>0</v>
      </c>
      <c r="P1634">
        <v>5.9999999999999995E-4</v>
      </c>
      <c r="Q1634">
        <v>0</v>
      </c>
      <c r="R1634">
        <v>7.7933599999999998</v>
      </c>
      <c r="S1634">
        <v>0</v>
      </c>
      <c r="T1634">
        <v>9.6699999999999998E-3</v>
      </c>
      <c r="U1634">
        <v>1.0410000000000001E-2</v>
      </c>
      <c r="V1634">
        <v>38.371929999999999</v>
      </c>
      <c r="W1634" t="s">
        <v>10</v>
      </c>
      <c r="X1634">
        <v>54.561999999999998</v>
      </c>
      <c r="Y1634">
        <v>582</v>
      </c>
      <c r="Z1634">
        <v>70.337999999999994</v>
      </c>
      <c r="AA1634">
        <v>0</v>
      </c>
      <c r="AB1634">
        <v>4.2999999999999997E-2</v>
      </c>
      <c r="AC1634">
        <v>0</v>
      </c>
      <c r="AD1634">
        <v>127.76</v>
      </c>
      <c r="AE1634">
        <v>0</v>
      </c>
      <c r="AF1634">
        <v>0.104</v>
      </c>
      <c r="AG1634">
        <v>0.158</v>
      </c>
      <c r="AH1634">
        <v>834.96500000000003</v>
      </c>
      <c r="AI1634" t="s">
        <v>22</v>
      </c>
      <c r="AJ1634">
        <v>1040</v>
      </c>
      <c r="AK1634">
        <v>950</v>
      </c>
      <c r="AL1634">
        <v>19507.5</v>
      </c>
      <c r="AM1634">
        <v>0</v>
      </c>
      <c r="AN1634">
        <v>7.5</v>
      </c>
      <c r="AO1634">
        <v>0</v>
      </c>
      <c r="AP1634">
        <v>205</v>
      </c>
      <c r="AQ1634">
        <v>0</v>
      </c>
      <c r="AR1634">
        <v>2.5</v>
      </c>
      <c r="AS1634">
        <v>200</v>
      </c>
      <c r="AT1634">
        <f t="shared" si="26"/>
        <v>21912.5</v>
      </c>
      <c r="AU1634" t="s">
        <v>35</v>
      </c>
    </row>
    <row r="1635" spans="1:47" x14ac:dyDescent="0.2">
      <c r="A1635">
        <v>2352</v>
      </c>
      <c r="B1635" t="s">
        <v>889</v>
      </c>
      <c r="C1635">
        <v>194</v>
      </c>
      <c r="D1635" t="s">
        <v>780</v>
      </c>
      <c r="G1635" t="str">
        <f t="shared" si="25"/>
        <v>SWL2017194DBO4.6</v>
      </c>
      <c r="H1635">
        <v>71.617000000000004</v>
      </c>
      <c r="I1635">
        <v>-163.77099999999999</v>
      </c>
      <c r="J1635" s="3">
        <v>20170720</v>
      </c>
      <c r="K1635">
        <v>2017</v>
      </c>
      <c r="L1635">
        <v>6.5695100000000002</v>
      </c>
      <c r="M1635">
        <v>4.68119</v>
      </c>
      <c r="N1635">
        <v>0.35915999999999998</v>
      </c>
      <c r="O1635">
        <v>2.4389999999999998E-2</v>
      </c>
      <c r="P1635">
        <v>0.45805000000000001</v>
      </c>
      <c r="Q1635">
        <v>0</v>
      </c>
      <c r="R1635">
        <v>1.8000000000000001E-4</v>
      </c>
      <c r="S1635">
        <v>5.7639999999999997E-2</v>
      </c>
      <c r="T1635">
        <v>1.30488</v>
      </c>
      <c r="U1635">
        <v>0.59879000000000004</v>
      </c>
      <c r="V1635">
        <v>14.053789999999999</v>
      </c>
      <c r="W1635" t="s">
        <v>9</v>
      </c>
      <c r="X1635">
        <v>90.563000000000002</v>
      </c>
      <c r="Y1635">
        <v>131.14699999999999</v>
      </c>
      <c r="Z1635">
        <v>4.8970000000000002</v>
      </c>
      <c r="AA1635">
        <v>0.54200000000000004</v>
      </c>
      <c r="AB1635">
        <v>32.718000000000004</v>
      </c>
      <c r="AC1635">
        <v>0</v>
      </c>
      <c r="AD1635">
        <v>3.0000000000000001E-3</v>
      </c>
      <c r="AE1635">
        <v>4.117</v>
      </c>
      <c r="AF1635">
        <v>14.031000000000001</v>
      </c>
      <c r="AG1635">
        <v>15.305</v>
      </c>
      <c r="AH1635">
        <v>293.32299999999998</v>
      </c>
      <c r="AI1635" t="s">
        <v>22</v>
      </c>
      <c r="AJ1635">
        <v>1257.5</v>
      </c>
      <c r="AK1635">
        <v>270</v>
      </c>
      <c r="AL1635">
        <v>727.5</v>
      </c>
      <c r="AM1635">
        <v>20</v>
      </c>
      <c r="AN1635">
        <v>65</v>
      </c>
      <c r="AO1635">
        <v>0</v>
      </c>
      <c r="AP1635">
        <v>2.5</v>
      </c>
      <c r="AQ1635">
        <v>5</v>
      </c>
      <c r="AR1635">
        <v>17.5</v>
      </c>
      <c r="AS1635">
        <v>62.5</v>
      </c>
      <c r="AT1635">
        <f t="shared" si="26"/>
        <v>2427.5</v>
      </c>
      <c r="AU1635" t="s">
        <v>33</v>
      </c>
    </row>
    <row r="1636" spans="1:47" x14ac:dyDescent="0.2">
      <c r="A1636">
        <v>2353</v>
      </c>
      <c r="B1636" t="s">
        <v>889</v>
      </c>
      <c r="C1636">
        <v>200</v>
      </c>
      <c r="D1636" t="s">
        <v>781</v>
      </c>
      <c r="G1636" t="str">
        <f t="shared" si="25"/>
        <v>SWL2017200DBO4.5</v>
      </c>
      <c r="H1636">
        <v>71.489000000000004</v>
      </c>
      <c r="I1636">
        <v>-163.38800000000001</v>
      </c>
      <c r="J1636" s="3">
        <v>20170720</v>
      </c>
      <c r="K1636">
        <v>2017</v>
      </c>
      <c r="L1636">
        <v>3.2821500000000001</v>
      </c>
      <c r="M1636">
        <v>3.2588400000000002</v>
      </c>
      <c r="N1636">
        <v>0.27717000000000003</v>
      </c>
      <c r="O1636">
        <v>1.3232699999999999</v>
      </c>
      <c r="P1636">
        <v>0.43991000000000002</v>
      </c>
      <c r="Q1636">
        <v>0</v>
      </c>
      <c r="R1636">
        <v>0</v>
      </c>
      <c r="S1636">
        <v>1.9939999999999999E-2</v>
      </c>
      <c r="T1636">
        <v>6.79E-3</v>
      </c>
      <c r="U1636">
        <v>0.21004999999999999</v>
      </c>
      <c r="V1636">
        <v>8.8181200000000004</v>
      </c>
      <c r="W1636" t="s">
        <v>9</v>
      </c>
      <c r="X1636">
        <v>45.591000000000001</v>
      </c>
      <c r="Y1636">
        <v>103.01</v>
      </c>
      <c r="Z1636">
        <v>3.931</v>
      </c>
      <c r="AA1636">
        <v>29.405999999999999</v>
      </c>
      <c r="AB1636">
        <v>31.422000000000001</v>
      </c>
      <c r="AC1636">
        <v>0</v>
      </c>
      <c r="AD1636">
        <v>0</v>
      </c>
      <c r="AE1636">
        <v>1.4239999999999999</v>
      </c>
      <c r="AF1636">
        <v>7.2999999999999995E-2</v>
      </c>
      <c r="AG1636">
        <v>4.9630000000000001</v>
      </c>
      <c r="AH1636">
        <v>219.82</v>
      </c>
      <c r="AI1636" t="s">
        <v>22</v>
      </c>
      <c r="AJ1636">
        <v>1065</v>
      </c>
      <c r="AK1636">
        <v>265</v>
      </c>
      <c r="AL1636">
        <v>1092.5</v>
      </c>
      <c r="AM1636">
        <v>12.5</v>
      </c>
      <c r="AN1636">
        <v>67.5</v>
      </c>
      <c r="AO1636">
        <v>0</v>
      </c>
      <c r="AP1636">
        <v>0</v>
      </c>
      <c r="AQ1636">
        <v>2.5</v>
      </c>
      <c r="AR1636">
        <v>7.5</v>
      </c>
      <c r="AS1636">
        <v>112.5</v>
      </c>
      <c r="AT1636">
        <f t="shared" si="26"/>
        <v>2625</v>
      </c>
      <c r="AU1636" t="s">
        <v>35</v>
      </c>
    </row>
    <row r="1637" spans="1:47" x14ac:dyDescent="0.2">
      <c r="A1637">
        <v>2354</v>
      </c>
      <c r="B1637" t="s">
        <v>889</v>
      </c>
      <c r="C1637">
        <v>207</v>
      </c>
      <c r="D1637" t="s">
        <v>782</v>
      </c>
      <c r="G1637" t="str">
        <f t="shared" si="25"/>
        <v>SWL2017207DBO4.4</v>
      </c>
      <c r="H1637">
        <v>71.363</v>
      </c>
      <c r="I1637">
        <v>-163.005</v>
      </c>
      <c r="J1637" s="3">
        <v>20170720</v>
      </c>
      <c r="K1637">
        <v>2017</v>
      </c>
      <c r="L1637">
        <v>17.800509999999999</v>
      </c>
      <c r="M1637">
        <v>3.7071700000000001</v>
      </c>
      <c r="N1637">
        <v>0.92049999999999998</v>
      </c>
      <c r="O1637">
        <v>1.22054</v>
      </c>
      <c r="P1637">
        <v>0.44230999999999998</v>
      </c>
      <c r="Q1637">
        <v>0</v>
      </c>
      <c r="R1637">
        <v>0</v>
      </c>
      <c r="S1637">
        <v>0</v>
      </c>
      <c r="T1637">
        <v>0.62822</v>
      </c>
      <c r="U1637">
        <v>4.147E-2</v>
      </c>
      <c r="V1637">
        <v>24.760719999999999</v>
      </c>
      <c r="W1637" t="s">
        <v>9</v>
      </c>
      <c r="X1637">
        <v>253.88900000000001</v>
      </c>
      <c r="Y1637">
        <v>115.97</v>
      </c>
      <c r="Z1637">
        <v>13.071</v>
      </c>
      <c r="AA1637">
        <v>27.123000000000001</v>
      </c>
      <c r="AB1637">
        <v>31.594000000000001</v>
      </c>
      <c r="AC1637">
        <v>0</v>
      </c>
      <c r="AD1637">
        <v>0</v>
      </c>
      <c r="AE1637">
        <v>0</v>
      </c>
      <c r="AF1637">
        <v>6.7549999999999999</v>
      </c>
      <c r="AG1637">
        <v>1.1659999999999999</v>
      </c>
      <c r="AH1637">
        <v>449.56799999999998</v>
      </c>
      <c r="AI1637" t="s">
        <v>21</v>
      </c>
      <c r="AJ1637">
        <v>17152.5</v>
      </c>
      <c r="AK1637">
        <v>415</v>
      </c>
      <c r="AL1637">
        <v>2590</v>
      </c>
      <c r="AM1637">
        <v>12.5</v>
      </c>
      <c r="AN1637">
        <v>97.5</v>
      </c>
      <c r="AO1637">
        <v>0</v>
      </c>
      <c r="AP1637">
        <v>0</v>
      </c>
      <c r="AQ1637">
        <v>0</v>
      </c>
      <c r="AR1637">
        <v>27.5</v>
      </c>
      <c r="AS1637">
        <v>30</v>
      </c>
      <c r="AT1637">
        <f t="shared" si="26"/>
        <v>20325</v>
      </c>
      <c r="AU1637" t="s">
        <v>33</v>
      </c>
    </row>
    <row r="1638" spans="1:47" x14ac:dyDescent="0.2">
      <c r="A1638">
        <v>2355</v>
      </c>
      <c r="B1638" t="s">
        <v>889</v>
      </c>
      <c r="C1638">
        <v>213</v>
      </c>
      <c r="D1638" t="s">
        <v>783</v>
      </c>
      <c r="G1638" t="str">
        <f t="shared" si="25"/>
        <v>SWL2017213DBO4.3</v>
      </c>
      <c r="H1638">
        <v>71.230999999999995</v>
      </c>
      <c r="I1638">
        <v>-162.63499999999999</v>
      </c>
      <c r="J1638" s="3">
        <v>20170721</v>
      </c>
      <c r="K1638">
        <v>2017</v>
      </c>
      <c r="L1638">
        <v>2.2425899999999999</v>
      </c>
      <c r="M1638">
        <v>5.2286000000000001</v>
      </c>
      <c r="N1638">
        <v>1.3091699999999999</v>
      </c>
      <c r="O1638">
        <v>2.5260799999999999</v>
      </c>
      <c r="P1638">
        <v>0.68108000000000002</v>
      </c>
      <c r="Q1638">
        <v>0</v>
      </c>
      <c r="R1638">
        <v>0.39500999999999997</v>
      </c>
      <c r="S1638">
        <v>0</v>
      </c>
      <c r="T1638">
        <v>9.6909999999999996E-2</v>
      </c>
      <c r="U1638">
        <v>0.36797999999999997</v>
      </c>
      <c r="V1638">
        <v>12.84742</v>
      </c>
      <c r="W1638" t="s">
        <v>10</v>
      </c>
      <c r="X1638">
        <v>34.002000000000002</v>
      </c>
      <c r="Y1638">
        <v>168.86099999999999</v>
      </c>
      <c r="Z1638">
        <v>18.295000000000002</v>
      </c>
      <c r="AA1638">
        <v>56.134999999999998</v>
      </c>
      <c r="AB1638">
        <v>48.649000000000001</v>
      </c>
      <c r="AC1638">
        <v>0</v>
      </c>
      <c r="AD1638">
        <v>7.8140000000000001</v>
      </c>
      <c r="AE1638">
        <v>0</v>
      </c>
      <c r="AF1638">
        <v>1.042</v>
      </c>
      <c r="AG1638">
        <v>12.063000000000001</v>
      </c>
      <c r="AH1638">
        <v>346.86099999999999</v>
      </c>
      <c r="AI1638" t="s">
        <v>22</v>
      </c>
      <c r="AJ1638">
        <v>1050</v>
      </c>
      <c r="AK1638">
        <v>847.5</v>
      </c>
      <c r="AL1638">
        <v>5545</v>
      </c>
      <c r="AM1638">
        <v>25</v>
      </c>
      <c r="AN1638">
        <v>127.5</v>
      </c>
      <c r="AO1638">
        <v>0</v>
      </c>
      <c r="AP1638">
        <v>12.5</v>
      </c>
      <c r="AQ1638">
        <v>0</v>
      </c>
      <c r="AR1638">
        <v>12.5</v>
      </c>
      <c r="AS1638">
        <v>65</v>
      </c>
      <c r="AT1638">
        <f t="shared" si="26"/>
        <v>7685</v>
      </c>
      <c r="AU1638" t="s">
        <v>35</v>
      </c>
    </row>
    <row r="1639" spans="1:47" x14ac:dyDescent="0.2">
      <c r="A1639">
        <v>2356</v>
      </c>
      <c r="B1639" t="s">
        <v>889</v>
      </c>
      <c r="C1639">
        <v>219</v>
      </c>
      <c r="D1639" t="s">
        <v>784</v>
      </c>
      <c r="G1639" t="str">
        <f t="shared" si="25"/>
        <v>SWL2017219DBO4.2</v>
      </c>
      <c r="H1639">
        <v>71.103999999999999</v>
      </c>
      <c r="I1639">
        <v>-162.26300000000001</v>
      </c>
      <c r="J1639" s="3">
        <v>20170721</v>
      </c>
      <c r="K1639">
        <v>2017</v>
      </c>
      <c r="L1639">
        <v>4.8453999999999997</v>
      </c>
      <c r="M1639">
        <v>6.9113800000000003</v>
      </c>
      <c r="N1639">
        <v>0.30631000000000003</v>
      </c>
      <c r="O1639">
        <v>1.0968800000000001</v>
      </c>
      <c r="P1639">
        <v>7.8E-2</v>
      </c>
      <c r="Q1639">
        <v>0</v>
      </c>
      <c r="R1639">
        <v>2.8700000000000002E-3</v>
      </c>
      <c r="S1639">
        <v>2.5600000000000002E-3</v>
      </c>
      <c r="T1639">
        <v>1.6418200000000001</v>
      </c>
      <c r="U1639">
        <v>8.1439999999999999E-2</v>
      </c>
      <c r="V1639">
        <v>14.966659999999999</v>
      </c>
      <c r="W1639" t="s">
        <v>10</v>
      </c>
      <c r="X1639">
        <v>69.981999999999999</v>
      </c>
      <c r="Y1639">
        <v>252.59299999999999</v>
      </c>
      <c r="Z1639">
        <v>4.3090000000000002</v>
      </c>
      <c r="AA1639">
        <v>24.375</v>
      </c>
      <c r="AB1639">
        <v>5.5709999999999997</v>
      </c>
      <c r="AC1639">
        <v>0</v>
      </c>
      <c r="AD1639">
        <v>4.7E-2</v>
      </c>
      <c r="AE1639">
        <v>0.183</v>
      </c>
      <c r="AF1639">
        <v>17.654</v>
      </c>
      <c r="AG1639">
        <v>4.032</v>
      </c>
      <c r="AH1639">
        <v>378.74599999999998</v>
      </c>
      <c r="AI1639" t="s">
        <v>22</v>
      </c>
      <c r="AJ1639">
        <v>1075</v>
      </c>
      <c r="AK1639">
        <v>1382.5</v>
      </c>
      <c r="AL1639">
        <v>1200</v>
      </c>
      <c r="AM1639">
        <v>15</v>
      </c>
      <c r="AN1639">
        <v>10</v>
      </c>
      <c r="AO1639">
        <v>0</v>
      </c>
      <c r="AP1639">
        <v>5</v>
      </c>
      <c r="AQ1639">
        <v>2.5</v>
      </c>
      <c r="AR1639">
        <v>30</v>
      </c>
      <c r="AS1639">
        <v>175</v>
      </c>
      <c r="AT1639">
        <f t="shared" si="26"/>
        <v>3895</v>
      </c>
      <c r="AU1639" t="s">
        <v>34</v>
      </c>
    </row>
    <row r="1640" spans="1:47" x14ac:dyDescent="0.2">
      <c r="A1640">
        <v>2357</v>
      </c>
      <c r="B1640" t="s">
        <v>889</v>
      </c>
      <c r="C1640">
        <v>225</v>
      </c>
      <c r="D1640" t="s">
        <v>785</v>
      </c>
      <c r="G1640" t="str">
        <f t="shared" si="25"/>
        <v>SWL2017225DBO4.1</v>
      </c>
      <c r="H1640">
        <v>70.972999999999999</v>
      </c>
      <c r="I1640">
        <v>-161.904</v>
      </c>
      <c r="J1640" s="3">
        <v>20170721</v>
      </c>
      <c r="K1640">
        <v>2017</v>
      </c>
      <c r="L1640">
        <v>6.3140700000000001</v>
      </c>
      <c r="M1640">
        <v>5.7236799999999999</v>
      </c>
      <c r="N1640">
        <v>1.3299700000000001</v>
      </c>
      <c r="O1640">
        <v>1.3859999999999999</v>
      </c>
      <c r="P1640">
        <v>0.26158999999999999</v>
      </c>
      <c r="Q1640">
        <v>0</v>
      </c>
      <c r="R1640">
        <v>1.3299999999999999E-2</v>
      </c>
      <c r="S1640">
        <v>0.15614</v>
      </c>
      <c r="T1640">
        <v>0.49791999999999997</v>
      </c>
      <c r="U1640">
        <v>6.28E-3</v>
      </c>
      <c r="V1640">
        <v>15.68895</v>
      </c>
      <c r="W1640" t="s">
        <v>9</v>
      </c>
      <c r="X1640">
        <v>87.992999999999995</v>
      </c>
      <c r="Y1640">
        <v>349.14699999999999</v>
      </c>
      <c r="Z1640">
        <v>19.202000000000002</v>
      </c>
      <c r="AA1640">
        <v>30.8</v>
      </c>
      <c r="AB1640">
        <v>18.684999999999999</v>
      </c>
      <c r="AC1640">
        <v>0</v>
      </c>
      <c r="AD1640">
        <v>0.218</v>
      </c>
      <c r="AE1640">
        <v>5.9379999999999997</v>
      </c>
      <c r="AF1640">
        <v>5.3540000000000001</v>
      </c>
      <c r="AG1640">
        <v>0.47599999999999998</v>
      </c>
      <c r="AH1640">
        <v>517.81299999999999</v>
      </c>
      <c r="AI1640" t="s">
        <v>22</v>
      </c>
      <c r="AJ1640">
        <v>1575</v>
      </c>
      <c r="AK1640">
        <v>550</v>
      </c>
      <c r="AL1640">
        <v>8655</v>
      </c>
      <c r="AM1640">
        <v>45</v>
      </c>
      <c r="AN1640">
        <v>27.5</v>
      </c>
      <c r="AO1640">
        <v>0</v>
      </c>
      <c r="AP1640">
        <v>5</v>
      </c>
      <c r="AQ1640">
        <v>7.5</v>
      </c>
      <c r="AR1640">
        <v>12.5</v>
      </c>
      <c r="AS1640">
        <v>12.5</v>
      </c>
      <c r="AT1640">
        <f t="shared" si="26"/>
        <v>10890</v>
      </c>
      <c r="AU1640" t="s">
        <v>35</v>
      </c>
    </row>
    <row r="1641" spans="1:47" x14ac:dyDescent="0.2">
      <c r="A1641">
        <v>2358</v>
      </c>
      <c r="B1641" t="s">
        <v>889</v>
      </c>
      <c r="C1641">
        <v>230</v>
      </c>
      <c r="D1641" t="s">
        <v>381</v>
      </c>
      <c r="G1641" t="str">
        <f t="shared" si="25"/>
        <v>SWL2017230BarC10</v>
      </c>
      <c r="H1641">
        <v>71.619</v>
      </c>
      <c r="I1641">
        <v>-157.92500000000001</v>
      </c>
      <c r="J1641" s="3">
        <v>20170721</v>
      </c>
      <c r="K1641">
        <v>2017</v>
      </c>
      <c r="L1641">
        <v>1.06406</v>
      </c>
      <c r="M1641">
        <v>3.1714199999999999</v>
      </c>
      <c r="N1641">
        <v>0.19525999999999999</v>
      </c>
      <c r="O1641">
        <v>1.3899999999999999E-2</v>
      </c>
      <c r="P1641">
        <v>0.30804999999999999</v>
      </c>
      <c r="Q1641">
        <v>0</v>
      </c>
      <c r="R1641">
        <v>0</v>
      </c>
      <c r="S1641">
        <v>0</v>
      </c>
      <c r="T1641">
        <v>0.16163</v>
      </c>
      <c r="U1641">
        <v>0.29626999999999998</v>
      </c>
      <c r="V1641">
        <v>5.2105899999999998</v>
      </c>
      <c r="W1641" t="s">
        <v>10</v>
      </c>
      <c r="X1641">
        <v>15.493</v>
      </c>
      <c r="Y1641">
        <v>82.596000000000004</v>
      </c>
      <c r="Z1641">
        <v>2.8580000000000001</v>
      </c>
      <c r="AA1641">
        <v>0.309</v>
      </c>
      <c r="AB1641">
        <v>22.004000000000001</v>
      </c>
      <c r="AC1641">
        <v>0</v>
      </c>
      <c r="AD1641">
        <v>0</v>
      </c>
      <c r="AE1641">
        <v>0</v>
      </c>
      <c r="AF1641">
        <v>1.738</v>
      </c>
      <c r="AG1641">
        <v>27.004000000000001</v>
      </c>
      <c r="AH1641">
        <v>152.00200000000001</v>
      </c>
      <c r="AI1641" t="s">
        <v>22</v>
      </c>
      <c r="AJ1641">
        <v>587.5</v>
      </c>
      <c r="AK1641">
        <v>612.5</v>
      </c>
      <c r="AL1641">
        <v>102.5</v>
      </c>
      <c r="AM1641">
        <v>10</v>
      </c>
      <c r="AN1641">
        <v>12.5</v>
      </c>
      <c r="AO1641">
        <v>0</v>
      </c>
      <c r="AP1641">
        <v>0</v>
      </c>
      <c r="AQ1641">
        <v>0</v>
      </c>
      <c r="AR1641">
        <v>7.5</v>
      </c>
      <c r="AS1641">
        <v>95</v>
      </c>
      <c r="AT1641">
        <f t="shared" si="26"/>
        <v>1427.5</v>
      </c>
      <c r="AU1641" t="s">
        <v>34</v>
      </c>
    </row>
    <row r="1642" spans="1:47" x14ac:dyDescent="0.2">
      <c r="A1642">
        <v>2359</v>
      </c>
      <c r="B1642" t="s">
        <v>889</v>
      </c>
      <c r="C1642">
        <v>235</v>
      </c>
      <c r="D1642" t="s">
        <v>380</v>
      </c>
      <c r="G1642" t="str">
        <f t="shared" si="25"/>
        <v>SWL2017235BarC9</v>
      </c>
      <c r="H1642">
        <v>71.576999999999998</v>
      </c>
      <c r="I1642">
        <v>-157.839</v>
      </c>
      <c r="J1642" s="3">
        <v>20170721</v>
      </c>
      <c r="K1642">
        <v>2017</v>
      </c>
      <c r="L1642">
        <v>0.52144999999999997</v>
      </c>
      <c r="M1642">
        <v>2.2968500000000001</v>
      </c>
      <c r="N1642">
        <v>5.9049999999999998E-2</v>
      </c>
      <c r="O1642">
        <v>2.1059999999999999E-2</v>
      </c>
      <c r="P1642">
        <v>0.15855</v>
      </c>
      <c r="Q1642">
        <v>0</v>
      </c>
      <c r="R1642">
        <v>0</v>
      </c>
      <c r="S1642">
        <v>0</v>
      </c>
      <c r="T1642">
        <v>4.0919999999999998E-2</v>
      </c>
      <c r="U1642">
        <v>0.68425999999999998</v>
      </c>
      <c r="V1642">
        <v>3.7821400000000001</v>
      </c>
      <c r="W1642" t="s">
        <v>10</v>
      </c>
      <c r="X1642">
        <v>7.2270000000000003</v>
      </c>
      <c r="Y1642">
        <v>53.624000000000002</v>
      </c>
      <c r="Z1642">
        <v>0.76900000000000002</v>
      </c>
      <c r="AA1642">
        <v>0.46800000000000003</v>
      </c>
      <c r="AB1642">
        <v>11.324999999999999</v>
      </c>
      <c r="AC1642">
        <v>0</v>
      </c>
      <c r="AD1642">
        <v>0</v>
      </c>
      <c r="AE1642">
        <v>0</v>
      </c>
      <c r="AF1642">
        <v>0.44</v>
      </c>
      <c r="AG1642">
        <v>66.935000000000002</v>
      </c>
      <c r="AH1642">
        <v>140.78800000000001</v>
      </c>
      <c r="AI1642" t="s">
        <v>30</v>
      </c>
      <c r="AJ1642">
        <v>610</v>
      </c>
      <c r="AK1642">
        <v>320</v>
      </c>
      <c r="AL1642">
        <v>180</v>
      </c>
      <c r="AM1642">
        <v>25</v>
      </c>
      <c r="AN1642">
        <v>5</v>
      </c>
      <c r="AO1642">
        <v>0</v>
      </c>
      <c r="AP1642">
        <v>0</v>
      </c>
      <c r="AQ1642">
        <v>0</v>
      </c>
      <c r="AR1642">
        <v>10</v>
      </c>
      <c r="AS1642">
        <v>95</v>
      </c>
      <c r="AT1642">
        <f t="shared" si="26"/>
        <v>1245</v>
      </c>
      <c r="AU1642" t="s">
        <v>33</v>
      </c>
    </row>
    <row r="1643" spans="1:47" x14ac:dyDescent="0.2">
      <c r="A1643">
        <v>2360</v>
      </c>
      <c r="B1643" t="s">
        <v>889</v>
      </c>
      <c r="C1643">
        <v>240</v>
      </c>
      <c r="D1643" t="s">
        <v>379</v>
      </c>
      <c r="G1643" t="str">
        <f t="shared" si="25"/>
        <v>SWL2017240BarC8</v>
      </c>
      <c r="H1643">
        <v>71.536000000000001</v>
      </c>
      <c r="I1643">
        <v>-157.75700000000001</v>
      </c>
      <c r="J1643" s="3">
        <v>20170721</v>
      </c>
      <c r="K1643">
        <v>2017</v>
      </c>
      <c r="L1643">
        <v>2.6381100000000002</v>
      </c>
      <c r="M1643">
        <v>0.34814000000000001</v>
      </c>
      <c r="N1643">
        <v>0.39233000000000001</v>
      </c>
      <c r="O1643">
        <v>0</v>
      </c>
      <c r="P1643">
        <v>0.19655</v>
      </c>
      <c r="Q1643">
        <v>0</v>
      </c>
      <c r="R1643">
        <v>0</v>
      </c>
      <c r="S1643">
        <v>0</v>
      </c>
      <c r="T1643">
        <v>0.27249000000000001</v>
      </c>
      <c r="U1643">
        <v>0.69389000000000001</v>
      </c>
      <c r="V1643">
        <v>4.5415099999999997</v>
      </c>
      <c r="W1643" t="s">
        <v>9</v>
      </c>
      <c r="X1643">
        <v>34.445</v>
      </c>
      <c r="Y1643">
        <v>12.061</v>
      </c>
      <c r="Z1643">
        <v>5.423</v>
      </c>
      <c r="AA1643">
        <v>0</v>
      </c>
      <c r="AB1643">
        <v>14.039</v>
      </c>
      <c r="AC1643">
        <v>0</v>
      </c>
      <c r="AD1643">
        <v>0</v>
      </c>
      <c r="AE1643">
        <v>0</v>
      </c>
      <c r="AF1643">
        <v>2.93</v>
      </c>
      <c r="AG1643">
        <v>63.207999999999998</v>
      </c>
      <c r="AH1643">
        <v>132.10599999999999</v>
      </c>
      <c r="AI1643" t="s">
        <v>30</v>
      </c>
      <c r="AJ1643">
        <v>4950</v>
      </c>
      <c r="AK1643">
        <v>420</v>
      </c>
      <c r="AL1643">
        <v>440</v>
      </c>
      <c r="AM1643">
        <v>0</v>
      </c>
      <c r="AN1643">
        <v>30</v>
      </c>
      <c r="AO1643">
        <v>0</v>
      </c>
      <c r="AP1643">
        <v>0</v>
      </c>
      <c r="AQ1643">
        <v>0</v>
      </c>
      <c r="AR1643">
        <v>50</v>
      </c>
      <c r="AS1643">
        <v>170</v>
      </c>
      <c r="AT1643">
        <f t="shared" si="26"/>
        <v>6060</v>
      </c>
      <c r="AU1643" t="s">
        <v>33</v>
      </c>
    </row>
    <row r="1644" spans="1:47" x14ac:dyDescent="0.2">
      <c r="A1644">
        <v>2361</v>
      </c>
      <c r="B1644" t="s">
        <v>889</v>
      </c>
      <c r="C1644">
        <v>245</v>
      </c>
      <c r="D1644" t="s">
        <v>377</v>
      </c>
      <c r="G1644" t="str">
        <f t="shared" si="25"/>
        <v>SWL2017245BarC7</v>
      </c>
      <c r="H1644">
        <v>71.498000000000005</v>
      </c>
      <c r="I1644">
        <v>-157.65899999999999</v>
      </c>
      <c r="J1644" s="3">
        <v>20170721</v>
      </c>
      <c r="K1644">
        <v>2017</v>
      </c>
      <c r="L1644">
        <v>12.723560000000001</v>
      </c>
      <c r="M1644">
        <v>0.83709999999999996</v>
      </c>
      <c r="N1644">
        <v>3.39927</v>
      </c>
      <c r="O1644">
        <v>12.49601</v>
      </c>
      <c r="P1644">
        <v>0.33184000000000002</v>
      </c>
      <c r="Q1644">
        <v>0</v>
      </c>
      <c r="R1644">
        <v>7.6980000000000007E-2</v>
      </c>
      <c r="S1644">
        <v>0</v>
      </c>
      <c r="T1644">
        <v>0</v>
      </c>
      <c r="U1644">
        <v>0.13006000000000001</v>
      </c>
      <c r="V1644">
        <v>29.994820000000001</v>
      </c>
      <c r="W1644" t="s">
        <v>9</v>
      </c>
      <c r="X1644">
        <v>180.07</v>
      </c>
      <c r="Y1644">
        <v>52.929000000000002</v>
      </c>
      <c r="Z1644">
        <v>48.789000000000001</v>
      </c>
      <c r="AA1644">
        <v>277.68900000000002</v>
      </c>
      <c r="AB1644">
        <v>23.702999999999999</v>
      </c>
      <c r="AC1644">
        <v>0</v>
      </c>
      <c r="AD1644">
        <v>1.262</v>
      </c>
      <c r="AE1644">
        <v>0</v>
      </c>
      <c r="AF1644">
        <v>0</v>
      </c>
      <c r="AG1644">
        <v>8.8409999999999993</v>
      </c>
      <c r="AH1644">
        <v>593.28300000000002</v>
      </c>
      <c r="AI1644" t="s">
        <v>24</v>
      </c>
      <c r="AJ1644">
        <v>20680</v>
      </c>
      <c r="AK1644">
        <v>340</v>
      </c>
      <c r="AL1644">
        <v>7060</v>
      </c>
      <c r="AM1644">
        <v>60</v>
      </c>
      <c r="AN1644">
        <v>50</v>
      </c>
      <c r="AO1644">
        <v>0</v>
      </c>
      <c r="AP1644">
        <v>10</v>
      </c>
      <c r="AQ1644">
        <v>0</v>
      </c>
      <c r="AR1644">
        <v>0</v>
      </c>
      <c r="AS1644">
        <v>80</v>
      </c>
      <c r="AT1644">
        <f t="shared" si="26"/>
        <v>28280</v>
      </c>
      <c r="AU1644" t="s">
        <v>33</v>
      </c>
    </row>
    <row r="1645" spans="1:47" x14ac:dyDescent="0.2">
      <c r="A1645">
        <v>2362</v>
      </c>
      <c r="B1645" t="s">
        <v>889</v>
      </c>
      <c r="C1645">
        <v>251</v>
      </c>
      <c r="D1645" t="s">
        <v>376</v>
      </c>
      <c r="G1645" t="str">
        <f t="shared" si="25"/>
        <v>SWL2017251BarC6</v>
      </c>
      <c r="H1645">
        <v>71.454999999999998</v>
      </c>
      <c r="I1645">
        <v>-157.57900000000001</v>
      </c>
      <c r="J1645" s="3">
        <v>20170722</v>
      </c>
      <c r="K1645">
        <v>2017</v>
      </c>
      <c r="L1645">
        <v>22.633279999999999</v>
      </c>
      <c r="M1645">
        <v>7.4800000000000005E-2</v>
      </c>
      <c r="N1645">
        <v>16.208839999999999</v>
      </c>
      <c r="O1645">
        <v>8.7669999999999998E-2</v>
      </c>
      <c r="P1645">
        <v>0.7238</v>
      </c>
      <c r="Q1645">
        <v>0</v>
      </c>
      <c r="R1645">
        <v>9.3939999999999996E-2</v>
      </c>
      <c r="S1645">
        <v>0</v>
      </c>
      <c r="T1645">
        <v>8.9929999999999996E-2</v>
      </c>
      <c r="U1645">
        <v>8.4140000000000006E-2</v>
      </c>
      <c r="V1645">
        <v>39.996400000000001</v>
      </c>
      <c r="W1645" t="s">
        <v>9</v>
      </c>
      <c r="X1645">
        <v>320.77100000000002</v>
      </c>
      <c r="Y1645">
        <v>2.2650000000000001</v>
      </c>
      <c r="Z1645">
        <v>237.447</v>
      </c>
      <c r="AA1645">
        <v>1.948</v>
      </c>
      <c r="AB1645">
        <v>51.7</v>
      </c>
      <c r="AC1645">
        <v>0</v>
      </c>
      <c r="AD1645">
        <v>1.54</v>
      </c>
      <c r="AE1645">
        <v>0</v>
      </c>
      <c r="AF1645">
        <v>0.96699999999999997</v>
      </c>
      <c r="AG1645">
        <v>5.4210000000000003</v>
      </c>
      <c r="AH1645">
        <v>622.05899999999997</v>
      </c>
      <c r="AI1645" t="s">
        <v>21</v>
      </c>
      <c r="AJ1645">
        <v>21450</v>
      </c>
      <c r="AK1645">
        <v>140</v>
      </c>
      <c r="AL1645">
        <v>47440</v>
      </c>
      <c r="AM1645">
        <v>120</v>
      </c>
      <c r="AN1645">
        <v>150</v>
      </c>
      <c r="AO1645">
        <v>0</v>
      </c>
      <c r="AP1645">
        <v>10</v>
      </c>
      <c r="AQ1645">
        <v>0</v>
      </c>
      <c r="AR1645">
        <v>50</v>
      </c>
      <c r="AS1645">
        <v>160</v>
      </c>
      <c r="AT1645">
        <f t="shared" si="26"/>
        <v>69520</v>
      </c>
      <c r="AU1645" t="s">
        <v>35</v>
      </c>
    </row>
    <row r="1646" spans="1:47" x14ac:dyDescent="0.2">
      <c r="A1646">
        <v>2363</v>
      </c>
      <c r="B1646" t="s">
        <v>889</v>
      </c>
      <c r="C1646">
        <v>256</v>
      </c>
      <c r="D1646" t="s">
        <v>375</v>
      </c>
      <c r="G1646" t="str">
        <f t="shared" si="25"/>
        <v>SWL2017256BarC5</v>
      </c>
      <c r="H1646">
        <v>71.41</v>
      </c>
      <c r="I1646">
        <v>-157.488</v>
      </c>
      <c r="J1646" s="3">
        <v>20170722</v>
      </c>
      <c r="K1646">
        <v>2017</v>
      </c>
      <c r="L1646">
        <v>5.3792900000000001</v>
      </c>
      <c r="M1646">
        <v>0.97963999999999996</v>
      </c>
      <c r="N1646">
        <v>0.69855999999999996</v>
      </c>
      <c r="O1646">
        <v>2.7245300000000001</v>
      </c>
      <c r="P1646">
        <v>0.19464999999999999</v>
      </c>
      <c r="Q1646">
        <v>0</v>
      </c>
      <c r="R1646">
        <v>0</v>
      </c>
      <c r="S1646">
        <v>7.4900000000000001E-3</v>
      </c>
      <c r="T1646">
        <v>3.5619999999999999E-2</v>
      </c>
      <c r="U1646">
        <v>0.56630999999999998</v>
      </c>
      <c r="V1646">
        <v>10.58609</v>
      </c>
      <c r="W1646" t="s">
        <v>9</v>
      </c>
      <c r="X1646">
        <v>76.906999999999996</v>
      </c>
      <c r="Y1646">
        <v>33.886000000000003</v>
      </c>
      <c r="Z1646">
        <v>9.2560000000000002</v>
      </c>
      <c r="AA1646">
        <v>60.545000000000002</v>
      </c>
      <c r="AB1646">
        <v>13.904</v>
      </c>
      <c r="AC1646">
        <v>0</v>
      </c>
      <c r="AD1646">
        <v>0</v>
      </c>
      <c r="AE1646">
        <v>0.53500000000000003</v>
      </c>
      <c r="AF1646">
        <v>0.38300000000000001</v>
      </c>
      <c r="AG1646">
        <v>25.82</v>
      </c>
      <c r="AH1646">
        <v>221.23599999999999</v>
      </c>
      <c r="AI1646" t="s">
        <v>21</v>
      </c>
      <c r="AJ1646">
        <v>900</v>
      </c>
      <c r="AK1646">
        <v>30</v>
      </c>
      <c r="AL1646">
        <v>4510</v>
      </c>
      <c r="AM1646">
        <v>160</v>
      </c>
      <c r="AN1646">
        <v>120</v>
      </c>
      <c r="AO1646">
        <v>0</v>
      </c>
      <c r="AP1646">
        <v>0</v>
      </c>
      <c r="AQ1646">
        <v>10</v>
      </c>
      <c r="AR1646">
        <v>0</v>
      </c>
      <c r="AS1646">
        <v>130</v>
      </c>
      <c r="AT1646">
        <f t="shared" si="26"/>
        <v>5860</v>
      </c>
      <c r="AU1646" t="s">
        <v>35</v>
      </c>
    </row>
    <row r="1647" spans="1:47" x14ac:dyDescent="0.2">
      <c r="A1647">
        <v>2364</v>
      </c>
      <c r="B1647" t="s">
        <v>889</v>
      </c>
      <c r="C1647">
        <v>262</v>
      </c>
      <c r="D1647" t="s">
        <v>374</v>
      </c>
      <c r="G1647" t="str">
        <f t="shared" si="25"/>
        <v>SWL2017262BarC4</v>
      </c>
      <c r="H1647">
        <v>71.456000000000003</v>
      </c>
      <c r="I1647">
        <v>-157.58199999999999</v>
      </c>
      <c r="J1647" s="3">
        <v>20170721</v>
      </c>
      <c r="K1647">
        <v>2017</v>
      </c>
      <c r="L1647">
        <v>13.20144</v>
      </c>
      <c r="M1647">
        <v>7.20648</v>
      </c>
      <c r="N1647">
        <v>0.58211000000000002</v>
      </c>
      <c r="O1647">
        <v>0.27828999999999998</v>
      </c>
      <c r="P1647">
        <v>2.1076999999999999</v>
      </c>
      <c r="Q1647">
        <v>0</v>
      </c>
      <c r="R1647">
        <v>8.7200000000000003E-3</v>
      </c>
      <c r="S1647">
        <v>0.23005</v>
      </c>
      <c r="T1647">
        <v>9.4399999999999998E-2</v>
      </c>
      <c r="U1647">
        <v>0.81506999999999996</v>
      </c>
      <c r="V1647">
        <v>24.524260000000002</v>
      </c>
      <c r="W1647" t="s">
        <v>9</v>
      </c>
      <c r="X1647">
        <v>199.42699999999999</v>
      </c>
      <c r="Y1647">
        <v>242.42599999999999</v>
      </c>
      <c r="Z1647">
        <v>7.835</v>
      </c>
      <c r="AA1647">
        <v>6.1840000000000002</v>
      </c>
      <c r="AB1647">
        <v>150.55000000000001</v>
      </c>
      <c r="AC1647">
        <v>0</v>
      </c>
      <c r="AD1647">
        <v>0.14299999999999999</v>
      </c>
      <c r="AE1647">
        <v>16.431999999999999</v>
      </c>
      <c r="AF1647">
        <v>1.0149999999999999</v>
      </c>
      <c r="AG1647">
        <v>38.697000000000003</v>
      </c>
      <c r="AH1647">
        <v>662.70899999999995</v>
      </c>
      <c r="AI1647" t="s">
        <v>22</v>
      </c>
      <c r="AJ1647">
        <v>2500</v>
      </c>
      <c r="AK1647">
        <v>770</v>
      </c>
      <c r="AL1647">
        <v>4960</v>
      </c>
      <c r="AM1647">
        <v>150</v>
      </c>
      <c r="AN1647">
        <v>130</v>
      </c>
      <c r="AO1647">
        <v>0</v>
      </c>
      <c r="AP1647">
        <v>10</v>
      </c>
      <c r="AQ1647">
        <v>10</v>
      </c>
      <c r="AR1647">
        <v>30</v>
      </c>
      <c r="AS1647">
        <v>130</v>
      </c>
      <c r="AT1647">
        <f t="shared" si="26"/>
        <v>8690</v>
      </c>
      <c r="AU1647" t="s">
        <v>35</v>
      </c>
    </row>
    <row r="1648" spans="1:47" x14ac:dyDescent="0.2">
      <c r="A1648">
        <v>2365</v>
      </c>
      <c r="B1648" t="s">
        <v>889</v>
      </c>
      <c r="C1648">
        <v>267</v>
      </c>
      <c r="D1648" t="s">
        <v>373</v>
      </c>
      <c r="G1648" t="str">
        <f t="shared" si="25"/>
        <v>SWL2017267BarC3</v>
      </c>
      <c r="H1648">
        <v>71.41</v>
      </c>
      <c r="I1648">
        <v>-157.48699999999999</v>
      </c>
      <c r="J1648" s="3">
        <v>20170721</v>
      </c>
      <c r="K1648">
        <v>2017</v>
      </c>
      <c r="L1648">
        <v>3.3414100000000002</v>
      </c>
      <c r="M1648">
        <v>4.9177099999999996</v>
      </c>
      <c r="N1648">
        <v>0.55349000000000004</v>
      </c>
      <c r="O1648">
        <v>0.18287999999999999</v>
      </c>
      <c r="P1648">
        <v>4.3999999999999997E-2</v>
      </c>
      <c r="Q1648">
        <v>0</v>
      </c>
      <c r="R1648">
        <v>0</v>
      </c>
      <c r="S1648">
        <v>0</v>
      </c>
      <c r="T1648">
        <v>0.30941000000000002</v>
      </c>
      <c r="U1648">
        <v>14.068709999999999</v>
      </c>
      <c r="V1648">
        <v>23.41761</v>
      </c>
      <c r="W1648" t="s">
        <v>18</v>
      </c>
      <c r="X1648">
        <v>50.826999999999998</v>
      </c>
      <c r="Y1648">
        <v>282.54899999999998</v>
      </c>
      <c r="Z1648">
        <v>7.6660000000000004</v>
      </c>
      <c r="AA1648">
        <v>4.0640000000000001</v>
      </c>
      <c r="AB1648">
        <v>3.1429999999999998</v>
      </c>
      <c r="AC1648">
        <v>0</v>
      </c>
      <c r="AD1648">
        <v>0</v>
      </c>
      <c r="AE1648">
        <v>0</v>
      </c>
      <c r="AF1648">
        <v>3.327</v>
      </c>
      <c r="AG1648">
        <v>669.67200000000003</v>
      </c>
      <c r="AH1648">
        <v>1021.248</v>
      </c>
      <c r="AI1648" t="s">
        <v>30</v>
      </c>
      <c r="AJ1648">
        <v>1710</v>
      </c>
      <c r="AK1648">
        <v>240</v>
      </c>
      <c r="AL1648">
        <v>2470</v>
      </c>
      <c r="AM1648">
        <v>100</v>
      </c>
      <c r="AN1648">
        <v>30</v>
      </c>
      <c r="AO1648">
        <v>0</v>
      </c>
      <c r="AP1648">
        <v>0</v>
      </c>
      <c r="AQ1648">
        <v>0</v>
      </c>
      <c r="AR1648">
        <v>10</v>
      </c>
      <c r="AS1648">
        <v>2130</v>
      </c>
      <c r="AT1648">
        <f t="shared" si="26"/>
        <v>6690</v>
      </c>
      <c r="AU1648" t="s">
        <v>35</v>
      </c>
    </row>
    <row r="1649" spans="1:47" x14ac:dyDescent="0.2">
      <c r="A1649">
        <v>2366</v>
      </c>
      <c r="B1649" t="s">
        <v>889</v>
      </c>
      <c r="C1649">
        <v>272</v>
      </c>
      <c r="D1649" t="s">
        <v>372</v>
      </c>
      <c r="G1649" t="str">
        <f t="shared" si="25"/>
        <v>SWL2017272BarC2</v>
      </c>
      <c r="H1649">
        <v>71.372</v>
      </c>
      <c r="I1649">
        <v>-157.40899999999999</v>
      </c>
      <c r="J1649" s="3">
        <v>20170722</v>
      </c>
      <c r="K1649">
        <v>2017</v>
      </c>
      <c r="L1649">
        <v>6.8203399999999998</v>
      </c>
      <c r="M1649">
        <v>4.6693199999999999</v>
      </c>
      <c r="N1649">
        <v>2.0047799999999998</v>
      </c>
      <c r="O1649">
        <v>4.1103899999999998</v>
      </c>
      <c r="P1649">
        <v>4.283E-2</v>
      </c>
      <c r="Q1649">
        <v>0</v>
      </c>
      <c r="R1649">
        <v>0.40788000000000002</v>
      </c>
      <c r="S1649">
        <v>4.0710000000000003E-2</v>
      </c>
      <c r="T1649">
        <v>4.1110000000000001E-2</v>
      </c>
      <c r="U1649">
        <v>20.064640000000001</v>
      </c>
      <c r="V1649">
        <v>38.201999999999998</v>
      </c>
      <c r="W1649" t="s">
        <v>18</v>
      </c>
      <c r="X1649">
        <v>105.196</v>
      </c>
      <c r="Y1649">
        <v>301.10700000000003</v>
      </c>
      <c r="Z1649">
        <v>28.123000000000001</v>
      </c>
      <c r="AA1649">
        <v>91.341999999999999</v>
      </c>
      <c r="AB1649">
        <v>3.0590000000000002</v>
      </c>
      <c r="AC1649">
        <v>0</v>
      </c>
      <c r="AD1649">
        <v>10.196999999999999</v>
      </c>
      <c r="AE1649">
        <v>0.99299999999999999</v>
      </c>
      <c r="AF1649">
        <v>0.442</v>
      </c>
      <c r="AG1649">
        <v>782.73299999999995</v>
      </c>
      <c r="AH1649">
        <v>1323.192</v>
      </c>
      <c r="AI1649" t="s">
        <v>30</v>
      </c>
      <c r="AJ1649">
        <v>4790</v>
      </c>
      <c r="AK1649">
        <v>1680</v>
      </c>
      <c r="AL1649">
        <v>5150</v>
      </c>
      <c r="AM1649">
        <v>110</v>
      </c>
      <c r="AN1649">
        <v>60</v>
      </c>
      <c r="AO1649">
        <v>0</v>
      </c>
      <c r="AP1649">
        <v>0</v>
      </c>
      <c r="AQ1649">
        <v>20</v>
      </c>
      <c r="AR1649">
        <v>50</v>
      </c>
      <c r="AS1649">
        <v>270</v>
      </c>
      <c r="AT1649">
        <f t="shared" si="26"/>
        <v>12130</v>
      </c>
      <c r="AU1649" t="s">
        <v>35</v>
      </c>
    </row>
    <row r="1650" spans="1:47" x14ac:dyDescent="0.2">
      <c r="A1650">
        <v>2367</v>
      </c>
      <c r="B1650" t="s">
        <v>889</v>
      </c>
      <c r="C1650">
        <v>277</v>
      </c>
      <c r="D1650" t="s">
        <v>371</v>
      </c>
      <c r="G1650" t="str">
        <f t="shared" si="25"/>
        <v>SWL2017277BarC1</v>
      </c>
      <c r="H1650">
        <v>71.331999999999994</v>
      </c>
      <c r="I1650">
        <v>-157.333</v>
      </c>
      <c r="J1650" s="3">
        <v>20170722</v>
      </c>
      <c r="K1650">
        <v>2017</v>
      </c>
      <c r="L1650">
        <v>2.3845200000000002</v>
      </c>
      <c r="M1650">
        <v>1.5582800000000001</v>
      </c>
      <c r="N1650">
        <v>1.6650700000000001</v>
      </c>
      <c r="O1650">
        <v>0</v>
      </c>
      <c r="P1650">
        <v>3.0000000000000001E-5</v>
      </c>
      <c r="Q1650">
        <v>0</v>
      </c>
      <c r="R1650">
        <v>0</v>
      </c>
      <c r="S1650">
        <v>3.1281400000000001</v>
      </c>
      <c r="T1650">
        <v>4.1939999999999998E-2</v>
      </c>
      <c r="U1650">
        <v>1.3541000000000001</v>
      </c>
      <c r="V1650">
        <v>10.13208</v>
      </c>
      <c r="W1650" t="s">
        <v>16</v>
      </c>
      <c r="X1650">
        <v>34.97</v>
      </c>
      <c r="Y1650">
        <v>33.476999999999997</v>
      </c>
      <c r="Z1650">
        <v>24.291</v>
      </c>
      <c r="AA1650">
        <v>0</v>
      </c>
      <c r="AB1650">
        <v>2E-3</v>
      </c>
      <c r="AC1650">
        <v>0</v>
      </c>
      <c r="AD1650">
        <v>0</v>
      </c>
      <c r="AE1650">
        <v>76.296000000000006</v>
      </c>
      <c r="AF1650">
        <v>0.45100000000000001</v>
      </c>
      <c r="AG1650">
        <v>66.391000000000005</v>
      </c>
      <c r="AH1650">
        <v>235.87799999999999</v>
      </c>
      <c r="AI1650" t="s">
        <v>28</v>
      </c>
      <c r="AJ1650">
        <v>1250</v>
      </c>
      <c r="AK1650">
        <v>320</v>
      </c>
      <c r="AL1650">
        <v>2240</v>
      </c>
      <c r="AM1650">
        <v>0</v>
      </c>
      <c r="AN1650">
        <v>10</v>
      </c>
      <c r="AO1650">
        <v>0</v>
      </c>
      <c r="AP1650">
        <v>0</v>
      </c>
      <c r="AQ1650">
        <v>10</v>
      </c>
      <c r="AR1650">
        <v>60</v>
      </c>
      <c r="AS1650">
        <v>40</v>
      </c>
      <c r="AT1650">
        <f t="shared" si="26"/>
        <v>3930</v>
      </c>
      <c r="AU1650" t="s">
        <v>35</v>
      </c>
    </row>
    <row r="1651" spans="1:47" x14ac:dyDescent="0.2">
      <c r="A1651">
        <v>2368</v>
      </c>
      <c r="B1651" t="s">
        <v>889</v>
      </c>
      <c r="C1651">
        <v>278</v>
      </c>
      <c r="D1651" t="s">
        <v>890</v>
      </c>
      <c r="G1651" t="str">
        <f t="shared" si="25"/>
        <v>SWL2017278BarC5A</v>
      </c>
      <c r="H1651">
        <v>71.287000000000006</v>
      </c>
      <c r="I1651">
        <v>-157.262</v>
      </c>
      <c r="J1651" s="3">
        <v>20170722</v>
      </c>
      <c r="K1651">
        <v>2017</v>
      </c>
      <c r="L1651">
        <v>6.4425999999999997</v>
      </c>
      <c r="M1651">
        <v>36.458970000000001</v>
      </c>
      <c r="N1651">
        <v>0.44492999999999999</v>
      </c>
      <c r="O1651">
        <v>20.737939999999998</v>
      </c>
      <c r="P1651">
        <v>0.89820999999999995</v>
      </c>
      <c r="Q1651">
        <v>0</v>
      </c>
      <c r="R1651">
        <v>0.44074000000000002</v>
      </c>
      <c r="S1651">
        <v>0</v>
      </c>
      <c r="T1651">
        <v>3.943E-2</v>
      </c>
      <c r="U1651">
        <v>0.51236000000000004</v>
      </c>
      <c r="V1651">
        <v>65.975179999999995</v>
      </c>
      <c r="W1651" t="s">
        <v>10</v>
      </c>
      <c r="X1651">
        <v>95.844999999999999</v>
      </c>
      <c r="Y1651">
        <v>1302.6769999999999</v>
      </c>
      <c r="Z1651">
        <v>5.9</v>
      </c>
      <c r="AA1651">
        <v>460.84300000000002</v>
      </c>
      <c r="AB1651">
        <v>64.158000000000001</v>
      </c>
      <c r="AC1651">
        <v>0</v>
      </c>
      <c r="AD1651">
        <v>9.9909999999999997</v>
      </c>
      <c r="AE1651">
        <v>0</v>
      </c>
      <c r="AF1651">
        <v>0.42399999999999999</v>
      </c>
      <c r="AG1651">
        <v>28.702999999999999</v>
      </c>
      <c r="AH1651">
        <v>1968.5409999999999</v>
      </c>
      <c r="AI1651" t="s">
        <v>22</v>
      </c>
      <c r="AJ1651">
        <v>6632.5</v>
      </c>
      <c r="AK1651">
        <v>1977.5</v>
      </c>
      <c r="AL1651">
        <v>3715</v>
      </c>
      <c r="AM1651">
        <v>290</v>
      </c>
      <c r="AN1651">
        <v>87.5</v>
      </c>
      <c r="AO1651">
        <v>0</v>
      </c>
      <c r="AP1651">
        <v>2.5</v>
      </c>
      <c r="AQ1651">
        <v>0</v>
      </c>
      <c r="AR1651">
        <v>10</v>
      </c>
      <c r="AS1651">
        <v>245</v>
      </c>
      <c r="AT1651">
        <f t="shared" si="26"/>
        <v>12960</v>
      </c>
      <c r="AU1651" t="s">
        <v>33</v>
      </c>
    </row>
    <row r="1652" spans="1:47" x14ac:dyDescent="0.2">
      <c r="A1652">
        <v>2266</v>
      </c>
      <c r="B1652" t="s">
        <v>884</v>
      </c>
      <c r="C1652">
        <v>34</v>
      </c>
      <c r="D1652" t="s">
        <v>551</v>
      </c>
      <c r="G1652" t="str">
        <f t="shared" si="25"/>
        <v>SWL201834SLIP1</v>
      </c>
      <c r="H1652">
        <v>62.009</v>
      </c>
      <c r="I1652">
        <v>-175.06299999999999</v>
      </c>
      <c r="J1652" s="3">
        <v>20180716</v>
      </c>
      <c r="K1652">
        <v>2018</v>
      </c>
      <c r="L1652">
        <v>7.42638</v>
      </c>
      <c r="M1652">
        <v>7.7843299999999997</v>
      </c>
      <c r="N1652">
        <v>0.15481</v>
      </c>
      <c r="O1652">
        <v>1.022E-2</v>
      </c>
      <c r="P1652">
        <v>2.0899999999999998E-3</v>
      </c>
      <c r="Q1652">
        <v>0</v>
      </c>
      <c r="R1652">
        <v>0</v>
      </c>
      <c r="S1652">
        <v>0</v>
      </c>
      <c r="T1652">
        <v>2.1389999999999999E-2</v>
      </c>
      <c r="U1652">
        <v>0.12354999999999999</v>
      </c>
      <c r="V1652">
        <v>15.52277</v>
      </c>
      <c r="W1652" t="s">
        <v>10</v>
      </c>
      <c r="X1652">
        <v>106.044</v>
      </c>
      <c r="Y1652">
        <v>222.92500000000001</v>
      </c>
      <c r="Z1652">
        <v>1.919</v>
      </c>
      <c r="AA1652">
        <v>0.22700000000000001</v>
      </c>
      <c r="AB1652">
        <v>0.14899999999999999</v>
      </c>
      <c r="AC1652">
        <v>0</v>
      </c>
      <c r="AD1652">
        <v>0</v>
      </c>
      <c r="AE1652">
        <v>0</v>
      </c>
      <c r="AF1652">
        <v>0.23</v>
      </c>
      <c r="AG1652">
        <v>2.77</v>
      </c>
      <c r="AH1652">
        <v>334.26400000000001</v>
      </c>
      <c r="AI1652" t="s">
        <v>22</v>
      </c>
      <c r="AJ1652">
        <v>1450</v>
      </c>
      <c r="AK1652">
        <v>425</v>
      </c>
      <c r="AL1652">
        <v>150</v>
      </c>
      <c r="AM1652">
        <v>47.5</v>
      </c>
      <c r="AN1652">
        <v>5</v>
      </c>
      <c r="AO1652">
        <v>0</v>
      </c>
      <c r="AP1652">
        <v>0</v>
      </c>
      <c r="AQ1652">
        <v>0</v>
      </c>
      <c r="AR1652">
        <v>17.5</v>
      </c>
      <c r="AS1652">
        <v>270</v>
      </c>
      <c r="AT1652">
        <v>2365</v>
      </c>
      <c r="AU1652" t="s">
        <v>33</v>
      </c>
    </row>
    <row r="1653" spans="1:47" x14ac:dyDescent="0.2">
      <c r="A1653">
        <v>2267</v>
      </c>
      <c r="B1653" t="s">
        <v>884</v>
      </c>
      <c r="C1653">
        <v>41</v>
      </c>
      <c r="D1653" t="s">
        <v>552</v>
      </c>
      <c r="G1653" t="str">
        <f t="shared" si="25"/>
        <v>SWL201841SLIP2</v>
      </c>
      <c r="H1653">
        <v>62.048999999999999</v>
      </c>
      <c r="I1653">
        <v>-175.20599999999999</v>
      </c>
      <c r="J1653" s="3">
        <v>20180716</v>
      </c>
      <c r="K1653">
        <v>2018</v>
      </c>
      <c r="L1653">
        <v>7.1754300000000004</v>
      </c>
      <c r="M1653">
        <v>9.5963200000000004</v>
      </c>
      <c r="N1653">
        <v>0.35272999999999999</v>
      </c>
      <c r="O1653">
        <v>1.098E-2</v>
      </c>
      <c r="P1653">
        <v>0.21074000000000001</v>
      </c>
      <c r="Q1653">
        <v>0</v>
      </c>
      <c r="R1653">
        <v>0</v>
      </c>
      <c r="S1653">
        <v>0</v>
      </c>
      <c r="T1653">
        <v>2.3516900000000001</v>
      </c>
      <c r="U1653">
        <v>0.14224999999999999</v>
      </c>
      <c r="V1653">
        <v>19.840140000000002</v>
      </c>
      <c r="W1653" t="s">
        <v>10</v>
      </c>
      <c r="X1653">
        <v>104</v>
      </c>
      <c r="Y1653">
        <v>295.68200000000002</v>
      </c>
      <c r="Z1653">
        <v>4.3920000000000003</v>
      </c>
      <c r="AA1653">
        <v>0.24399999999999999</v>
      </c>
      <c r="AB1653">
        <v>15.053000000000001</v>
      </c>
      <c r="AC1653">
        <v>0</v>
      </c>
      <c r="AD1653">
        <v>0</v>
      </c>
      <c r="AE1653">
        <v>0</v>
      </c>
      <c r="AF1653">
        <v>25.286999999999999</v>
      </c>
      <c r="AG1653">
        <v>2.9470000000000001</v>
      </c>
      <c r="AH1653">
        <v>447.60500000000002</v>
      </c>
      <c r="AI1653" t="s">
        <v>22</v>
      </c>
      <c r="AJ1653">
        <v>1835</v>
      </c>
      <c r="AK1653">
        <v>547.5</v>
      </c>
      <c r="AL1653">
        <v>415</v>
      </c>
      <c r="AM1653">
        <v>60</v>
      </c>
      <c r="AN1653">
        <v>20</v>
      </c>
      <c r="AO1653">
        <v>0</v>
      </c>
      <c r="AP1653">
        <v>0</v>
      </c>
      <c r="AQ1653">
        <v>0</v>
      </c>
      <c r="AR1653">
        <v>30</v>
      </c>
      <c r="AS1653">
        <v>312.5</v>
      </c>
      <c r="AT1653">
        <v>3220</v>
      </c>
      <c r="AU1653" t="s">
        <v>33</v>
      </c>
    </row>
    <row r="1654" spans="1:47" x14ac:dyDescent="0.2">
      <c r="A1654">
        <v>2268</v>
      </c>
      <c r="B1654" t="s">
        <v>884</v>
      </c>
      <c r="C1654">
        <v>49</v>
      </c>
      <c r="D1654" t="s">
        <v>553</v>
      </c>
      <c r="G1654" t="str">
        <f t="shared" si="25"/>
        <v>SWL201849SLIP3</v>
      </c>
      <c r="H1654">
        <v>62.390999999999998</v>
      </c>
      <c r="I1654">
        <v>-174.56899999999999</v>
      </c>
      <c r="J1654" s="3">
        <v>20180716</v>
      </c>
      <c r="K1654">
        <v>2018</v>
      </c>
      <c r="L1654">
        <v>10.42662</v>
      </c>
      <c r="M1654">
        <v>2.6989899999999998</v>
      </c>
      <c r="N1654">
        <v>1.1256699999999999</v>
      </c>
      <c r="O1654">
        <v>6.5300000000000002E-3</v>
      </c>
      <c r="P1654">
        <v>0.3463</v>
      </c>
      <c r="Q1654">
        <v>0</v>
      </c>
      <c r="R1654">
        <v>0</v>
      </c>
      <c r="S1654">
        <v>0.38713999999999998</v>
      </c>
      <c r="T1654">
        <v>0.18395</v>
      </c>
      <c r="U1654">
        <v>0.64415</v>
      </c>
      <c r="V1654">
        <v>15.81935</v>
      </c>
      <c r="W1654" t="s">
        <v>9</v>
      </c>
      <c r="X1654">
        <v>150.63200000000001</v>
      </c>
      <c r="Y1654">
        <v>76.902000000000001</v>
      </c>
      <c r="Z1654">
        <v>13.917</v>
      </c>
      <c r="AA1654">
        <v>0.14499999999999999</v>
      </c>
      <c r="AB1654">
        <v>24.736000000000001</v>
      </c>
      <c r="AC1654">
        <v>0</v>
      </c>
      <c r="AD1654">
        <v>0</v>
      </c>
      <c r="AE1654">
        <v>27.652999999999999</v>
      </c>
      <c r="AF1654">
        <v>1.978</v>
      </c>
      <c r="AG1654">
        <v>14.058999999999999</v>
      </c>
      <c r="AH1654">
        <v>310.02199999999999</v>
      </c>
      <c r="AI1654" t="s">
        <v>21</v>
      </c>
      <c r="AJ1654">
        <v>2367.5</v>
      </c>
      <c r="AK1654">
        <v>462.5</v>
      </c>
      <c r="AL1654">
        <v>777.5</v>
      </c>
      <c r="AM1654">
        <v>10</v>
      </c>
      <c r="AN1654">
        <v>25</v>
      </c>
      <c r="AO1654">
        <v>0</v>
      </c>
      <c r="AP1654">
        <v>0</v>
      </c>
      <c r="AQ1654">
        <v>7.5</v>
      </c>
      <c r="AR1654">
        <v>32.5</v>
      </c>
      <c r="AS1654">
        <v>260</v>
      </c>
      <c r="AT1654">
        <v>3942.5</v>
      </c>
      <c r="AU1654" t="s">
        <v>33</v>
      </c>
    </row>
    <row r="1655" spans="1:47" x14ac:dyDescent="0.2">
      <c r="A1655">
        <v>2269</v>
      </c>
      <c r="B1655" t="s">
        <v>884</v>
      </c>
      <c r="C1655">
        <v>57</v>
      </c>
      <c r="D1655" t="s">
        <v>554</v>
      </c>
      <c r="G1655" t="str">
        <f t="shared" si="25"/>
        <v>SWL201857SLIP5</v>
      </c>
      <c r="H1655">
        <v>62.558</v>
      </c>
      <c r="I1655">
        <v>-173.55799999999999</v>
      </c>
      <c r="J1655" s="3">
        <v>20180717</v>
      </c>
      <c r="K1655">
        <v>2018</v>
      </c>
      <c r="L1655">
        <v>3.39</v>
      </c>
      <c r="M1655">
        <v>8.0397999999999996</v>
      </c>
      <c r="N1655">
        <v>0.50436000000000003</v>
      </c>
      <c r="O1655">
        <v>0</v>
      </c>
      <c r="P1655">
        <v>0.11502</v>
      </c>
      <c r="Q1655">
        <v>0</v>
      </c>
      <c r="R1655">
        <v>0</v>
      </c>
      <c r="S1655">
        <v>0</v>
      </c>
      <c r="T1655">
        <v>0.65620999999999996</v>
      </c>
      <c r="U1655">
        <v>4.0899999999999999E-2</v>
      </c>
      <c r="V1655">
        <v>12.74629</v>
      </c>
      <c r="W1655" t="s">
        <v>10</v>
      </c>
      <c r="X1655">
        <v>51.692999999999998</v>
      </c>
      <c r="Y1655">
        <v>223.27</v>
      </c>
      <c r="Z1655">
        <v>5.9630000000000001</v>
      </c>
      <c r="AA1655">
        <v>0</v>
      </c>
      <c r="AB1655">
        <v>8.2159999999999993</v>
      </c>
      <c r="AC1655">
        <v>0</v>
      </c>
      <c r="AD1655">
        <v>0</v>
      </c>
      <c r="AE1655">
        <v>0</v>
      </c>
      <c r="AF1655">
        <v>7.056</v>
      </c>
      <c r="AG1655">
        <v>0.84399999999999997</v>
      </c>
      <c r="AH1655">
        <v>297.04199999999997</v>
      </c>
      <c r="AI1655" t="s">
        <v>22</v>
      </c>
      <c r="AJ1655">
        <v>1337.5</v>
      </c>
      <c r="AK1655">
        <v>507.5</v>
      </c>
      <c r="AL1655">
        <v>1065</v>
      </c>
      <c r="AM1655">
        <v>0</v>
      </c>
      <c r="AN1655">
        <v>2.5</v>
      </c>
      <c r="AO1655">
        <v>0</v>
      </c>
      <c r="AP1655">
        <v>0</v>
      </c>
      <c r="AQ1655">
        <v>0</v>
      </c>
      <c r="AR1655">
        <v>7.5</v>
      </c>
      <c r="AS1655">
        <v>72.5</v>
      </c>
      <c r="AT1655">
        <v>2992.5</v>
      </c>
      <c r="AU1655" t="s">
        <v>33</v>
      </c>
    </row>
    <row r="1656" spans="1:47" x14ac:dyDescent="0.2">
      <c r="A1656">
        <v>2270</v>
      </c>
      <c r="B1656" t="s">
        <v>884</v>
      </c>
      <c r="C1656">
        <v>64</v>
      </c>
      <c r="D1656" t="s">
        <v>555</v>
      </c>
      <c r="G1656" t="str">
        <f t="shared" si="25"/>
        <v>SWL201864SLIP4</v>
      </c>
      <c r="H1656">
        <v>63.030999999999999</v>
      </c>
      <c r="I1656">
        <v>-173.45599999999999</v>
      </c>
      <c r="J1656" s="3">
        <v>20180717</v>
      </c>
      <c r="K1656">
        <v>2018</v>
      </c>
      <c r="L1656">
        <v>1.16744</v>
      </c>
      <c r="M1656">
        <v>3.1517400000000002</v>
      </c>
      <c r="N1656">
        <v>0.16242000000000001</v>
      </c>
      <c r="O1656">
        <v>0</v>
      </c>
      <c r="P1656">
        <v>0.22672999999999999</v>
      </c>
      <c r="Q1656">
        <v>0</v>
      </c>
      <c r="R1656">
        <v>0</v>
      </c>
      <c r="S1656">
        <v>0</v>
      </c>
      <c r="T1656">
        <v>2.3822899999999998</v>
      </c>
      <c r="U1656">
        <v>2.8549999999999999E-2</v>
      </c>
      <c r="V1656">
        <v>7.1191700000000004</v>
      </c>
      <c r="W1656" t="s">
        <v>10</v>
      </c>
      <c r="X1656">
        <v>19.686</v>
      </c>
      <c r="Y1656">
        <v>100.44</v>
      </c>
      <c r="Z1656">
        <v>2.0219999999999998</v>
      </c>
      <c r="AA1656">
        <v>0</v>
      </c>
      <c r="AB1656">
        <v>16.195</v>
      </c>
      <c r="AC1656">
        <v>0</v>
      </c>
      <c r="AD1656">
        <v>0</v>
      </c>
      <c r="AE1656">
        <v>0</v>
      </c>
      <c r="AF1656">
        <v>25.616</v>
      </c>
      <c r="AG1656">
        <v>0.60099999999999998</v>
      </c>
      <c r="AH1656">
        <v>164.56</v>
      </c>
      <c r="AI1656" t="s">
        <v>22</v>
      </c>
      <c r="AJ1656">
        <v>850</v>
      </c>
      <c r="AK1656">
        <v>575</v>
      </c>
      <c r="AL1656">
        <v>80</v>
      </c>
      <c r="AM1656">
        <v>0</v>
      </c>
      <c r="AN1656">
        <v>7.5</v>
      </c>
      <c r="AO1656">
        <v>0</v>
      </c>
      <c r="AP1656">
        <v>0</v>
      </c>
      <c r="AQ1656">
        <v>0</v>
      </c>
      <c r="AR1656">
        <v>22.5</v>
      </c>
      <c r="AS1656">
        <v>40</v>
      </c>
      <c r="AT1656">
        <v>1575</v>
      </c>
      <c r="AU1656" t="s">
        <v>33</v>
      </c>
    </row>
    <row r="1657" spans="1:47" x14ac:dyDescent="0.2">
      <c r="A1657">
        <v>2271</v>
      </c>
      <c r="B1657" t="s">
        <v>884</v>
      </c>
      <c r="C1657">
        <v>75</v>
      </c>
      <c r="D1657" t="s">
        <v>885</v>
      </c>
      <c r="G1657" t="str">
        <f t="shared" si="25"/>
        <v>SWL201875BCL6C</v>
      </c>
      <c r="H1657">
        <v>64.673000000000002</v>
      </c>
      <c r="I1657">
        <v>-170.643</v>
      </c>
      <c r="J1657" s="3">
        <v>20180718</v>
      </c>
      <c r="K1657">
        <v>2018</v>
      </c>
      <c r="L1657">
        <v>2.2515800000000001</v>
      </c>
      <c r="M1657">
        <v>12.72303</v>
      </c>
      <c r="N1657">
        <v>0.33389999999999997</v>
      </c>
      <c r="O1657">
        <v>0</v>
      </c>
      <c r="P1657">
        <v>0</v>
      </c>
      <c r="Q1657">
        <v>1.2999999999999999E-4</v>
      </c>
      <c r="R1657">
        <v>0</v>
      </c>
      <c r="S1657">
        <v>0</v>
      </c>
      <c r="T1657">
        <v>9.0000000000000006E-5</v>
      </c>
      <c r="U1657">
        <v>3.601E-2</v>
      </c>
      <c r="V1657">
        <v>15.34474</v>
      </c>
      <c r="W1657" t="s">
        <v>10</v>
      </c>
      <c r="X1657">
        <v>31.312999999999999</v>
      </c>
      <c r="Y1657">
        <v>376.43299999999999</v>
      </c>
      <c r="Z1657">
        <v>4.8090000000000002</v>
      </c>
      <c r="AA1657">
        <v>0</v>
      </c>
      <c r="AB1657">
        <v>0</v>
      </c>
      <c r="AC1657">
        <v>1.2E-2</v>
      </c>
      <c r="AD1657">
        <v>0</v>
      </c>
      <c r="AE1657">
        <v>0</v>
      </c>
      <c r="AF1657">
        <v>1E-3</v>
      </c>
      <c r="AG1657">
        <v>0.71899999999999997</v>
      </c>
      <c r="AH1657">
        <v>413.28699999999998</v>
      </c>
      <c r="AI1657" t="s">
        <v>22</v>
      </c>
      <c r="AJ1657">
        <v>1265</v>
      </c>
      <c r="AK1657">
        <v>1907.5</v>
      </c>
      <c r="AL1657">
        <v>1392.5</v>
      </c>
      <c r="AM1657">
        <v>0</v>
      </c>
      <c r="AN1657">
        <v>0</v>
      </c>
      <c r="AO1657">
        <v>15</v>
      </c>
      <c r="AP1657">
        <v>0</v>
      </c>
      <c r="AQ1657">
        <v>0</v>
      </c>
      <c r="AR1657">
        <v>2.5</v>
      </c>
      <c r="AS1657">
        <v>12.5</v>
      </c>
      <c r="AT1657">
        <v>4595</v>
      </c>
      <c r="AU1657" t="s">
        <v>34</v>
      </c>
    </row>
    <row r="1658" spans="1:47" x14ac:dyDescent="0.2">
      <c r="A1658">
        <v>2272</v>
      </c>
      <c r="B1658" t="s">
        <v>884</v>
      </c>
      <c r="C1658">
        <v>82</v>
      </c>
      <c r="D1658" t="s">
        <v>556</v>
      </c>
      <c r="G1658" t="str">
        <f t="shared" si="25"/>
        <v>SWL201882UTBS5</v>
      </c>
      <c r="H1658">
        <v>64.673000000000002</v>
      </c>
      <c r="I1658">
        <v>-169.92699999999999</v>
      </c>
      <c r="J1658" s="3">
        <v>20180718</v>
      </c>
      <c r="K1658">
        <v>2018</v>
      </c>
      <c r="L1658">
        <v>3.12981</v>
      </c>
      <c r="M1658">
        <v>1.9715499999999999</v>
      </c>
      <c r="N1658">
        <v>0.29641000000000001</v>
      </c>
      <c r="O1658">
        <v>1.0399999999999999E-3</v>
      </c>
      <c r="P1658">
        <v>3.0000000000000001E-5</v>
      </c>
      <c r="Q1658">
        <v>0</v>
      </c>
      <c r="R1658">
        <v>0</v>
      </c>
      <c r="S1658">
        <v>0</v>
      </c>
      <c r="T1658">
        <v>3.0699999999999998E-3</v>
      </c>
      <c r="U1658">
        <v>3.1E-4</v>
      </c>
      <c r="V1658">
        <v>5.4022199999999998</v>
      </c>
      <c r="W1658" t="s">
        <v>9</v>
      </c>
      <c r="X1658">
        <v>43.311999999999998</v>
      </c>
      <c r="Y1658">
        <v>55.075000000000003</v>
      </c>
      <c r="Z1658">
        <v>4.09</v>
      </c>
      <c r="AA1658">
        <v>2.3E-2</v>
      </c>
      <c r="AB1658">
        <v>2E-3</v>
      </c>
      <c r="AC1658">
        <v>0</v>
      </c>
      <c r="AD1658">
        <v>0</v>
      </c>
      <c r="AE1658">
        <v>0</v>
      </c>
      <c r="AF1658">
        <v>3.3000000000000002E-2</v>
      </c>
      <c r="AG1658">
        <v>5.0000000000000001E-3</v>
      </c>
      <c r="AH1658">
        <v>102.54</v>
      </c>
      <c r="AI1658" t="s">
        <v>22</v>
      </c>
      <c r="AJ1658">
        <v>930</v>
      </c>
      <c r="AK1658">
        <v>717.5</v>
      </c>
      <c r="AL1658">
        <v>1365</v>
      </c>
      <c r="AM1658">
        <v>7.5</v>
      </c>
      <c r="AN1658">
        <v>2.5</v>
      </c>
      <c r="AO1658">
        <v>0</v>
      </c>
      <c r="AP1658">
        <v>0</v>
      </c>
      <c r="AQ1658">
        <v>0</v>
      </c>
      <c r="AR1658">
        <v>5</v>
      </c>
      <c r="AS1658">
        <v>2.5</v>
      </c>
      <c r="AT1658">
        <v>3030</v>
      </c>
      <c r="AU1658" t="s">
        <v>35</v>
      </c>
    </row>
    <row r="1659" spans="1:47" x14ac:dyDescent="0.2">
      <c r="A1659">
        <v>2273</v>
      </c>
      <c r="B1659" t="s">
        <v>884</v>
      </c>
      <c r="C1659">
        <v>89</v>
      </c>
      <c r="D1659" t="s">
        <v>557</v>
      </c>
      <c r="G1659" t="str">
        <f t="shared" si="25"/>
        <v>SWL201889UTBS2</v>
      </c>
      <c r="H1659">
        <v>64.680999999999997</v>
      </c>
      <c r="I1659">
        <v>-169.1</v>
      </c>
      <c r="J1659" s="3">
        <v>20180718</v>
      </c>
      <c r="K1659">
        <v>2018</v>
      </c>
      <c r="L1659">
        <v>3.2638799999999999</v>
      </c>
      <c r="M1659">
        <v>5.3190099999999996</v>
      </c>
      <c r="N1659">
        <v>7.8332100000000002</v>
      </c>
      <c r="O1659">
        <v>0</v>
      </c>
      <c r="P1659">
        <v>0</v>
      </c>
      <c r="Q1659">
        <v>0</v>
      </c>
      <c r="R1659">
        <v>0</v>
      </c>
      <c r="S1659">
        <v>8.5999999999999993E-2</v>
      </c>
      <c r="T1659">
        <v>3.7010000000000001E-2</v>
      </c>
      <c r="U1659">
        <v>6.2300000000000001E-2</v>
      </c>
      <c r="V1659">
        <v>16.601410000000001</v>
      </c>
      <c r="W1659" t="s">
        <v>11</v>
      </c>
      <c r="X1659">
        <v>46.476999999999997</v>
      </c>
      <c r="Y1659">
        <v>240.286</v>
      </c>
      <c r="Z1659">
        <v>114.702</v>
      </c>
      <c r="AA1659">
        <v>0</v>
      </c>
      <c r="AB1659">
        <v>0</v>
      </c>
      <c r="AC1659">
        <v>0</v>
      </c>
      <c r="AD1659">
        <v>0</v>
      </c>
      <c r="AE1659">
        <v>2.5329999999999999</v>
      </c>
      <c r="AF1659">
        <v>0.39800000000000002</v>
      </c>
      <c r="AG1659">
        <v>3.0779999999999998</v>
      </c>
      <c r="AH1659">
        <v>407.47399999999999</v>
      </c>
      <c r="AI1659" t="s">
        <v>22</v>
      </c>
      <c r="AJ1659">
        <v>1900</v>
      </c>
      <c r="AK1659">
        <v>997.5</v>
      </c>
      <c r="AL1659">
        <v>6997.5</v>
      </c>
      <c r="AM1659">
        <v>0</v>
      </c>
      <c r="AN1659">
        <v>0</v>
      </c>
      <c r="AO1659">
        <v>0</v>
      </c>
      <c r="AP1659">
        <v>0</v>
      </c>
      <c r="AQ1659">
        <v>5</v>
      </c>
      <c r="AR1659">
        <v>42.5</v>
      </c>
      <c r="AS1659">
        <v>27.5</v>
      </c>
      <c r="AT1659">
        <v>9970</v>
      </c>
      <c r="AU1659" t="s">
        <v>35</v>
      </c>
    </row>
    <row r="1660" spans="1:47" x14ac:dyDescent="0.2">
      <c r="A1660">
        <v>2274</v>
      </c>
      <c r="B1660" t="s">
        <v>884</v>
      </c>
      <c r="C1660">
        <v>95</v>
      </c>
      <c r="D1660" t="s">
        <v>886</v>
      </c>
      <c r="G1660" t="str">
        <f t="shared" si="25"/>
        <v>SWL201895UTBS2A</v>
      </c>
      <c r="H1660">
        <v>64.671999999999997</v>
      </c>
      <c r="I1660">
        <v>-168.23599999999999</v>
      </c>
      <c r="J1660" s="3">
        <v>20180718</v>
      </c>
      <c r="K1660">
        <v>2018</v>
      </c>
      <c r="L1660">
        <v>1.44841</v>
      </c>
      <c r="M1660">
        <v>6.973E-2</v>
      </c>
      <c r="N1660">
        <v>3.2076099999999999</v>
      </c>
      <c r="O1660">
        <v>0</v>
      </c>
      <c r="P1660">
        <v>6.0000000000000002E-5</v>
      </c>
      <c r="Q1660">
        <v>2.3000000000000001E-4</v>
      </c>
      <c r="R1660">
        <v>0.26382</v>
      </c>
      <c r="S1660">
        <v>3.69537</v>
      </c>
      <c r="T1660">
        <v>3.2640000000000002E-2</v>
      </c>
      <c r="U1660">
        <v>1.10633</v>
      </c>
      <c r="V1660">
        <v>9.8241999999999994</v>
      </c>
      <c r="W1660" t="s">
        <v>16</v>
      </c>
      <c r="X1660">
        <v>20.062999999999999</v>
      </c>
      <c r="Y1660">
        <v>2.2589999999999999</v>
      </c>
      <c r="Z1660">
        <v>46.286999999999999</v>
      </c>
      <c r="AA1660">
        <v>0</v>
      </c>
      <c r="AB1660">
        <v>4.0000000000000001E-3</v>
      </c>
      <c r="AC1660">
        <v>2.1000000000000001E-2</v>
      </c>
      <c r="AD1660">
        <v>4.3250000000000002</v>
      </c>
      <c r="AE1660">
        <v>90.131</v>
      </c>
      <c r="AF1660">
        <v>0.35099999999999998</v>
      </c>
      <c r="AG1660">
        <v>55.622</v>
      </c>
      <c r="AH1660">
        <v>219.06299999999999</v>
      </c>
      <c r="AI1660" t="s">
        <v>28</v>
      </c>
      <c r="AJ1660">
        <v>1365</v>
      </c>
      <c r="AK1660">
        <v>1722.5</v>
      </c>
      <c r="AL1660">
        <v>3430</v>
      </c>
      <c r="AM1660">
        <v>0</v>
      </c>
      <c r="AN1660">
        <v>10</v>
      </c>
      <c r="AO1660">
        <v>10</v>
      </c>
      <c r="AP1660">
        <v>5</v>
      </c>
      <c r="AQ1660">
        <v>2.5</v>
      </c>
      <c r="AR1660">
        <v>25</v>
      </c>
      <c r="AS1660">
        <v>10</v>
      </c>
      <c r="AT1660">
        <v>6580</v>
      </c>
      <c r="AU1660" t="s">
        <v>35</v>
      </c>
    </row>
    <row r="1661" spans="1:47" x14ac:dyDescent="0.2">
      <c r="A1661">
        <v>2275</v>
      </c>
      <c r="B1661" t="s">
        <v>884</v>
      </c>
      <c r="C1661">
        <v>101</v>
      </c>
      <c r="D1661" t="s">
        <v>887</v>
      </c>
      <c r="G1661" t="str">
        <f t="shared" si="25"/>
        <v>SWL2018101DBO2.7</v>
      </c>
      <c r="H1661">
        <v>65</v>
      </c>
      <c r="I1661">
        <v>-168.22</v>
      </c>
      <c r="J1661" s="3">
        <v>20180718</v>
      </c>
      <c r="K1661">
        <v>2018</v>
      </c>
      <c r="L1661">
        <v>1.5411699999999999</v>
      </c>
      <c r="M1661">
        <v>0.29432999999999998</v>
      </c>
      <c r="N1661">
        <v>5.1412599999999999</v>
      </c>
      <c r="O1661">
        <v>1.8000000000000001E-4</v>
      </c>
      <c r="P1661">
        <v>0</v>
      </c>
      <c r="Q1661">
        <v>0</v>
      </c>
      <c r="R1661">
        <v>0.17269000000000001</v>
      </c>
      <c r="S1661">
        <v>0</v>
      </c>
      <c r="T1661">
        <v>0.60031999999999996</v>
      </c>
      <c r="U1661">
        <v>0.76205000000000001</v>
      </c>
      <c r="V1661">
        <v>8.5120000000000005</v>
      </c>
      <c r="W1661" t="s">
        <v>11</v>
      </c>
      <c r="X1661">
        <v>22.105</v>
      </c>
      <c r="Y1661">
        <v>10.481999999999999</v>
      </c>
      <c r="Z1661">
        <v>75.471000000000004</v>
      </c>
      <c r="AA1661">
        <v>4.0000000000000001E-3</v>
      </c>
      <c r="AB1661">
        <v>0</v>
      </c>
      <c r="AC1661">
        <v>0</v>
      </c>
      <c r="AD1661">
        <v>2.831</v>
      </c>
      <c r="AE1661">
        <v>0</v>
      </c>
      <c r="AF1661">
        <v>6.4550000000000001</v>
      </c>
      <c r="AG1661">
        <v>36.281999999999996</v>
      </c>
      <c r="AH1661">
        <v>153.63</v>
      </c>
      <c r="AI1661" t="s">
        <v>23</v>
      </c>
      <c r="AJ1661">
        <v>1830</v>
      </c>
      <c r="AK1661">
        <v>1530</v>
      </c>
      <c r="AL1661">
        <v>4577.5</v>
      </c>
      <c r="AM1661">
        <v>2.5</v>
      </c>
      <c r="AN1661">
        <v>0</v>
      </c>
      <c r="AO1661">
        <v>0</v>
      </c>
      <c r="AP1661">
        <v>40</v>
      </c>
      <c r="AQ1661">
        <v>0</v>
      </c>
      <c r="AR1661">
        <v>22.5</v>
      </c>
      <c r="AS1661">
        <v>5</v>
      </c>
      <c r="AT1661">
        <v>8007.5</v>
      </c>
      <c r="AU1661" t="s">
        <v>35</v>
      </c>
    </row>
    <row r="1662" spans="1:47" x14ac:dyDescent="0.2">
      <c r="A1662">
        <v>2276</v>
      </c>
      <c r="B1662" t="s">
        <v>884</v>
      </c>
      <c r="C1662">
        <v>108</v>
      </c>
      <c r="D1662" t="s">
        <v>179</v>
      </c>
      <c r="G1662" t="str">
        <f t="shared" si="25"/>
        <v>SWL2018108UTBS1</v>
      </c>
      <c r="H1662">
        <v>64.992000000000004</v>
      </c>
      <c r="I1662">
        <v>-169.14</v>
      </c>
      <c r="J1662" s="3">
        <v>20180718</v>
      </c>
      <c r="K1662">
        <v>2018</v>
      </c>
      <c r="L1662">
        <v>1.9194800000000001</v>
      </c>
      <c r="M1662">
        <v>1.5874900000000001</v>
      </c>
      <c r="N1662">
        <v>4.9998399999999998</v>
      </c>
      <c r="O1662">
        <v>0</v>
      </c>
      <c r="P1662">
        <v>0</v>
      </c>
      <c r="Q1662">
        <v>0</v>
      </c>
      <c r="R1662">
        <v>4.64E-3</v>
      </c>
      <c r="S1662">
        <v>5.8000000000000003E-2</v>
      </c>
      <c r="T1662">
        <v>0.15633</v>
      </c>
      <c r="U1662">
        <v>2.4035199999999999</v>
      </c>
      <c r="V1662">
        <v>11.129300000000001</v>
      </c>
      <c r="W1662" t="s">
        <v>11</v>
      </c>
      <c r="X1662">
        <v>25.49</v>
      </c>
      <c r="Y1662">
        <v>100.913</v>
      </c>
      <c r="Z1662">
        <v>72.531000000000006</v>
      </c>
      <c r="AA1662">
        <v>0</v>
      </c>
      <c r="AB1662">
        <v>0</v>
      </c>
      <c r="AC1662">
        <v>0</v>
      </c>
      <c r="AD1662">
        <v>7.5999999999999998E-2</v>
      </c>
      <c r="AE1662">
        <v>4.1429999999999998</v>
      </c>
      <c r="AF1662">
        <v>1.681</v>
      </c>
      <c r="AG1662">
        <v>64.856999999999999</v>
      </c>
      <c r="AH1662">
        <v>269.69099999999997</v>
      </c>
      <c r="AI1662" t="s">
        <v>22</v>
      </c>
      <c r="AJ1662">
        <v>582.5</v>
      </c>
      <c r="AK1662">
        <v>572.5</v>
      </c>
      <c r="AL1662">
        <v>8632.5</v>
      </c>
      <c r="AM1662">
        <v>0</v>
      </c>
      <c r="AN1662">
        <v>0</v>
      </c>
      <c r="AO1662">
        <v>0</v>
      </c>
      <c r="AP1662">
        <v>5</v>
      </c>
      <c r="AQ1662">
        <v>12.5</v>
      </c>
      <c r="AR1662">
        <v>152.5</v>
      </c>
      <c r="AS1662">
        <v>17.5</v>
      </c>
      <c r="AT1662">
        <v>9975</v>
      </c>
      <c r="AU1662" t="s">
        <v>35</v>
      </c>
    </row>
    <row r="1663" spans="1:47" x14ac:dyDescent="0.2">
      <c r="A1663">
        <v>2277</v>
      </c>
      <c r="B1663" t="s">
        <v>884</v>
      </c>
      <c r="C1663">
        <v>115</v>
      </c>
      <c r="D1663" t="s">
        <v>558</v>
      </c>
      <c r="G1663" t="str">
        <f t="shared" si="25"/>
        <v>SWL2018115UTBS4</v>
      </c>
      <c r="H1663">
        <v>64.959999999999994</v>
      </c>
      <c r="I1663">
        <v>-169.89</v>
      </c>
      <c r="J1663" s="3">
        <v>20180718</v>
      </c>
      <c r="K1663">
        <v>2018</v>
      </c>
      <c r="L1663">
        <v>2.66351</v>
      </c>
      <c r="M1663">
        <v>4.41554</v>
      </c>
      <c r="N1663">
        <v>0.85067000000000004</v>
      </c>
      <c r="O1663">
        <v>0</v>
      </c>
      <c r="P1663">
        <v>1.0000000000000001E-5</v>
      </c>
      <c r="Q1663">
        <v>0</v>
      </c>
      <c r="R1663">
        <v>0.75993999999999995</v>
      </c>
      <c r="S1663">
        <v>4.9770000000000002E-2</v>
      </c>
      <c r="T1663">
        <v>3.6999999999999999E-4</v>
      </c>
      <c r="U1663">
        <v>5.9999999999999995E-4</v>
      </c>
      <c r="V1663">
        <v>8.7404100000000007</v>
      </c>
      <c r="W1663" t="s">
        <v>10</v>
      </c>
      <c r="X1663">
        <v>35.639000000000003</v>
      </c>
      <c r="Y1663">
        <v>222.95400000000001</v>
      </c>
      <c r="Z1663">
        <v>12.448</v>
      </c>
      <c r="AA1663">
        <v>0</v>
      </c>
      <c r="AB1663">
        <v>1E-3</v>
      </c>
      <c r="AC1663">
        <v>0</v>
      </c>
      <c r="AD1663">
        <v>12.458</v>
      </c>
      <c r="AE1663">
        <v>1.214</v>
      </c>
      <c r="AF1663">
        <v>4.0000000000000001E-3</v>
      </c>
      <c r="AG1663">
        <v>1.2999999999999999E-2</v>
      </c>
      <c r="AH1663">
        <v>284.73099999999999</v>
      </c>
      <c r="AI1663" t="s">
        <v>22</v>
      </c>
      <c r="AJ1663">
        <v>1735</v>
      </c>
      <c r="AK1663">
        <v>747.5</v>
      </c>
      <c r="AL1663">
        <v>487.5</v>
      </c>
      <c r="AM1663">
        <v>0</v>
      </c>
      <c r="AN1663">
        <v>2.5</v>
      </c>
      <c r="AO1663">
        <v>0</v>
      </c>
      <c r="AP1663">
        <v>5</v>
      </c>
      <c r="AQ1663">
        <v>2.5</v>
      </c>
      <c r="AR1663">
        <v>5</v>
      </c>
      <c r="AS1663">
        <v>5</v>
      </c>
      <c r="AT1663">
        <v>2990</v>
      </c>
      <c r="AU1663" t="s">
        <v>33</v>
      </c>
    </row>
    <row r="1664" spans="1:47" x14ac:dyDescent="0.2">
      <c r="A1664">
        <v>2278</v>
      </c>
      <c r="B1664" t="s">
        <v>884</v>
      </c>
      <c r="C1664">
        <v>127</v>
      </c>
      <c r="D1664" t="s">
        <v>559</v>
      </c>
      <c r="G1664" t="str">
        <f t="shared" si="25"/>
        <v>SWL2018127UTN1</v>
      </c>
      <c r="H1664">
        <v>66.709000000000003</v>
      </c>
      <c r="I1664">
        <v>-168.398</v>
      </c>
      <c r="J1664" s="3">
        <v>20180719</v>
      </c>
      <c r="K1664">
        <v>2018</v>
      </c>
      <c r="L1664">
        <v>1.09544</v>
      </c>
      <c r="M1664">
        <v>0.22345000000000001</v>
      </c>
      <c r="N1664">
        <v>1.1010000000000001E-2</v>
      </c>
      <c r="O1664">
        <v>0</v>
      </c>
      <c r="P1664">
        <v>1.47E-3</v>
      </c>
      <c r="Q1664">
        <v>24.640799999999999</v>
      </c>
      <c r="R1664">
        <v>0.85150000000000003</v>
      </c>
      <c r="S1664">
        <v>0</v>
      </c>
      <c r="T1664">
        <v>0</v>
      </c>
      <c r="U1664">
        <v>3.3E-4</v>
      </c>
      <c r="V1664">
        <v>26.824000000000002</v>
      </c>
      <c r="W1664" t="s">
        <v>14</v>
      </c>
      <c r="X1664">
        <v>21.327000000000002</v>
      </c>
      <c r="Y1664">
        <v>6.0190000000000001</v>
      </c>
      <c r="Z1664">
        <v>0.14899999999999999</v>
      </c>
      <c r="AA1664">
        <v>0</v>
      </c>
      <c r="AB1664">
        <v>0.105</v>
      </c>
      <c r="AC1664">
        <v>3080.1</v>
      </c>
      <c r="AD1664">
        <v>13.959</v>
      </c>
      <c r="AE1664">
        <v>0</v>
      </c>
      <c r="AF1664">
        <v>0</v>
      </c>
      <c r="AG1664">
        <v>3.3000000000000002E-2</v>
      </c>
      <c r="AH1664">
        <v>3121.692</v>
      </c>
      <c r="AI1664" t="s">
        <v>26</v>
      </c>
      <c r="AJ1664">
        <v>650</v>
      </c>
      <c r="AK1664">
        <v>197.5</v>
      </c>
      <c r="AL1664">
        <v>217.5</v>
      </c>
      <c r="AM1664">
        <v>0</v>
      </c>
      <c r="AN1664">
        <v>30</v>
      </c>
      <c r="AO1664">
        <v>275</v>
      </c>
      <c r="AP1664">
        <v>7.5</v>
      </c>
      <c r="AQ1664">
        <v>0</v>
      </c>
      <c r="AR1664">
        <v>0</v>
      </c>
      <c r="AS1664">
        <v>2.5</v>
      </c>
      <c r="AT1664">
        <v>1380</v>
      </c>
      <c r="AU1664" t="s">
        <v>33</v>
      </c>
    </row>
    <row r="1665" spans="1:47" x14ac:dyDescent="0.2">
      <c r="A1665">
        <v>2279</v>
      </c>
      <c r="B1665" t="s">
        <v>884</v>
      </c>
      <c r="C1665">
        <v>134</v>
      </c>
      <c r="D1665" t="s">
        <v>560</v>
      </c>
      <c r="G1665" t="str">
        <f t="shared" si="25"/>
        <v>SWL2018134UTN2</v>
      </c>
      <c r="H1665">
        <v>67.05</v>
      </c>
      <c r="I1665">
        <v>-168.72800000000001</v>
      </c>
      <c r="J1665" s="3">
        <v>20180719</v>
      </c>
      <c r="K1665">
        <v>2018</v>
      </c>
      <c r="L1665">
        <v>6.8291000000000004</v>
      </c>
      <c r="M1665">
        <v>86.476159999999993</v>
      </c>
      <c r="N1665">
        <v>5.6919999999999998E-2</v>
      </c>
      <c r="O1665">
        <v>0</v>
      </c>
      <c r="P1665">
        <v>0.14566999999999999</v>
      </c>
      <c r="Q1665">
        <v>0</v>
      </c>
      <c r="R1665">
        <v>0.64061999999999997</v>
      </c>
      <c r="S1665">
        <v>0.75175999999999998</v>
      </c>
      <c r="T1665">
        <v>0</v>
      </c>
      <c r="U1665">
        <v>6.4999999999999997E-4</v>
      </c>
      <c r="V1665">
        <v>94.900880000000001</v>
      </c>
      <c r="W1665" t="s">
        <v>10</v>
      </c>
      <c r="X1665">
        <v>116.43600000000001</v>
      </c>
      <c r="Y1665">
        <v>2543.2339999999999</v>
      </c>
      <c r="Z1665">
        <v>0.80900000000000005</v>
      </c>
      <c r="AA1665">
        <v>0</v>
      </c>
      <c r="AB1665">
        <v>10.404999999999999</v>
      </c>
      <c r="AC1665">
        <v>0</v>
      </c>
      <c r="AD1665">
        <v>10.502000000000001</v>
      </c>
      <c r="AE1665">
        <v>53.697000000000003</v>
      </c>
      <c r="AF1665">
        <v>0</v>
      </c>
      <c r="AG1665">
        <v>2.8000000000000001E-2</v>
      </c>
      <c r="AH1665">
        <v>2735.1109999999999</v>
      </c>
      <c r="AI1665" t="s">
        <v>22</v>
      </c>
      <c r="AJ1665">
        <v>1467.5</v>
      </c>
      <c r="AK1665">
        <v>2565</v>
      </c>
      <c r="AL1665">
        <v>417.5</v>
      </c>
      <c r="AM1665">
        <v>2.5</v>
      </c>
      <c r="AN1665">
        <v>27.5</v>
      </c>
      <c r="AO1665">
        <v>0</v>
      </c>
      <c r="AP1665">
        <v>10</v>
      </c>
      <c r="AQ1665">
        <v>37.5</v>
      </c>
      <c r="AR1665">
        <v>0</v>
      </c>
      <c r="AS1665">
        <v>5</v>
      </c>
      <c r="AT1665">
        <v>4532.5</v>
      </c>
      <c r="AU1665" t="s">
        <v>34</v>
      </c>
    </row>
    <row r="1666" spans="1:47" x14ac:dyDescent="0.2">
      <c r="A1666">
        <v>2280</v>
      </c>
      <c r="B1666" t="s">
        <v>884</v>
      </c>
      <c r="C1666">
        <v>141</v>
      </c>
      <c r="D1666" t="s">
        <v>561</v>
      </c>
      <c r="G1666" t="str">
        <f t="shared" si="25"/>
        <v>SWL2018141UTN3</v>
      </c>
      <c r="H1666">
        <v>67.331000000000003</v>
      </c>
      <c r="I1666">
        <v>-168.905</v>
      </c>
      <c r="J1666" s="3">
        <v>20180719</v>
      </c>
      <c r="K1666">
        <v>2018</v>
      </c>
      <c r="L1666">
        <v>8.0293899999999994</v>
      </c>
      <c r="M1666">
        <v>68.636700000000005</v>
      </c>
      <c r="N1666">
        <v>0.13628000000000001</v>
      </c>
      <c r="O1666">
        <v>0</v>
      </c>
      <c r="P1666">
        <v>2.0000000000000001E-4</v>
      </c>
      <c r="Q1666">
        <v>0</v>
      </c>
      <c r="R1666">
        <v>1.3660300000000001</v>
      </c>
      <c r="S1666">
        <v>0</v>
      </c>
      <c r="T1666">
        <v>0</v>
      </c>
      <c r="U1666">
        <v>1.89E-3</v>
      </c>
      <c r="V1666">
        <v>78.170490000000001</v>
      </c>
      <c r="W1666" t="s">
        <v>10</v>
      </c>
      <c r="X1666">
        <v>116.245</v>
      </c>
      <c r="Y1666">
        <v>2009.4949999999999</v>
      </c>
      <c r="Z1666">
        <v>1.7869999999999999</v>
      </c>
      <c r="AA1666">
        <v>0</v>
      </c>
      <c r="AB1666">
        <v>1.4E-2</v>
      </c>
      <c r="AC1666">
        <v>0</v>
      </c>
      <c r="AD1666">
        <v>22.393999999999998</v>
      </c>
      <c r="AE1666">
        <v>0</v>
      </c>
      <c r="AF1666">
        <v>0</v>
      </c>
      <c r="AG1666">
        <v>0.189</v>
      </c>
      <c r="AH1666">
        <v>2150.1239999999998</v>
      </c>
      <c r="AI1666" t="s">
        <v>22</v>
      </c>
      <c r="AJ1666">
        <v>1075</v>
      </c>
      <c r="AK1666">
        <v>1102.5</v>
      </c>
      <c r="AL1666">
        <v>1040</v>
      </c>
      <c r="AM1666">
        <v>0</v>
      </c>
      <c r="AN1666">
        <v>2.5</v>
      </c>
      <c r="AO1666">
        <v>0</v>
      </c>
      <c r="AP1666">
        <v>42.5</v>
      </c>
      <c r="AQ1666">
        <v>0</v>
      </c>
      <c r="AR1666">
        <v>0</v>
      </c>
      <c r="AS1666">
        <v>0</v>
      </c>
      <c r="AT1666">
        <v>3262.5</v>
      </c>
      <c r="AU1666" t="s">
        <v>34</v>
      </c>
    </row>
    <row r="1667" spans="1:47" x14ac:dyDescent="0.2">
      <c r="A1667">
        <v>2281</v>
      </c>
      <c r="B1667" t="s">
        <v>884</v>
      </c>
      <c r="C1667">
        <v>148</v>
      </c>
      <c r="D1667" t="s">
        <v>562</v>
      </c>
      <c r="G1667" t="str">
        <f t="shared" ref="G1667:G1681" si="27">CONCATENATE(B1667,C1667,D1667)</f>
        <v>SWL2018148UTN4</v>
      </c>
      <c r="H1667">
        <v>67.5</v>
      </c>
      <c r="I1667">
        <v>-168.90899999999999</v>
      </c>
      <c r="J1667" s="3">
        <v>20180720</v>
      </c>
      <c r="K1667">
        <v>2018</v>
      </c>
      <c r="L1667">
        <v>7.1784600000000003</v>
      </c>
      <c r="M1667">
        <v>125.3411</v>
      </c>
      <c r="N1667">
        <v>0.24393000000000001</v>
      </c>
      <c r="O1667">
        <v>1.31E-3</v>
      </c>
      <c r="P1667">
        <v>7.2999999999999996E-4</v>
      </c>
      <c r="Q1667">
        <v>0</v>
      </c>
      <c r="R1667">
        <v>0.96472000000000002</v>
      </c>
      <c r="S1667">
        <v>0</v>
      </c>
      <c r="T1667">
        <v>0.25008000000000002</v>
      </c>
      <c r="U1667">
        <v>1.3600000000000001E-3</v>
      </c>
      <c r="V1667">
        <v>133.98168999999999</v>
      </c>
      <c r="W1667" t="s">
        <v>10</v>
      </c>
      <c r="X1667">
        <v>107.108</v>
      </c>
      <c r="Y1667">
        <v>3716.0729999999999</v>
      </c>
      <c r="Z1667">
        <v>3.278</v>
      </c>
      <c r="AA1667">
        <v>2.9000000000000001E-2</v>
      </c>
      <c r="AB1667">
        <v>5.1999999999999998E-2</v>
      </c>
      <c r="AC1667">
        <v>0</v>
      </c>
      <c r="AD1667">
        <v>15.815</v>
      </c>
      <c r="AE1667">
        <v>0</v>
      </c>
      <c r="AF1667">
        <v>2.6890000000000001</v>
      </c>
      <c r="AG1667">
        <v>0.13600000000000001</v>
      </c>
      <c r="AH1667">
        <v>3845.18</v>
      </c>
      <c r="AI1667" t="s">
        <v>22</v>
      </c>
      <c r="AJ1667">
        <v>1525</v>
      </c>
      <c r="AK1667">
        <v>2422.5</v>
      </c>
      <c r="AL1667">
        <v>1077.5</v>
      </c>
      <c r="AM1667">
        <v>5</v>
      </c>
      <c r="AN1667">
        <v>20</v>
      </c>
      <c r="AO1667">
        <v>0</v>
      </c>
      <c r="AP1667">
        <v>52.5</v>
      </c>
      <c r="AQ1667">
        <v>0</v>
      </c>
      <c r="AR1667">
        <v>2.5</v>
      </c>
      <c r="AS1667">
        <v>0</v>
      </c>
      <c r="AT1667">
        <v>5105</v>
      </c>
      <c r="AU1667" t="s">
        <v>34</v>
      </c>
    </row>
    <row r="1668" spans="1:47" x14ac:dyDescent="0.2">
      <c r="A1668">
        <v>2282</v>
      </c>
      <c r="B1668" t="s">
        <v>884</v>
      </c>
      <c r="C1668">
        <v>155</v>
      </c>
      <c r="D1668" t="s">
        <v>389</v>
      </c>
      <c r="G1668" t="str">
        <f t="shared" si="27"/>
        <v>SWL2018155SEC8</v>
      </c>
      <c r="H1668">
        <v>68.299000000000007</v>
      </c>
      <c r="I1668">
        <v>-166.94</v>
      </c>
      <c r="J1668" s="3">
        <v>20180720</v>
      </c>
      <c r="K1668">
        <v>2018</v>
      </c>
      <c r="L1668">
        <v>3.32484</v>
      </c>
      <c r="M1668">
        <v>2.2391899999999998</v>
      </c>
      <c r="N1668">
        <v>0.12432</v>
      </c>
      <c r="O1668">
        <v>0.11907</v>
      </c>
      <c r="P1668">
        <v>3.5999999999999999E-3</v>
      </c>
      <c r="Q1668">
        <v>0</v>
      </c>
      <c r="R1668">
        <v>0</v>
      </c>
      <c r="S1668">
        <v>0</v>
      </c>
      <c r="T1668">
        <v>7.0699999999999999E-3</v>
      </c>
      <c r="U1668">
        <v>4.6899999999999997E-3</v>
      </c>
      <c r="V1668">
        <v>5.8227799999999998</v>
      </c>
      <c r="W1668" t="s">
        <v>9</v>
      </c>
      <c r="X1668">
        <v>46.067</v>
      </c>
      <c r="Y1668">
        <v>61.087000000000003</v>
      </c>
      <c r="Z1668">
        <v>1.8009999999999999</v>
      </c>
      <c r="AA1668">
        <v>2.6459999999999999</v>
      </c>
      <c r="AB1668">
        <v>0.25700000000000001</v>
      </c>
      <c r="AC1668">
        <v>0</v>
      </c>
      <c r="AD1668">
        <v>0</v>
      </c>
      <c r="AE1668">
        <v>0</v>
      </c>
      <c r="AF1668">
        <v>7.5999999999999998E-2</v>
      </c>
      <c r="AG1668">
        <v>0.17599999999999999</v>
      </c>
      <c r="AH1668">
        <v>112.11</v>
      </c>
      <c r="AI1668" t="s">
        <v>22</v>
      </c>
      <c r="AJ1668">
        <v>6000</v>
      </c>
      <c r="AK1668">
        <v>30</v>
      </c>
      <c r="AL1668">
        <v>750</v>
      </c>
      <c r="AM1668">
        <v>20</v>
      </c>
      <c r="AN1668">
        <v>160</v>
      </c>
      <c r="AO1668">
        <v>0</v>
      </c>
      <c r="AP1668">
        <v>0</v>
      </c>
      <c r="AQ1668">
        <v>0</v>
      </c>
      <c r="AR1668">
        <v>50</v>
      </c>
      <c r="AS1668">
        <v>10</v>
      </c>
      <c r="AT1668">
        <v>7020</v>
      </c>
      <c r="AU1668" t="s">
        <v>33</v>
      </c>
    </row>
    <row r="1669" spans="1:47" x14ac:dyDescent="0.2">
      <c r="A1669">
        <v>2283</v>
      </c>
      <c r="B1669" t="s">
        <v>884</v>
      </c>
      <c r="C1669">
        <v>161</v>
      </c>
      <c r="D1669" t="s">
        <v>387</v>
      </c>
      <c r="G1669" t="str">
        <f t="shared" si="27"/>
        <v>SWL2018161SEC7</v>
      </c>
      <c r="H1669">
        <v>68.244</v>
      </c>
      <c r="I1669">
        <v>-167.12200000000001</v>
      </c>
      <c r="J1669" s="3">
        <v>20180720</v>
      </c>
      <c r="K1669">
        <v>2018</v>
      </c>
      <c r="L1669">
        <v>4.0343099999999996</v>
      </c>
      <c r="M1669">
        <v>0.35202</v>
      </c>
      <c r="N1669">
        <v>0.25506000000000001</v>
      </c>
      <c r="O1669">
        <v>0.56957000000000002</v>
      </c>
      <c r="P1669">
        <v>4.6890000000000001E-2</v>
      </c>
      <c r="Q1669">
        <v>2.2499999999999998E-3</v>
      </c>
      <c r="R1669">
        <v>0</v>
      </c>
      <c r="S1669">
        <v>1.0630500000000001</v>
      </c>
      <c r="T1669">
        <v>0.14815</v>
      </c>
      <c r="U1669">
        <v>6.1091699999999998</v>
      </c>
      <c r="V1669">
        <v>12.58047</v>
      </c>
      <c r="W1669" t="s">
        <v>18</v>
      </c>
      <c r="X1669">
        <v>61.39</v>
      </c>
      <c r="Y1669">
        <v>18.209</v>
      </c>
      <c r="Z1669">
        <v>3.512</v>
      </c>
      <c r="AA1669">
        <v>12.657</v>
      </c>
      <c r="AB1669">
        <v>3.3490000000000002</v>
      </c>
      <c r="AC1669">
        <v>0.28100000000000003</v>
      </c>
      <c r="AD1669">
        <v>0</v>
      </c>
      <c r="AE1669">
        <v>37.746000000000002</v>
      </c>
      <c r="AF1669">
        <v>1.593</v>
      </c>
      <c r="AG1669">
        <v>548.21500000000003</v>
      </c>
      <c r="AH1669">
        <v>686.952</v>
      </c>
      <c r="AI1669" t="s">
        <v>30</v>
      </c>
      <c r="AJ1669">
        <v>2260</v>
      </c>
      <c r="AK1669">
        <v>260</v>
      </c>
      <c r="AL1669">
        <v>790</v>
      </c>
      <c r="AM1669">
        <v>160</v>
      </c>
      <c r="AN1669">
        <v>680</v>
      </c>
      <c r="AO1669">
        <v>20</v>
      </c>
      <c r="AP1669">
        <v>0</v>
      </c>
      <c r="AQ1669">
        <v>50</v>
      </c>
      <c r="AR1669">
        <v>10</v>
      </c>
      <c r="AS1669">
        <v>70</v>
      </c>
      <c r="AT1669">
        <v>4300</v>
      </c>
      <c r="AU1669" t="s">
        <v>33</v>
      </c>
    </row>
    <row r="1670" spans="1:47" x14ac:dyDescent="0.2">
      <c r="A1670">
        <v>2284</v>
      </c>
      <c r="B1670" t="s">
        <v>884</v>
      </c>
      <c r="C1670">
        <v>167</v>
      </c>
      <c r="D1670" t="s">
        <v>388</v>
      </c>
      <c r="G1670" t="str">
        <f t="shared" si="27"/>
        <v>SWL2018167SEC6</v>
      </c>
      <c r="H1670">
        <v>68.186000000000007</v>
      </c>
      <c r="I1670">
        <v>-167.309</v>
      </c>
      <c r="J1670" s="3">
        <v>20180720</v>
      </c>
      <c r="K1670">
        <v>2018</v>
      </c>
      <c r="L1670">
        <v>2.8956200000000001</v>
      </c>
      <c r="M1670">
        <v>0.21071000000000001</v>
      </c>
      <c r="N1670">
        <v>0.47753000000000001</v>
      </c>
      <c r="O1670">
        <v>2.1709399999999999</v>
      </c>
      <c r="P1670">
        <v>5.5300000000000002E-2</v>
      </c>
      <c r="Q1670">
        <v>0</v>
      </c>
      <c r="R1670">
        <v>0</v>
      </c>
      <c r="S1670">
        <v>0</v>
      </c>
      <c r="T1670">
        <v>0</v>
      </c>
      <c r="U1670">
        <v>5.7778799999999997</v>
      </c>
      <c r="V1670">
        <v>11.58798</v>
      </c>
      <c r="W1670" t="s">
        <v>18</v>
      </c>
      <c r="X1670">
        <v>45.112000000000002</v>
      </c>
      <c r="Y1670">
        <v>5.1369999999999996</v>
      </c>
      <c r="Z1670">
        <v>6.4870000000000001</v>
      </c>
      <c r="AA1670">
        <v>48.243000000000002</v>
      </c>
      <c r="AB1670">
        <v>3.95</v>
      </c>
      <c r="AC1670">
        <v>0</v>
      </c>
      <c r="AD1670">
        <v>0</v>
      </c>
      <c r="AE1670">
        <v>0</v>
      </c>
      <c r="AF1670">
        <v>0</v>
      </c>
      <c r="AG1670">
        <v>238.04300000000001</v>
      </c>
      <c r="AH1670">
        <v>346.97199999999998</v>
      </c>
      <c r="AI1670" t="s">
        <v>30</v>
      </c>
      <c r="AJ1670">
        <v>1060</v>
      </c>
      <c r="AK1670">
        <v>160</v>
      </c>
      <c r="AL1670">
        <v>680</v>
      </c>
      <c r="AM1670">
        <v>170</v>
      </c>
      <c r="AN1670">
        <v>250</v>
      </c>
      <c r="AO1670">
        <v>0</v>
      </c>
      <c r="AP1670">
        <v>0</v>
      </c>
      <c r="AQ1670">
        <v>0</v>
      </c>
      <c r="AR1670">
        <v>0</v>
      </c>
      <c r="AS1670">
        <v>170</v>
      </c>
      <c r="AT1670">
        <v>2490</v>
      </c>
      <c r="AU1670" t="s">
        <v>33</v>
      </c>
    </row>
    <row r="1671" spans="1:47" x14ac:dyDescent="0.2">
      <c r="A1671">
        <v>2285</v>
      </c>
      <c r="B1671" t="s">
        <v>884</v>
      </c>
      <c r="C1671">
        <v>173</v>
      </c>
      <c r="D1671" t="s">
        <v>240</v>
      </c>
      <c r="G1671" t="str">
        <f t="shared" si="27"/>
        <v>SWL2018173SEC5</v>
      </c>
      <c r="H1671">
        <v>68.128</v>
      </c>
      <c r="I1671">
        <v>-167.49299999999999</v>
      </c>
      <c r="J1671" s="3">
        <v>20180720</v>
      </c>
      <c r="K1671">
        <v>2018</v>
      </c>
      <c r="L1671">
        <v>13.147349999999999</v>
      </c>
      <c r="M1671">
        <v>3.2383700000000002</v>
      </c>
      <c r="N1671">
        <v>1.36354</v>
      </c>
      <c r="O1671">
        <v>4.3135700000000003</v>
      </c>
      <c r="P1671">
        <v>2.3730000000000001E-2</v>
      </c>
      <c r="Q1671">
        <v>0</v>
      </c>
      <c r="R1671">
        <v>2.8119999999999999E-2</v>
      </c>
      <c r="S1671">
        <v>0</v>
      </c>
      <c r="T1671">
        <v>9.8600000000000007E-3</v>
      </c>
      <c r="U1671">
        <v>0.92566000000000004</v>
      </c>
      <c r="V1671">
        <v>23.0502</v>
      </c>
      <c r="W1671" t="s">
        <v>9</v>
      </c>
      <c r="X1671">
        <v>192.16</v>
      </c>
      <c r="Y1671">
        <v>118.107</v>
      </c>
      <c r="Z1671">
        <v>19.143000000000001</v>
      </c>
      <c r="AA1671">
        <v>95.856999999999999</v>
      </c>
      <c r="AB1671">
        <v>1.6950000000000001</v>
      </c>
      <c r="AC1671">
        <v>0</v>
      </c>
      <c r="AD1671">
        <v>0.46100000000000002</v>
      </c>
      <c r="AE1671">
        <v>0</v>
      </c>
      <c r="AF1671">
        <v>0.106</v>
      </c>
      <c r="AG1671">
        <v>45.241999999999997</v>
      </c>
      <c r="AH1671">
        <v>472.77100000000002</v>
      </c>
      <c r="AI1671" t="s">
        <v>21</v>
      </c>
      <c r="AJ1671">
        <v>1550</v>
      </c>
      <c r="AK1671">
        <v>250</v>
      </c>
      <c r="AL1671">
        <v>1740</v>
      </c>
      <c r="AM1671">
        <v>20</v>
      </c>
      <c r="AN1671">
        <v>320</v>
      </c>
      <c r="AO1671">
        <v>0</v>
      </c>
      <c r="AP1671">
        <v>20</v>
      </c>
      <c r="AQ1671">
        <v>0</v>
      </c>
      <c r="AR1671">
        <v>10</v>
      </c>
      <c r="AS1671">
        <v>50</v>
      </c>
      <c r="AT1671">
        <v>3960</v>
      </c>
      <c r="AU1671" t="s">
        <v>35</v>
      </c>
    </row>
    <row r="1672" spans="1:47" x14ac:dyDescent="0.2">
      <c r="A1672">
        <v>2286</v>
      </c>
      <c r="B1672" t="s">
        <v>884</v>
      </c>
      <c r="C1672">
        <v>179</v>
      </c>
      <c r="D1672" t="s">
        <v>233</v>
      </c>
      <c r="G1672" t="str">
        <f t="shared" si="27"/>
        <v>SWL2018179SEC4</v>
      </c>
      <c r="H1672">
        <v>68.013000000000005</v>
      </c>
      <c r="I1672">
        <v>-167.86600000000001</v>
      </c>
      <c r="J1672" s="3">
        <v>20180720</v>
      </c>
      <c r="K1672">
        <v>2018</v>
      </c>
      <c r="L1672">
        <v>2.31236</v>
      </c>
      <c r="M1672">
        <v>2.0485600000000002</v>
      </c>
      <c r="N1672">
        <v>0.13372000000000001</v>
      </c>
      <c r="O1672">
        <v>0</v>
      </c>
      <c r="P1672">
        <v>2.81E-3</v>
      </c>
      <c r="Q1672">
        <v>0.31519000000000003</v>
      </c>
      <c r="R1672">
        <v>0</v>
      </c>
      <c r="S1672">
        <v>0</v>
      </c>
      <c r="T1672">
        <v>0</v>
      </c>
      <c r="U1672">
        <v>1.4829999999999999E-2</v>
      </c>
      <c r="V1672">
        <v>4.8274699999999999</v>
      </c>
      <c r="W1672" t="s">
        <v>9</v>
      </c>
      <c r="X1672">
        <v>35.07</v>
      </c>
      <c r="Y1672">
        <v>56.4</v>
      </c>
      <c r="Z1672">
        <v>1.897</v>
      </c>
      <c r="AA1672">
        <v>0</v>
      </c>
      <c r="AB1672">
        <v>0.20100000000000001</v>
      </c>
      <c r="AC1672">
        <v>39.399000000000001</v>
      </c>
      <c r="AD1672">
        <v>0</v>
      </c>
      <c r="AE1672">
        <v>0</v>
      </c>
      <c r="AF1672">
        <v>0</v>
      </c>
      <c r="AG1672">
        <v>0.41399999999999998</v>
      </c>
      <c r="AH1672">
        <v>133.381</v>
      </c>
      <c r="AI1672" t="s">
        <v>22</v>
      </c>
      <c r="AJ1672">
        <v>6280</v>
      </c>
      <c r="AK1672">
        <v>1980</v>
      </c>
      <c r="AL1672">
        <v>1370</v>
      </c>
      <c r="AM1672">
        <v>0</v>
      </c>
      <c r="AN1672">
        <v>240</v>
      </c>
      <c r="AO1672">
        <v>1830</v>
      </c>
      <c r="AP1672">
        <v>0</v>
      </c>
      <c r="AQ1672">
        <v>0</v>
      </c>
      <c r="AR1672">
        <v>0</v>
      </c>
      <c r="AS1672">
        <v>150</v>
      </c>
      <c r="AT1672">
        <v>11850</v>
      </c>
      <c r="AU1672" t="s">
        <v>33</v>
      </c>
    </row>
    <row r="1673" spans="1:47" x14ac:dyDescent="0.2">
      <c r="A1673">
        <v>2287</v>
      </c>
      <c r="B1673" t="s">
        <v>884</v>
      </c>
      <c r="C1673">
        <v>186</v>
      </c>
      <c r="D1673" t="s">
        <v>254</v>
      </c>
      <c r="G1673" t="str">
        <f t="shared" si="27"/>
        <v>SWL2018186SEC3</v>
      </c>
      <c r="H1673">
        <v>67.899000000000001</v>
      </c>
      <c r="I1673">
        <v>-168.23599999999999</v>
      </c>
      <c r="J1673" s="3">
        <v>20180721</v>
      </c>
      <c r="K1673">
        <v>2018</v>
      </c>
      <c r="L1673">
        <v>7.5145299999999997</v>
      </c>
      <c r="M1673">
        <v>21.39733</v>
      </c>
      <c r="N1673">
        <v>3.5444800000000001</v>
      </c>
      <c r="O1673">
        <v>0</v>
      </c>
      <c r="P1673">
        <v>0.15162</v>
      </c>
      <c r="Q1673">
        <v>5.5000000000000003E-4</v>
      </c>
      <c r="R1673">
        <v>3.53538</v>
      </c>
      <c r="S1673">
        <v>0</v>
      </c>
      <c r="T1673">
        <v>1.7700000000000001E-3</v>
      </c>
      <c r="U1673">
        <v>2.3500000000000001E-3</v>
      </c>
      <c r="V1673">
        <v>36.148009999999999</v>
      </c>
      <c r="W1673" t="s">
        <v>10</v>
      </c>
      <c r="X1673">
        <v>154.845</v>
      </c>
      <c r="Y1673">
        <v>637.39800000000002</v>
      </c>
      <c r="Z1673">
        <v>38.893000000000001</v>
      </c>
      <c r="AA1673">
        <v>0</v>
      </c>
      <c r="AB1673">
        <v>10.83</v>
      </c>
      <c r="AC1673">
        <v>6.9000000000000006E-2</v>
      </c>
      <c r="AD1673">
        <v>57.957000000000001</v>
      </c>
      <c r="AE1673">
        <v>0</v>
      </c>
      <c r="AF1673">
        <v>1.9E-2</v>
      </c>
      <c r="AG1673">
        <v>9.1999999999999998E-2</v>
      </c>
      <c r="AH1673">
        <v>900.10299999999995</v>
      </c>
      <c r="AI1673" t="s">
        <v>22</v>
      </c>
      <c r="AJ1673">
        <v>2292.5</v>
      </c>
      <c r="AK1673">
        <v>1370</v>
      </c>
      <c r="AL1673">
        <v>5345</v>
      </c>
      <c r="AM1673">
        <v>0</v>
      </c>
      <c r="AN1673">
        <v>30</v>
      </c>
      <c r="AO1673">
        <v>12.5</v>
      </c>
      <c r="AP1673">
        <v>60</v>
      </c>
      <c r="AQ1673">
        <v>0</v>
      </c>
      <c r="AR1673">
        <v>2.5</v>
      </c>
      <c r="AS1673">
        <v>35</v>
      </c>
      <c r="AT1673">
        <v>9147.5</v>
      </c>
      <c r="AU1673" t="s">
        <v>35</v>
      </c>
    </row>
    <row r="1674" spans="1:47" x14ac:dyDescent="0.2">
      <c r="A1674">
        <v>2288</v>
      </c>
      <c r="B1674" t="s">
        <v>884</v>
      </c>
      <c r="C1674">
        <v>193</v>
      </c>
      <c r="D1674" t="s">
        <v>563</v>
      </c>
      <c r="G1674" t="str">
        <f t="shared" si="27"/>
        <v>SWL2018193UTN6</v>
      </c>
      <c r="H1674">
        <v>67.739999999999995</v>
      </c>
      <c r="I1674">
        <v>-168.441</v>
      </c>
      <c r="J1674" s="3">
        <v>20180721</v>
      </c>
      <c r="K1674">
        <v>2018</v>
      </c>
      <c r="L1674">
        <v>14.385400000000001</v>
      </c>
      <c r="M1674">
        <v>31.01154</v>
      </c>
      <c r="N1674">
        <v>2.0591200000000001</v>
      </c>
      <c r="O1674">
        <v>0</v>
      </c>
      <c r="P1674">
        <v>8.8999999999999995E-4</v>
      </c>
      <c r="Q1674">
        <v>0</v>
      </c>
      <c r="R1674">
        <v>2.2624300000000002</v>
      </c>
      <c r="S1674">
        <v>0</v>
      </c>
      <c r="T1674">
        <v>2.7999999999999998E-4</v>
      </c>
      <c r="U1674">
        <v>0.11652</v>
      </c>
      <c r="V1674">
        <v>49.836179999999999</v>
      </c>
      <c r="W1674" t="s">
        <v>10</v>
      </c>
      <c r="X1674">
        <v>217.11500000000001</v>
      </c>
      <c r="Y1674">
        <v>864.31899999999996</v>
      </c>
      <c r="Z1674">
        <v>23.757000000000001</v>
      </c>
      <c r="AA1674">
        <v>0</v>
      </c>
      <c r="AB1674">
        <v>6.4000000000000001E-2</v>
      </c>
      <c r="AC1674">
        <v>0</v>
      </c>
      <c r="AD1674">
        <v>37.088999999999999</v>
      </c>
      <c r="AE1674">
        <v>0</v>
      </c>
      <c r="AF1674">
        <v>3.0000000000000001E-3</v>
      </c>
      <c r="AG1674">
        <v>2.2959999999999998</v>
      </c>
      <c r="AH1674">
        <v>1144.643</v>
      </c>
      <c r="AI1674" t="s">
        <v>22</v>
      </c>
      <c r="AJ1674">
        <v>2877.5</v>
      </c>
      <c r="AK1674">
        <v>655</v>
      </c>
      <c r="AL1674">
        <v>3677.5</v>
      </c>
      <c r="AM1674">
        <v>0</v>
      </c>
      <c r="AN1674">
        <v>52.5</v>
      </c>
      <c r="AO1674">
        <v>0</v>
      </c>
      <c r="AP1674">
        <v>127.5</v>
      </c>
      <c r="AQ1674">
        <v>0</v>
      </c>
      <c r="AR1674">
        <v>2.5</v>
      </c>
      <c r="AS1674">
        <v>167.5</v>
      </c>
      <c r="AT1674">
        <v>7560</v>
      </c>
      <c r="AU1674" t="s">
        <v>35</v>
      </c>
    </row>
    <row r="1675" spans="1:47" x14ac:dyDescent="0.2">
      <c r="A1675">
        <v>2289</v>
      </c>
      <c r="B1675" t="s">
        <v>884</v>
      </c>
      <c r="C1675">
        <v>200</v>
      </c>
      <c r="D1675" t="s">
        <v>258</v>
      </c>
      <c r="G1675" t="str">
        <f t="shared" si="27"/>
        <v>SWL2018200SEC2</v>
      </c>
      <c r="H1675">
        <v>67.784000000000006</v>
      </c>
      <c r="I1675">
        <v>-168.602</v>
      </c>
      <c r="J1675" s="3">
        <v>20180721</v>
      </c>
      <c r="K1675">
        <v>2018</v>
      </c>
      <c r="L1675">
        <v>6.98888</v>
      </c>
      <c r="M1675">
        <v>43.38008</v>
      </c>
      <c r="N1675">
        <v>2.1286900000000002</v>
      </c>
      <c r="O1675">
        <v>0</v>
      </c>
      <c r="P1675">
        <v>4.2999999999999999E-4</v>
      </c>
      <c r="Q1675">
        <v>0</v>
      </c>
      <c r="R1675">
        <v>2.5056400000000001</v>
      </c>
      <c r="S1675">
        <v>0</v>
      </c>
      <c r="T1675">
        <v>2.7899999999999999E-3</v>
      </c>
      <c r="U1675">
        <v>5.4000000000000001E-4</v>
      </c>
      <c r="V1675">
        <v>55.00705</v>
      </c>
      <c r="W1675" t="s">
        <v>10</v>
      </c>
      <c r="X1675">
        <v>101.624</v>
      </c>
      <c r="Y1675">
        <v>1292.4849999999999</v>
      </c>
      <c r="Z1675">
        <v>23.7</v>
      </c>
      <c r="AA1675">
        <v>0</v>
      </c>
      <c r="AB1675">
        <v>3.1E-2</v>
      </c>
      <c r="AC1675">
        <v>0</v>
      </c>
      <c r="AD1675">
        <v>41.076000000000001</v>
      </c>
      <c r="AE1675">
        <v>0</v>
      </c>
      <c r="AF1675">
        <v>0.03</v>
      </c>
      <c r="AG1675">
        <v>4.3999999999999997E-2</v>
      </c>
      <c r="AH1675">
        <v>1458.99</v>
      </c>
      <c r="AI1675" t="s">
        <v>22</v>
      </c>
      <c r="AJ1675">
        <v>1810</v>
      </c>
      <c r="AK1675">
        <v>717.5</v>
      </c>
      <c r="AL1675">
        <v>3870</v>
      </c>
      <c r="AM1675">
        <v>0</v>
      </c>
      <c r="AN1675">
        <v>27.5</v>
      </c>
      <c r="AO1675">
        <v>0</v>
      </c>
      <c r="AP1675">
        <v>132.5</v>
      </c>
      <c r="AQ1675">
        <v>0</v>
      </c>
      <c r="AR1675">
        <v>5</v>
      </c>
      <c r="AS1675">
        <v>2.5</v>
      </c>
      <c r="AT1675">
        <v>6565</v>
      </c>
      <c r="AU1675" t="s">
        <v>35</v>
      </c>
    </row>
    <row r="1676" spans="1:47" x14ac:dyDescent="0.2">
      <c r="A1676">
        <v>2290</v>
      </c>
      <c r="B1676" t="s">
        <v>884</v>
      </c>
      <c r="C1676">
        <v>207</v>
      </c>
      <c r="D1676" t="s">
        <v>306</v>
      </c>
      <c r="G1676" t="str">
        <f t="shared" si="27"/>
        <v>SWL2018207UTN5=SEC1</v>
      </c>
      <c r="H1676">
        <v>67.671999999999997</v>
      </c>
      <c r="I1676">
        <v>-168.93</v>
      </c>
      <c r="J1676" s="3">
        <v>20180721</v>
      </c>
      <c r="K1676">
        <v>2018</v>
      </c>
      <c r="L1676">
        <v>6.79528</v>
      </c>
      <c r="M1676">
        <v>109.26076999999999</v>
      </c>
      <c r="N1676">
        <v>0.45511000000000001</v>
      </c>
      <c r="O1676">
        <v>1.7099999999999999E-3</v>
      </c>
      <c r="P1676">
        <v>1.58E-3</v>
      </c>
      <c r="Q1676">
        <v>0</v>
      </c>
      <c r="R1676">
        <v>2.8210700000000002</v>
      </c>
      <c r="S1676">
        <v>0</v>
      </c>
      <c r="T1676">
        <v>0</v>
      </c>
      <c r="U1676">
        <v>2.64E-3</v>
      </c>
      <c r="V1676">
        <v>119.33816</v>
      </c>
      <c r="W1676" t="s">
        <v>10</v>
      </c>
      <c r="X1676">
        <v>100.10899999999999</v>
      </c>
      <c r="Y1676">
        <v>3164.31</v>
      </c>
      <c r="Z1676">
        <v>6.0279999999999996</v>
      </c>
      <c r="AA1676">
        <v>3.7999999999999999E-2</v>
      </c>
      <c r="AB1676">
        <v>0.113</v>
      </c>
      <c r="AC1676">
        <v>0</v>
      </c>
      <c r="AD1676">
        <v>46.247</v>
      </c>
      <c r="AE1676">
        <v>0</v>
      </c>
      <c r="AF1676">
        <v>0</v>
      </c>
      <c r="AG1676">
        <v>8.5999999999999993E-2</v>
      </c>
      <c r="AH1676">
        <v>3316.931</v>
      </c>
      <c r="AI1676" t="s">
        <v>22</v>
      </c>
      <c r="AJ1676">
        <v>1845</v>
      </c>
      <c r="AK1676">
        <v>907.5</v>
      </c>
      <c r="AL1676">
        <v>1762.5</v>
      </c>
      <c r="AM1676">
        <v>5</v>
      </c>
      <c r="AN1676">
        <v>32.5</v>
      </c>
      <c r="AO1676">
        <v>0</v>
      </c>
      <c r="AP1676">
        <v>150</v>
      </c>
      <c r="AQ1676">
        <v>0</v>
      </c>
      <c r="AR1676">
        <v>0</v>
      </c>
      <c r="AS1676">
        <v>52.5</v>
      </c>
      <c r="AT1676">
        <v>4755</v>
      </c>
      <c r="AU1676" t="s">
        <v>33</v>
      </c>
    </row>
    <row r="1677" spans="1:47" x14ac:dyDescent="0.2">
      <c r="A1677">
        <v>2291</v>
      </c>
      <c r="B1677" t="s">
        <v>884</v>
      </c>
      <c r="C1677">
        <v>214</v>
      </c>
      <c r="D1677" t="s">
        <v>564</v>
      </c>
      <c r="G1677" t="str">
        <f t="shared" si="27"/>
        <v>SWL2018214UTN7</v>
      </c>
      <c r="H1677">
        <v>68</v>
      </c>
      <c r="I1677">
        <v>-168.929</v>
      </c>
      <c r="J1677" s="3">
        <v>20180721</v>
      </c>
      <c r="K1677">
        <v>2018</v>
      </c>
      <c r="L1677">
        <v>2.3068300000000002</v>
      </c>
      <c r="M1677">
        <v>7.05966</v>
      </c>
      <c r="N1677">
        <v>2.69367</v>
      </c>
      <c r="O1677">
        <v>0</v>
      </c>
      <c r="P1677">
        <v>1.8000000000000001E-4</v>
      </c>
      <c r="Q1677">
        <v>0</v>
      </c>
      <c r="R1677">
        <v>1.5612299999999999</v>
      </c>
      <c r="S1677">
        <v>0</v>
      </c>
      <c r="T1677">
        <v>0</v>
      </c>
      <c r="U1677">
        <v>1.0840000000000001E-2</v>
      </c>
      <c r="V1677">
        <v>13.63241</v>
      </c>
      <c r="W1677" t="s">
        <v>10</v>
      </c>
      <c r="X1677">
        <v>35.536000000000001</v>
      </c>
      <c r="Y1677">
        <v>196.488</v>
      </c>
      <c r="Z1677">
        <v>29.335000000000001</v>
      </c>
      <c r="AA1677">
        <v>0</v>
      </c>
      <c r="AB1677">
        <v>1.2999999999999999E-2</v>
      </c>
      <c r="AC1677">
        <v>0</v>
      </c>
      <c r="AD1677">
        <v>25.594000000000001</v>
      </c>
      <c r="AE1677">
        <v>0</v>
      </c>
      <c r="AF1677">
        <v>0</v>
      </c>
      <c r="AG1677">
        <v>0.77800000000000002</v>
      </c>
      <c r="AH1677">
        <v>287.74400000000003</v>
      </c>
      <c r="AI1677" t="s">
        <v>22</v>
      </c>
      <c r="AJ1677">
        <v>637.5</v>
      </c>
      <c r="AK1677">
        <v>737.5</v>
      </c>
      <c r="AL1677">
        <v>3412.5</v>
      </c>
      <c r="AM1677">
        <v>0</v>
      </c>
      <c r="AN1677">
        <v>42.5</v>
      </c>
      <c r="AO1677">
        <v>0</v>
      </c>
      <c r="AP1677">
        <v>85</v>
      </c>
      <c r="AQ1677">
        <v>0</v>
      </c>
      <c r="AR1677">
        <v>0</v>
      </c>
      <c r="AS1677">
        <v>120</v>
      </c>
      <c r="AT1677">
        <v>5035</v>
      </c>
      <c r="AU1677" t="s">
        <v>35</v>
      </c>
    </row>
    <row r="1678" spans="1:47" x14ac:dyDescent="0.2">
      <c r="A1678">
        <v>2292</v>
      </c>
      <c r="B1678" t="s">
        <v>884</v>
      </c>
      <c r="C1678">
        <v>223</v>
      </c>
      <c r="D1678" t="s">
        <v>851</v>
      </c>
      <c r="G1678" t="str">
        <f t="shared" si="27"/>
        <v>SWL2018223DBO4.6n</v>
      </c>
      <c r="H1678">
        <v>71.852000000000004</v>
      </c>
      <c r="I1678">
        <v>-162.15700000000001</v>
      </c>
      <c r="J1678" s="3">
        <v>20180722</v>
      </c>
      <c r="K1678">
        <v>2018</v>
      </c>
      <c r="L1678">
        <v>2.5762200000000002</v>
      </c>
      <c r="M1678">
        <v>14.640779999999999</v>
      </c>
      <c r="N1678">
        <v>0.17931</v>
      </c>
      <c r="O1678">
        <v>0.94342999999999999</v>
      </c>
      <c r="P1678">
        <v>0.34650999999999998</v>
      </c>
      <c r="Q1678">
        <v>0</v>
      </c>
      <c r="R1678">
        <v>8.4999999999999995E-4</v>
      </c>
      <c r="S1678">
        <v>0</v>
      </c>
      <c r="T1678">
        <v>0.10304000000000001</v>
      </c>
      <c r="U1678">
        <v>0.44511000000000001</v>
      </c>
      <c r="V1678">
        <v>19.235250000000001</v>
      </c>
      <c r="W1678" t="s">
        <v>10</v>
      </c>
      <c r="X1678">
        <v>40.613999999999997</v>
      </c>
      <c r="Y1678">
        <v>428.67099999999999</v>
      </c>
      <c r="Z1678">
        <v>2.5470000000000002</v>
      </c>
      <c r="AA1678">
        <v>20.965</v>
      </c>
      <c r="AB1678">
        <v>24.751000000000001</v>
      </c>
      <c r="AC1678">
        <v>0</v>
      </c>
      <c r="AD1678">
        <v>1.4E-2</v>
      </c>
      <c r="AE1678">
        <v>0</v>
      </c>
      <c r="AF1678">
        <v>1.1080000000000001</v>
      </c>
      <c r="AG1678">
        <v>8.9359999999999999</v>
      </c>
      <c r="AH1678">
        <v>527.60599999999999</v>
      </c>
      <c r="AI1678" t="s">
        <v>22</v>
      </c>
      <c r="AJ1678">
        <v>1327.5</v>
      </c>
      <c r="AK1678">
        <v>1030</v>
      </c>
      <c r="AL1678">
        <v>225</v>
      </c>
      <c r="AM1678">
        <v>22.5</v>
      </c>
      <c r="AN1678">
        <v>7.5</v>
      </c>
      <c r="AO1678">
        <v>0</v>
      </c>
      <c r="AP1678">
        <v>5</v>
      </c>
      <c r="AQ1678">
        <v>0</v>
      </c>
      <c r="AR1678">
        <v>7.5</v>
      </c>
      <c r="AS1678">
        <v>37.5</v>
      </c>
      <c r="AT1678">
        <v>2662.5</v>
      </c>
      <c r="AU1678" t="s">
        <v>33</v>
      </c>
    </row>
    <row r="1679" spans="1:47" x14ac:dyDescent="0.2">
      <c r="A1679">
        <v>2293</v>
      </c>
      <c r="B1679" t="s">
        <v>884</v>
      </c>
      <c r="C1679">
        <v>230</v>
      </c>
      <c r="D1679" t="s">
        <v>850</v>
      </c>
      <c r="G1679" t="str">
        <f t="shared" si="27"/>
        <v>SWL2018230DBO4.5n</v>
      </c>
      <c r="H1679">
        <v>71.742999999999995</v>
      </c>
      <c r="I1679">
        <v>-161.85</v>
      </c>
      <c r="J1679" s="3">
        <v>20180722</v>
      </c>
      <c r="K1679">
        <v>2018</v>
      </c>
      <c r="L1679">
        <v>1.6376299999999999</v>
      </c>
      <c r="M1679">
        <v>9.3903999999999996</v>
      </c>
      <c r="N1679">
        <v>0.2014</v>
      </c>
      <c r="O1679">
        <v>5.3510000000000002E-2</v>
      </c>
      <c r="P1679">
        <v>2.546E-2</v>
      </c>
      <c r="Q1679">
        <v>0</v>
      </c>
      <c r="R1679">
        <v>0</v>
      </c>
      <c r="S1679">
        <v>0.10131999999999999</v>
      </c>
      <c r="T1679">
        <v>1.4564699999999999</v>
      </c>
      <c r="U1679">
        <v>0.75749999999999995</v>
      </c>
      <c r="V1679">
        <v>13.62369</v>
      </c>
      <c r="W1679" t="s">
        <v>10</v>
      </c>
      <c r="X1679">
        <v>24.855</v>
      </c>
      <c r="Y1679">
        <v>272.47500000000002</v>
      </c>
      <c r="Z1679">
        <v>2.91</v>
      </c>
      <c r="AA1679">
        <v>1.1890000000000001</v>
      </c>
      <c r="AB1679">
        <v>1.819</v>
      </c>
      <c r="AC1679">
        <v>0</v>
      </c>
      <c r="AD1679">
        <v>0</v>
      </c>
      <c r="AE1679">
        <v>7.2370000000000001</v>
      </c>
      <c r="AF1679">
        <v>15.661</v>
      </c>
      <c r="AG1679">
        <v>17.888000000000002</v>
      </c>
      <c r="AH1679">
        <v>344.03399999999999</v>
      </c>
      <c r="AI1679" t="s">
        <v>22</v>
      </c>
      <c r="AJ1679">
        <v>1285</v>
      </c>
      <c r="AK1679">
        <v>715</v>
      </c>
      <c r="AL1679">
        <v>125</v>
      </c>
      <c r="AM1679">
        <v>22.5</v>
      </c>
      <c r="AN1679">
        <v>2.5</v>
      </c>
      <c r="AO1679">
        <v>0</v>
      </c>
      <c r="AP1679">
        <v>0</v>
      </c>
      <c r="AQ1679">
        <v>2.5</v>
      </c>
      <c r="AR1679">
        <v>22.5</v>
      </c>
      <c r="AS1679">
        <v>55</v>
      </c>
      <c r="AT1679">
        <v>2230</v>
      </c>
      <c r="AU1679" t="s">
        <v>33</v>
      </c>
    </row>
    <row r="1680" spans="1:47" x14ac:dyDescent="0.2">
      <c r="A1680">
        <v>2294</v>
      </c>
      <c r="B1680" t="s">
        <v>884</v>
      </c>
      <c r="C1680">
        <v>238</v>
      </c>
      <c r="D1680" t="s">
        <v>849</v>
      </c>
      <c r="G1680" t="str">
        <f t="shared" si="27"/>
        <v>SWL2018238DBO4.4n</v>
      </c>
      <c r="H1680">
        <v>71.587999999999994</v>
      </c>
      <c r="I1680">
        <v>-161.40100000000001</v>
      </c>
      <c r="J1680" s="3">
        <v>20180722</v>
      </c>
      <c r="K1680">
        <v>2018</v>
      </c>
      <c r="L1680">
        <v>2.38123</v>
      </c>
      <c r="M1680">
        <v>15.50667</v>
      </c>
      <c r="N1680">
        <v>0.47070000000000001</v>
      </c>
      <c r="O1680">
        <v>0</v>
      </c>
      <c r="P1680">
        <v>0.21725</v>
      </c>
      <c r="Q1680">
        <v>0</v>
      </c>
      <c r="R1680">
        <v>4.99E-2</v>
      </c>
      <c r="S1680">
        <v>2.622E-2</v>
      </c>
      <c r="T1680">
        <v>9.7369999999999998E-2</v>
      </c>
      <c r="U1680">
        <v>1.3310000000000001E-2</v>
      </c>
      <c r="V1680">
        <v>18.762650000000001</v>
      </c>
      <c r="W1680" t="s">
        <v>10</v>
      </c>
      <c r="X1680">
        <v>45.744999999999997</v>
      </c>
      <c r="Y1680">
        <v>425.78800000000001</v>
      </c>
      <c r="Z1680">
        <v>6.226</v>
      </c>
      <c r="AA1680">
        <v>0</v>
      </c>
      <c r="AB1680">
        <v>15.518000000000001</v>
      </c>
      <c r="AC1680">
        <v>0</v>
      </c>
      <c r="AD1680">
        <v>0.81799999999999995</v>
      </c>
      <c r="AE1680">
        <v>1.873</v>
      </c>
      <c r="AF1680">
        <v>1.0469999999999999</v>
      </c>
      <c r="AG1680">
        <v>0.47899999999999998</v>
      </c>
      <c r="AH1680">
        <v>497.49400000000003</v>
      </c>
      <c r="AI1680" t="s">
        <v>22</v>
      </c>
      <c r="AJ1680">
        <v>1137.5</v>
      </c>
      <c r="AK1680">
        <v>1200</v>
      </c>
      <c r="AL1680">
        <v>55</v>
      </c>
      <c r="AM1680">
        <v>0</v>
      </c>
      <c r="AN1680">
        <v>12.5</v>
      </c>
      <c r="AO1680">
        <v>0</v>
      </c>
      <c r="AP1680">
        <v>7.5</v>
      </c>
      <c r="AQ1680">
        <v>2.5</v>
      </c>
      <c r="AR1680">
        <v>42.5</v>
      </c>
      <c r="AS1680">
        <v>35</v>
      </c>
      <c r="AT1680">
        <v>2492.5</v>
      </c>
      <c r="AU1680" t="s">
        <v>34</v>
      </c>
    </row>
    <row r="1681" spans="1:47" x14ac:dyDescent="0.2">
      <c r="A1681">
        <v>2295</v>
      </c>
      <c r="B1681" t="s">
        <v>884</v>
      </c>
      <c r="C1681">
        <v>246</v>
      </c>
      <c r="D1681" t="s">
        <v>848</v>
      </c>
      <c r="G1681" t="str">
        <f t="shared" si="27"/>
        <v>SWL2018246DBO4.3n</v>
      </c>
      <c r="H1681">
        <v>71.453999999999994</v>
      </c>
      <c r="I1681">
        <v>-161.036</v>
      </c>
      <c r="J1681" s="3">
        <v>20180722</v>
      </c>
      <c r="K1681">
        <v>2018</v>
      </c>
      <c r="L1681">
        <v>3.8742899999999998</v>
      </c>
      <c r="M1681">
        <v>7.8070899999999996</v>
      </c>
      <c r="N1681">
        <v>0.50321000000000005</v>
      </c>
      <c r="O1681">
        <v>2.6992799999999999</v>
      </c>
      <c r="P1681">
        <v>0.19411</v>
      </c>
      <c r="Q1681">
        <v>0</v>
      </c>
      <c r="R1681">
        <v>5.6699999999999997E-3</v>
      </c>
      <c r="S1681">
        <v>5.6779999999999997E-2</v>
      </c>
      <c r="T1681">
        <v>2.213E-2</v>
      </c>
      <c r="U1681">
        <v>3.9800000000000002E-2</v>
      </c>
      <c r="V1681">
        <v>15.202360000000001</v>
      </c>
      <c r="W1681" t="s">
        <v>10</v>
      </c>
      <c r="X1681">
        <v>57.595999999999997</v>
      </c>
      <c r="Y1681">
        <v>219.80099999999999</v>
      </c>
      <c r="Z1681">
        <v>7.3330000000000002</v>
      </c>
      <c r="AA1681">
        <v>59.984000000000002</v>
      </c>
      <c r="AB1681">
        <v>13.865</v>
      </c>
      <c r="AC1681">
        <v>0</v>
      </c>
      <c r="AD1681">
        <v>9.2999999999999999E-2</v>
      </c>
      <c r="AE1681">
        <v>4.056</v>
      </c>
      <c r="AF1681">
        <v>0.23799999999999999</v>
      </c>
      <c r="AG1681">
        <v>0.753</v>
      </c>
      <c r="AH1681">
        <v>363.71899999999999</v>
      </c>
      <c r="AI1681" t="s">
        <v>22</v>
      </c>
      <c r="AJ1681">
        <v>2275</v>
      </c>
      <c r="AK1681">
        <v>1180</v>
      </c>
      <c r="AL1681">
        <v>115</v>
      </c>
      <c r="AM1681">
        <v>2.5</v>
      </c>
      <c r="AN1681">
        <v>20</v>
      </c>
      <c r="AO1681">
        <v>0</v>
      </c>
      <c r="AP1681">
        <v>5</v>
      </c>
      <c r="AQ1681">
        <v>5</v>
      </c>
      <c r="AR1681">
        <v>15</v>
      </c>
      <c r="AS1681">
        <v>30</v>
      </c>
      <c r="AT1681">
        <v>3647.5</v>
      </c>
      <c r="AU1681" t="s">
        <v>33</v>
      </c>
    </row>
    <row r="1682" spans="1:47" x14ac:dyDescent="0.2">
      <c r="A1682">
        <f t="shared" ref="A1682:A1728" si="28">A1681+1</f>
        <v>2296</v>
      </c>
      <c r="B1682" t="s">
        <v>892</v>
      </c>
      <c r="C1682">
        <v>1</v>
      </c>
      <c r="D1682" t="s">
        <v>886</v>
      </c>
      <c r="G1682" t="str">
        <f>CONCATENATE(B1682,C1682,D1682)</f>
        <v>HLY18011UTBS2A</v>
      </c>
      <c r="H1682">
        <v>64.670500000000004</v>
      </c>
      <c r="I1682">
        <v>-168.23419999999999</v>
      </c>
      <c r="J1682" s="3" t="s">
        <v>910</v>
      </c>
      <c r="K1682">
        <v>2018</v>
      </c>
      <c r="L1682">
        <v>2.8844799999999999</v>
      </c>
      <c r="M1682">
        <v>1.04251</v>
      </c>
      <c r="N1682">
        <v>6.0941200000000002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1.026E-2</v>
      </c>
      <c r="V1682">
        <f t="shared" ref="V1682:V1728" si="29">SUM(L1682:U1682)</f>
        <v>10.031370000000001</v>
      </c>
      <c r="W1682" t="str">
        <f t="shared" ref="W1682:W1728" si="30">INDEX($L$1:$U$1,MATCH(MAX(L1682:U1682),L1682:U1682,0))</f>
        <v>gc_Crustacea</v>
      </c>
      <c r="X1682">
        <v>41.195999999999998</v>
      </c>
      <c r="Y1682">
        <v>36.716999999999999</v>
      </c>
      <c r="Z1682">
        <v>89.507000000000005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1.004</v>
      </c>
      <c r="AH1682">
        <f t="shared" ref="AH1682:AH1728" si="31">SUM(X1682:AG1682)</f>
        <v>168.42400000000001</v>
      </c>
      <c r="AI1682" t="str">
        <f t="shared" ref="AI1682:AI1728" si="32">INDEX($X$1:$AG$1,MATCH(MAX(X1682:AG1682),X1682:AG1682,0))</f>
        <v>ww_Crustacea</v>
      </c>
      <c r="AJ1682">
        <v>1310</v>
      </c>
      <c r="AK1682">
        <v>2080</v>
      </c>
      <c r="AL1682">
        <v>2340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10</v>
      </c>
      <c r="AT1682">
        <f t="shared" ref="AT1682:AT1728" si="33">SUM(AJ1682:AS1682)</f>
        <v>5740</v>
      </c>
      <c r="AU1682" t="str">
        <f t="shared" ref="AU1682:AU1728" si="34">INDEX($AJ$1:$AS$1,MATCH(MAX(AJ1682:AS1682),AJ1682:AS1682,0))</f>
        <v>abd_Crustacea</v>
      </c>
    </row>
    <row r="1683" spans="1:47" x14ac:dyDescent="0.2">
      <c r="A1683">
        <f t="shared" si="28"/>
        <v>2297</v>
      </c>
      <c r="B1683" t="s">
        <v>892</v>
      </c>
      <c r="C1683">
        <v>3</v>
      </c>
      <c r="D1683" t="s">
        <v>179</v>
      </c>
      <c r="G1683" t="str">
        <f t="shared" ref="G1683:G1728" si="35">CONCATENATE(B1683,C1683,D1683)</f>
        <v>HLY18013UTBS1</v>
      </c>
      <c r="H1683">
        <v>64.991200000000006</v>
      </c>
      <c r="I1683">
        <v>-169.14599999999999</v>
      </c>
      <c r="J1683" s="3" t="s">
        <v>910</v>
      </c>
      <c r="K1683">
        <v>2018</v>
      </c>
      <c r="L1683">
        <v>1.9655</v>
      </c>
      <c r="M1683">
        <v>6.2434799999999999</v>
      </c>
      <c r="N1683">
        <v>12.74987</v>
      </c>
      <c r="O1683">
        <v>0</v>
      </c>
      <c r="P1683">
        <v>0</v>
      </c>
      <c r="Q1683">
        <v>2.0000000000000002E-5</v>
      </c>
      <c r="R1683">
        <v>3.17578</v>
      </c>
      <c r="S1683">
        <v>0</v>
      </c>
      <c r="T1683">
        <v>0.72948999999999997</v>
      </c>
      <c r="U1683">
        <v>0.63780000000000003</v>
      </c>
      <c r="V1683">
        <f t="shared" si="29"/>
        <v>25.501939999999994</v>
      </c>
      <c r="W1683" t="str">
        <f t="shared" si="30"/>
        <v>gc_Crustacea</v>
      </c>
      <c r="X1683">
        <v>27.765999999999998</v>
      </c>
      <c r="Y1683">
        <v>399.62</v>
      </c>
      <c r="Z1683">
        <v>186.78200000000001</v>
      </c>
      <c r="AA1683">
        <v>0</v>
      </c>
      <c r="AB1683">
        <v>0</v>
      </c>
      <c r="AC1683">
        <v>2E-3</v>
      </c>
      <c r="AD1683">
        <v>52.061999999999998</v>
      </c>
      <c r="AE1683">
        <v>0</v>
      </c>
      <c r="AF1683">
        <v>7.8440000000000003</v>
      </c>
      <c r="AG1683">
        <v>63.78</v>
      </c>
      <c r="AH1683">
        <f t="shared" si="31"/>
        <v>737.85599999999999</v>
      </c>
      <c r="AI1683" t="str">
        <f t="shared" si="32"/>
        <v>ww_Bivalvia</v>
      </c>
      <c r="AJ1683">
        <v>1700</v>
      </c>
      <c r="AK1683">
        <v>1410</v>
      </c>
      <c r="AL1683">
        <v>9080</v>
      </c>
      <c r="AM1683">
        <v>0</v>
      </c>
      <c r="AN1683">
        <v>0</v>
      </c>
      <c r="AO1683">
        <v>20</v>
      </c>
      <c r="AP1683">
        <v>20</v>
      </c>
      <c r="AQ1683">
        <v>0</v>
      </c>
      <c r="AR1683">
        <v>170</v>
      </c>
      <c r="AS1683">
        <v>0</v>
      </c>
      <c r="AT1683">
        <f t="shared" si="33"/>
        <v>12400</v>
      </c>
      <c r="AU1683" t="str">
        <f t="shared" si="34"/>
        <v>abd_Crustacea</v>
      </c>
    </row>
    <row r="1684" spans="1:47" x14ac:dyDescent="0.2">
      <c r="A1684">
        <f t="shared" si="28"/>
        <v>2298</v>
      </c>
      <c r="B1684" t="s">
        <v>892</v>
      </c>
      <c r="C1684">
        <v>4</v>
      </c>
      <c r="D1684" t="s">
        <v>558</v>
      </c>
      <c r="G1684" t="str">
        <f t="shared" si="35"/>
        <v>HLY18014UTBS4</v>
      </c>
      <c r="H1684">
        <v>64.959800000000001</v>
      </c>
      <c r="I1684">
        <v>-169.899</v>
      </c>
      <c r="J1684" s="3" t="s">
        <v>911</v>
      </c>
      <c r="K1684">
        <v>2018</v>
      </c>
      <c r="L1684">
        <v>2.4012699999999998</v>
      </c>
      <c r="M1684">
        <v>0.78944999999999999</v>
      </c>
      <c r="N1684">
        <v>0.44779000000000002</v>
      </c>
      <c r="O1684">
        <v>0</v>
      </c>
      <c r="P1684">
        <v>1.3999999999999999E-4</v>
      </c>
      <c r="Q1684">
        <v>0</v>
      </c>
      <c r="R1684">
        <v>0</v>
      </c>
      <c r="S1684">
        <v>0</v>
      </c>
      <c r="T1684">
        <v>0</v>
      </c>
      <c r="U1684">
        <v>5.8880000000000002E-2</v>
      </c>
      <c r="V1684">
        <f t="shared" si="29"/>
        <v>3.6975299999999995</v>
      </c>
      <c r="W1684" t="str">
        <f t="shared" si="30"/>
        <v>gc_Polychaeta</v>
      </c>
      <c r="X1684">
        <v>33.557000000000002</v>
      </c>
      <c r="Y1684">
        <v>22.545999999999999</v>
      </c>
      <c r="Z1684">
        <v>6.5430000000000001</v>
      </c>
      <c r="AA1684">
        <v>0</v>
      </c>
      <c r="AB1684">
        <v>0.01</v>
      </c>
      <c r="AC1684">
        <v>0</v>
      </c>
      <c r="AD1684">
        <v>0</v>
      </c>
      <c r="AE1684">
        <v>0</v>
      </c>
      <c r="AF1684">
        <v>0</v>
      </c>
      <c r="AG1684">
        <v>5.8879999999999999</v>
      </c>
      <c r="AH1684">
        <f t="shared" si="31"/>
        <v>68.543999999999997</v>
      </c>
      <c r="AI1684" t="str">
        <f t="shared" si="32"/>
        <v>ww_Polychaeta</v>
      </c>
      <c r="AJ1684">
        <v>520</v>
      </c>
      <c r="AK1684">
        <v>740</v>
      </c>
      <c r="AL1684">
        <v>850</v>
      </c>
      <c r="AM1684">
        <v>0</v>
      </c>
      <c r="AN1684">
        <v>40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f t="shared" si="33"/>
        <v>2150</v>
      </c>
      <c r="AU1684" t="str">
        <f t="shared" si="34"/>
        <v>abd_Crustacea</v>
      </c>
    </row>
    <row r="1685" spans="1:47" x14ac:dyDescent="0.2">
      <c r="A1685">
        <f t="shared" si="28"/>
        <v>2299</v>
      </c>
      <c r="B1685" t="s">
        <v>892</v>
      </c>
      <c r="C1685">
        <v>5</v>
      </c>
      <c r="D1685" t="s">
        <v>556</v>
      </c>
      <c r="G1685" t="str">
        <f t="shared" si="35"/>
        <v>HLY18015UTBS5</v>
      </c>
      <c r="H1685">
        <v>64.671800000000005</v>
      </c>
      <c r="I1685">
        <v>-169.92580000000001</v>
      </c>
      <c r="J1685" s="3" t="s">
        <v>911</v>
      </c>
      <c r="K1685">
        <v>2018</v>
      </c>
      <c r="L1685">
        <v>0.97096000000000005</v>
      </c>
      <c r="M1685">
        <v>1.25013</v>
      </c>
      <c r="N1685">
        <v>0.83801999999999999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2.5799999999999998E-3</v>
      </c>
      <c r="V1685">
        <f t="shared" si="29"/>
        <v>3.0616900000000005</v>
      </c>
      <c r="W1685" t="str">
        <f t="shared" si="30"/>
        <v>gc_Bivalvia</v>
      </c>
      <c r="X1685">
        <v>13.765000000000001</v>
      </c>
      <c r="Y1685">
        <v>32.722000000000001</v>
      </c>
      <c r="Z1685">
        <v>11.577999999999999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0.25800000000000001</v>
      </c>
      <c r="AH1685">
        <f t="shared" si="31"/>
        <v>58.323</v>
      </c>
      <c r="AI1685" t="str">
        <f t="shared" si="32"/>
        <v>ww_Bivalvia</v>
      </c>
      <c r="AJ1685">
        <v>660</v>
      </c>
      <c r="AK1685">
        <v>900</v>
      </c>
      <c r="AL1685">
        <v>2000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f t="shared" si="33"/>
        <v>3560</v>
      </c>
      <c r="AU1685" t="str">
        <f t="shared" si="34"/>
        <v>abd_Crustacea</v>
      </c>
    </row>
    <row r="1686" spans="1:47" x14ac:dyDescent="0.2">
      <c r="A1686">
        <f t="shared" si="28"/>
        <v>2300</v>
      </c>
      <c r="B1686" t="s">
        <v>892</v>
      </c>
      <c r="C1686">
        <v>6</v>
      </c>
      <c r="D1686" t="s">
        <v>557</v>
      </c>
      <c r="G1686" t="str">
        <f t="shared" si="35"/>
        <v>HLY18016UTBS2</v>
      </c>
      <c r="H1686">
        <v>64.680000000000007</v>
      </c>
      <c r="I1686">
        <v>-169.1002</v>
      </c>
      <c r="J1686" s="3" t="s">
        <v>911</v>
      </c>
      <c r="K1686">
        <v>2018</v>
      </c>
      <c r="L1686">
        <v>3.5570200000000001</v>
      </c>
      <c r="M1686">
        <v>2.5899399999999999</v>
      </c>
      <c r="N1686">
        <v>6.5223800000000001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3.1060000000000001E-2</v>
      </c>
      <c r="U1686">
        <v>0.17610999999999999</v>
      </c>
      <c r="V1686">
        <f t="shared" si="29"/>
        <v>12.87651</v>
      </c>
      <c r="W1686" t="str">
        <f t="shared" si="30"/>
        <v>gc_Crustacea</v>
      </c>
      <c r="X1686">
        <v>50.383000000000003</v>
      </c>
      <c r="Y1686">
        <v>72.87</v>
      </c>
      <c r="Z1686">
        <v>95.628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0.33400000000000002</v>
      </c>
      <c r="AG1686">
        <v>8.5280000000000005</v>
      </c>
      <c r="AH1686">
        <f t="shared" si="31"/>
        <v>227.74300000000002</v>
      </c>
      <c r="AI1686" t="str">
        <f t="shared" si="32"/>
        <v>ww_Crustacea</v>
      </c>
      <c r="AJ1686">
        <v>1540</v>
      </c>
      <c r="AK1686">
        <v>1110</v>
      </c>
      <c r="AL1686">
        <v>6100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30</v>
      </c>
      <c r="AS1686">
        <v>10</v>
      </c>
      <c r="AT1686">
        <f t="shared" si="33"/>
        <v>8790</v>
      </c>
      <c r="AU1686" t="str">
        <f t="shared" si="34"/>
        <v>abd_Crustacea</v>
      </c>
    </row>
    <row r="1687" spans="1:47" x14ac:dyDescent="0.2">
      <c r="A1687">
        <f t="shared" si="28"/>
        <v>2301</v>
      </c>
      <c r="B1687" t="s">
        <v>892</v>
      </c>
      <c r="C1687">
        <v>7</v>
      </c>
      <c r="D1687" t="s">
        <v>908</v>
      </c>
      <c r="G1687" t="str">
        <f t="shared" si="35"/>
        <v>HLY18017T1</v>
      </c>
      <c r="H1687">
        <v>66.417000000000002</v>
      </c>
      <c r="I1687">
        <v>-168.67750000000001</v>
      </c>
      <c r="J1687" s="3" t="s">
        <v>911</v>
      </c>
      <c r="K1687">
        <v>2018</v>
      </c>
      <c r="L1687">
        <v>4.0959099999999999</v>
      </c>
      <c r="M1687">
        <v>12.24104</v>
      </c>
      <c r="N1687">
        <v>2.4850500000000002</v>
      </c>
      <c r="O1687">
        <v>6.5700000000000003E-3</v>
      </c>
      <c r="P1687">
        <v>6.3600000000000002E-3</v>
      </c>
      <c r="Q1687">
        <v>1.4499999999999999E-3</v>
      </c>
      <c r="R1687">
        <v>0</v>
      </c>
      <c r="S1687">
        <v>0</v>
      </c>
      <c r="T1687">
        <v>0.24654000000000001</v>
      </c>
      <c r="U1687">
        <v>0.10181999999999999</v>
      </c>
      <c r="V1687">
        <f t="shared" si="29"/>
        <v>19.184740000000001</v>
      </c>
      <c r="W1687" t="str">
        <f t="shared" si="30"/>
        <v>gc_Bivalvia</v>
      </c>
      <c r="X1687">
        <v>58.21</v>
      </c>
      <c r="Y1687">
        <v>546.44600000000003</v>
      </c>
      <c r="Z1687">
        <v>35.331000000000003</v>
      </c>
      <c r="AA1687">
        <v>0.14599999999999999</v>
      </c>
      <c r="AB1687">
        <v>0.45400000000000001</v>
      </c>
      <c r="AC1687">
        <v>0.13200000000000001</v>
      </c>
      <c r="AD1687">
        <v>0</v>
      </c>
      <c r="AE1687">
        <v>0</v>
      </c>
      <c r="AF1687">
        <v>2.6509999999999998</v>
      </c>
      <c r="AG1687">
        <v>4.3490000000000002</v>
      </c>
      <c r="AH1687">
        <f t="shared" si="31"/>
        <v>647.71899999999994</v>
      </c>
      <c r="AI1687" t="str">
        <f t="shared" si="32"/>
        <v>ww_Bivalvia</v>
      </c>
      <c r="AJ1687">
        <v>2260</v>
      </c>
      <c r="AK1687">
        <v>5480</v>
      </c>
      <c r="AL1687">
        <v>23860</v>
      </c>
      <c r="AM1687">
        <v>30</v>
      </c>
      <c r="AN1687">
        <v>160</v>
      </c>
      <c r="AO1687">
        <v>20</v>
      </c>
      <c r="AP1687">
        <v>0</v>
      </c>
      <c r="AQ1687">
        <v>0</v>
      </c>
      <c r="AR1687">
        <v>110</v>
      </c>
      <c r="AS1687">
        <v>55</v>
      </c>
      <c r="AT1687">
        <f t="shared" si="33"/>
        <v>31975</v>
      </c>
      <c r="AU1687" t="str">
        <f t="shared" si="34"/>
        <v>abd_Crustacea</v>
      </c>
    </row>
    <row r="1688" spans="1:47" x14ac:dyDescent="0.2">
      <c r="A1688">
        <f t="shared" si="28"/>
        <v>2302</v>
      </c>
      <c r="B1688" t="s">
        <v>892</v>
      </c>
      <c r="C1688">
        <v>8</v>
      </c>
      <c r="D1688" t="s">
        <v>909</v>
      </c>
      <c r="G1688" t="str">
        <f t="shared" si="35"/>
        <v>HLY18018T2</v>
      </c>
      <c r="H1688">
        <v>67.164199999999994</v>
      </c>
      <c r="I1688">
        <v>-168.6635</v>
      </c>
      <c r="J1688" s="3" t="s">
        <v>911</v>
      </c>
      <c r="K1688">
        <v>2018</v>
      </c>
      <c r="L1688">
        <v>8.8004899999999999</v>
      </c>
      <c r="M1688">
        <v>139.49768</v>
      </c>
      <c r="N1688">
        <v>0.16980000000000001</v>
      </c>
      <c r="O1688">
        <v>0</v>
      </c>
      <c r="P1688">
        <v>5.11E-3</v>
      </c>
      <c r="Q1688">
        <v>0</v>
      </c>
      <c r="R1688">
        <v>0.28083999999999998</v>
      </c>
      <c r="S1688">
        <v>4.1099999999999998E-2</v>
      </c>
      <c r="T1688">
        <v>6.7890000000000006E-2</v>
      </c>
      <c r="U1688">
        <v>0.94662999999999997</v>
      </c>
      <c r="V1688">
        <f t="shared" si="29"/>
        <v>149.80954000000003</v>
      </c>
      <c r="W1688" t="str">
        <f t="shared" si="30"/>
        <v>gc_Bivalvia</v>
      </c>
      <c r="X1688">
        <v>140.97800000000001</v>
      </c>
      <c r="Y1688">
        <v>4003.1770000000001</v>
      </c>
      <c r="Z1688">
        <v>2.2919999999999998</v>
      </c>
      <c r="AA1688">
        <v>0</v>
      </c>
      <c r="AB1688">
        <v>0.36499999999999999</v>
      </c>
      <c r="AC1688">
        <v>0</v>
      </c>
      <c r="AD1688">
        <v>4.6040000000000001</v>
      </c>
      <c r="AE1688">
        <v>2.9359999999999999</v>
      </c>
      <c r="AF1688">
        <v>0.73</v>
      </c>
      <c r="AG1688">
        <v>19.131</v>
      </c>
      <c r="AH1688">
        <f t="shared" si="31"/>
        <v>4174.2129999999997</v>
      </c>
      <c r="AI1688" t="str">
        <f t="shared" si="32"/>
        <v>ww_Bivalvia</v>
      </c>
      <c r="AJ1688">
        <v>2115</v>
      </c>
      <c r="AK1688">
        <v>4567.5</v>
      </c>
      <c r="AL1688">
        <v>627.5</v>
      </c>
      <c r="AM1688">
        <v>0</v>
      </c>
      <c r="AN1688">
        <v>20</v>
      </c>
      <c r="AO1688">
        <v>0</v>
      </c>
      <c r="AP1688">
        <v>2.5</v>
      </c>
      <c r="AQ1688">
        <v>2.5</v>
      </c>
      <c r="AR1688">
        <v>7.5</v>
      </c>
      <c r="AS1688">
        <v>10</v>
      </c>
      <c r="AT1688">
        <f t="shared" si="33"/>
        <v>7352.5</v>
      </c>
      <c r="AU1688" t="str">
        <f t="shared" si="34"/>
        <v>abd_Bivalvia</v>
      </c>
    </row>
    <row r="1689" spans="1:47" x14ac:dyDescent="0.2">
      <c r="A1689">
        <f t="shared" si="28"/>
        <v>2303</v>
      </c>
      <c r="B1689" t="s">
        <v>892</v>
      </c>
      <c r="C1689">
        <v>9</v>
      </c>
      <c r="D1689" t="s">
        <v>389</v>
      </c>
      <c r="G1689" t="str">
        <f t="shared" si="35"/>
        <v>HLY18019SEC8</v>
      </c>
      <c r="H1689">
        <v>68.301199999999994</v>
      </c>
      <c r="I1689">
        <v>-166.9308</v>
      </c>
      <c r="J1689" s="3" t="s">
        <v>912</v>
      </c>
      <c r="K1689">
        <v>2018</v>
      </c>
      <c r="L1689">
        <v>1.4087499999999999</v>
      </c>
      <c r="M1689">
        <v>0.67403999999999997</v>
      </c>
      <c r="N1689">
        <v>0.14884</v>
      </c>
      <c r="O1689">
        <v>4.8999999999999998E-3</v>
      </c>
      <c r="P1689">
        <v>3.2000000000000003E-4</v>
      </c>
      <c r="Q1689">
        <v>0</v>
      </c>
      <c r="R1689">
        <v>0</v>
      </c>
      <c r="S1689">
        <v>0</v>
      </c>
      <c r="T1689">
        <v>3.218E-2</v>
      </c>
      <c r="U1689">
        <v>4.1070000000000002E-2</v>
      </c>
      <c r="V1689">
        <f t="shared" si="29"/>
        <v>2.3100999999999998</v>
      </c>
      <c r="W1689" t="str">
        <f t="shared" si="30"/>
        <v>gc_Polychaeta</v>
      </c>
      <c r="X1689">
        <v>19.196000000000002</v>
      </c>
      <c r="Y1689">
        <v>15.484</v>
      </c>
      <c r="Z1689">
        <v>2.17</v>
      </c>
      <c r="AA1689">
        <v>0.109</v>
      </c>
      <c r="AB1689">
        <v>2.3E-2</v>
      </c>
      <c r="AC1689">
        <v>0</v>
      </c>
      <c r="AD1689">
        <v>0</v>
      </c>
      <c r="AE1689">
        <v>0</v>
      </c>
      <c r="AF1689">
        <v>0.34599999999999997</v>
      </c>
      <c r="AG1689">
        <v>4.1070000000000002</v>
      </c>
      <c r="AH1689">
        <f t="shared" si="31"/>
        <v>41.435000000000002</v>
      </c>
      <c r="AI1689" t="str">
        <f t="shared" si="32"/>
        <v>ww_Polychaeta</v>
      </c>
      <c r="AJ1689">
        <v>7720</v>
      </c>
      <c r="AK1689">
        <v>160</v>
      </c>
      <c r="AL1689">
        <v>470</v>
      </c>
      <c r="AM1689">
        <v>20</v>
      </c>
      <c r="AN1689">
        <v>30</v>
      </c>
      <c r="AO1689">
        <v>0</v>
      </c>
      <c r="AP1689">
        <v>0</v>
      </c>
      <c r="AQ1689">
        <v>0</v>
      </c>
      <c r="AR1689">
        <v>10</v>
      </c>
      <c r="AS1689">
        <v>0</v>
      </c>
      <c r="AT1689">
        <f t="shared" si="33"/>
        <v>8410</v>
      </c>
      <c r="AU1689" t="str">
        <f t="shared" si="34"/>
        <v>abd_Polychaeta</v>
      </c>
    </row>
    <row r="1690" spans="1:47" x14ac:dyDescent="0.2">
      <c r="A1690">
        <f t="shared" si="28"/>
        <v>2304</v>
      </c>
      <c r="B1690" t="s">
        <v>892</v>
      </c>
      <c r="C1690">
        <v>10</v>
      </c>
      <c r="D1690" t="s">
        <v>387</v>
      </c>
      <c r="G1690" t="str">
        <f t="shared" si="35"/>
        <v>HLY180110SEC7</v>
      </c>
      <c r="H1690">
        <v>68.246200000000002</v>
      </c>
      <c r="I1690">
        <v>-167.12549999999999</v>
      </c>
      <c r="J1690" s="3" t="s">
        <v>912</v>
      </c>
      <c r="K1690">
        <v>2018</v>
      </c>
      <c r="L1690">
        <v>1.3986499999999999</v>
      </c>
      <c r="M1690">
        <v>0.23144000000000001</v>
      </c>
      <c r="N1690">
        <v>0.27916999999999997</v>
      </c>
      <c r="O1690">
        <v>1.525E-2</v>
      </c>
      <c r="P1690">
        <v>9.9000000000000008E-3</v>
      </c>
      <c r="Q1690">
        <v>7.79E-3</v>
      </c>
      <c r="R1690">
        <v>0</v>
      </c>
      <c r="S1690">
        <v>1.44224</v>
      </c>
      <c r="T1690">
        <v>0.16683999999999999</v>
      </c>
      <c r="U1690">
        <v>8.5779999999999995E-2</v>
      </c>
      <c r="V1690">
        <f t="shared" si="29"/>
        <v>3.63706</v>
      </c>
      <c r="W1690" t="str">
        <f t="shared" si="30"/>
        <v>gc_Ascidiacea</v>
      </c>
      <c r="X1690">
        <v>20.922999999999998</v>
      </c>
      <c r="Y1690">
        <v>8.4740000000000002</v>
      </c>
      <c r="Z1690">
        <v>3.798</v>
      </c>
      <c r="AA1690">
        <v>0.33900000000000002</v>
      </c>
      <c r="AB1690">
        <v>0.70699999999999996</v>
      </c>
      <c r="AC1690">
        <v>0.70799999999999996</v>
      </c>
      <c r="AD1690">
        <v>0</v>
      </c>
      <c r="AE1690">
        <v>66.968000000000004</v>
      </c>
      <c r="AF1690">
        <v>1.794</v>
      </c>
      <c r="AG1690">
        <v>5.6180000000000003</v>
      </c>
      <c r="AH1690">
        <f t="shared" si="31"/>
        <v>109.32899999999999</v>
      </c>
      <c r="AI1690" t="str">
        <f t="shared" si="32"/>
        <v>ww_Ascidiacea</v>
      </c>
      <c r="AJ1690">
        <v>1880</v>
      </c>
      <c r="AK1690">
        <v>90</v>
      </c>
      <c r="AL1690">
        <v>590</v>
      </c>
      <c r="AM1690">
        <v>100</v>
      </c>
      <c r="AN1690">
        <v>460</v>
      </c>
      <c r="AO1690">
        <v>10</v>
      </c>
      <c r="AP1690">
        <v>0</v>
      </c>
      <c r="AQ1690">
        <v>30</v>
      </c>
      <c r="AR1690">
        <v>40</v>
      </c>
      <c r="AS1690">
        <v>50</v>
      </c>
      <c r="AT1690">
        <f t="shared" si="33"/>
        <v>3250</v>
      </c>
      <c r="AU1690" t="str">
        <f t="shared" si="34"/>
        <v>abd_Polychaeta</v>
      </c>
    </row>
    <row r="1691" spans="1:47" x14ac:dyDescent="0.2">
      <c r="A1691">
        <f t="shared" si="28"/>
        <v>2305</v>
      </c>
      <c r="B1691" t="s">
        <v>892</v>
      </c>
      <c r="C1691">
        <v>11</v>
      </c>
      <c r="D1691" t="s">
        <v>388</v>
      </c>
      <c r="G1691" t="str">
        <f t="shared" si="35"/>
        <v>HLY180111SEC6</v>
      </c>
      <c r="H1691">
        <v>68.190200000000004</v>
      </c>
      <c r="I1691">
        <v>-167.30269999999999</v>
      </c>
      <c r="J1691" s="3" t="s">
        <v>912</v>
      </c>
      <c r="K1691">
        <v>2018</v>
      </c>
      <c r="L1691">
        <v>4.3487200000000001</v>
      </c>
      <c r="M1691">
        <v>0.23719000000000001</v>
      </c>
      <c r="N1691">
        <v>1.56677</v>
      </c>
      <c r="O1691">
        <v>2.1870000000000001E-2</v>
      </c>
      <c r="P1691">
        <v>6.4000000000000003E-3</v>
      </c>
      <c r="Q1691">
        <v>0</v>
      </c>
      <c r="R1691">
        <v>0</v>
      </c>
      <c r="S1691">
        <v>0.85250999999999999</v>
      </c>
      <c r="T1691">
        <v>1.06E-2</v>
      </c>
      <c r="U1691">
        <v>6.7919999999999994E-2</v>
      </c>
      <c r="V1691">
        <f t="shared" si="29"/>
        <v>7.11198</v>
      </c>
      <c r="W1691" t="str">
        <f t="shared" si="30"/>
        <v>gc_Polychaeta</v>
      </c>
      <c r="X1691">
        <v>63.359000000000002</v>
      </c>
      <c r="Y1691">
        <v>6.1870000000000003</v>
      </c>
      <c r="Z1691">
        <v>21.350999999999999</v>
      </c>
      <c r="AA1691">
        <v>0.48599999999999999</v>
      </c>
      <c r="AB1691">
        <v>0.45700000000000002</v>
      </c>
      <c r="AC1691">
        <v>0</v>
      </c>
      <c r="AD1691">
        <v>0</v>
      </c>
      <c r="AE1691">
        <v>46.587000000000003</v>
      </c>
      <c r="AF1691">
        <v>0.114</v>
      </c>
      <c r="AG1691">
        <v>3.4079999999999999</v>
      </c>
      <c r="AH1691">
        <f t="shared" si="31"/>
        <v>141.94900000000001</v>
      </c>
      <c r="AI1691" t="str">
        <f t="shared" si="32"/>
        <v>ww_Polychaeta</v>
      </c>
      <c r="AJ1691">
        <v>4630</v>
      </c>
      <c r="AK1691">
        <v>180</v>
      </c>
      <c r="AL1691">
        <v>2710</v>
      </c>
      <c r="AM1691">
        <v>230</v>
      </c>
      <c r="AN1691">
        <v>240</v>
      </c>
      <c r="AO1691">
        <v>0</v>
      </c>
      <c r="AP1691">
        <v>0</v>
      </c>
      <c r="AQ1691">
        <v>80</v>
      </c>
      <c r="AR1691">
        <v>50</v>
      </c>
      <c r="AS1691">
        <v>80</v>
      </c>
      <c r="AT1691">
        <f t="shared" si="33"/>
        <v>8200</v>
      </c>
      <c r="AU1691" t="str">
        <f t="shared" si="34"/>
        <v>abd_Polychaeta</v>
      </c>
    </row>
    <row r="1692" spans="1:47" x14ac:dyDescent="0.2">
      <c r="A1692">
        <f t="shared" si="28"/>
        <v>2306</v>
      </c>
      <c r="B1692" t="s">
        <v>892</v>
      </c>
      <c r="C1692">
        <v>12</v>
      </c>
      <c r="D1692" t="s">
        <v>240</v>
      </c>
      <c r="G1692" t="str">
        <f t="shared" si="35"/>
        <v>HLY180112SEC5</v>
      </c>
      <c r="H1692">
        <v>68.1357</v>
      </c>
      <c r="I1692">
        <v>-167.4915</v>
      </c>
      <c r="J1692" s="3" t="s">
        <v>912</v>
      </c>
      <c r="K1692">
        <v>2018</v>
      </c>
      <c r="L1692">
        <v>7.95017</v>
      </c>
      <c r="M1692">
        <v>17.86786</v>
      </c>
      <c r="N1692">
        <v>0.45277000000000001</v>
      </c>
      <c r="O1692">
        <v>5.2569999999999999E-2</v>
      </c>
      <c r="P1692">
        <v>9.7300000000000008E-3</v>
      </c>
      <c r="Q1692">
        <v>0</v>
      </c>
      <c r="R1692">
        <v>9.3900000000000008E-3</v>
      </c>
      <c r="S1692">
        <v>0.14299000000000001</v>
      </c>
      <c r="T1692">
        <v>0.15243000000000001</v>
      </c>
      <c r="U1692">
        <v>1.4876100000000001</v>
      </c>
      <c r="V1692">
        <f t="shared" si="29"/>
        <v>28.125520000000002</v>
      </c>
      <c r="W1692" t="str">
        <f t="shared" si="30"/>
        <v>gc_Bivalvia</v>
      </c>
      <c r="X1692">
        <v>116.85299999999999</v>
      </c>
      <c r="Y1692">
        <v>1039.876</v>
      </c>
      <c r="Z1692">
        <v>6.4</v>
      </c>
      <c r="AA1692">
        <v>1.1679999999999999</v>
      </c>
      <c r="AB1692">
        <v>0.69499999999999995</v>
      </c>
      <c r="AC1692">
        <v>0</v>
      </c>
      <c r="AD1692">
        <v>0.154</v>
      </c>
      <c r="AE1692">
        <v>7.13</v>
      </c>
      <c r="AF1692">
        <v>1.639</v>
      </c>
      <c r="AG1692">
        <v>74.239999999999995</v>
      </c>
      <c r="AH1692">
        <f t="shared" si="31"/>
        <v>1248.155</v>
      </c>
      <c r="AI1692" t="str">
        <f t="shared" si="32"/>
        <v>ww_Bivalvia</v>
      </c>
      <c r="AJ1692">
        <v>4290</v>
      </c>
      <c r="AK1692">
        <v>470</v>
      </c>
      <c r="AL1692">
        <v>2400</v>
      </c>
      <c r="AM1692">
        <v>100</v>
      </c>
      <c r="AN1692">
        <v>300</v>
      </c>
      <c r="AO1692">
        <v>0</v>
      </c>
      <c r="AP1692">
        <v>20</v>
      </c>
      <c r="AQ1692">
        <v>20</v>
      </c>
      <c r="AR1692">
        <v>50</v>
      </c>
      <c r="AS1692">
        <v>130</v>
      </c>
      <c r="AT1692">
        <f t="shared" si="33"/>
        <v>7780</v>
      </c>
      <c r="AU1692" t="str">
        <f t="shared" si="34"/>
        <v>abd_Polychaeta</v>
      </c>
    </row>
    <row r="1693" spans="1:47" x14ac:dyDescent="0.2">
      <c r="A1693">
        <f t="shared" si="28"/>
        <v>2307</v>
      </c>
      <c r="B1693" t="s">
        <v>892</v>
      </c>
      <c r="C1693">
        <v>13</v>
      </c>
      <c r="D1693" t="s">
        <v>233</v>
      </c>
      <c r="G1693" t="str">
        <f t="shared" si="35"/>
        <v>HLY180113SEC4</v>
      </c>
      <c r="H1693">
        <v>68.015299999999996</v>
      </c>
      <c r="I1693">
        <v>-167.87979999999999</v>
      </c>
      <c r="J1693" s="3" t="s">
        <v>912</v>
      </c>
      <c r="K1693">
        <v>2018</v>
      </c>
      <c r="L1693">
        <v>13.23617</v>
      </c>
      <c r="M1693">
        <v>5.1473599999999999</v>
      </c>
      <c r="N1693">
        <v>0.16259000000000001</v>
      </c>
      <c r="O1693">
        <v>0</v>
      </c>
      <c r="P1693">
        <v>6.3400000000000001E-3</v>
      </c>
      <c r="Q1693">
        <v>6.9839999999999999E-2</v>
      </c>
      <c r="R1693">
        <v>0</v>
      </c>
      <c r="S1693">
        <v>0</v>
      </c>
      <c r="T1693">
        <v>2.7000000000000001E-3</v>
      </c>
      <c r="U1693">
        <v>1.6990000000000002E-2</v>
      </c>
      <c r="V1693">
        <f t="shared" si="29"/>
        <v>18.641990000000003</v>
      </c>
      <c r="W1693" t="str">
        <f t="shared" si="30"/>
        <v>gc_Polychaeta</v>
      </c>
      <c r="X1693">
        <v>188.636</v>
      </c>
      <c r="Y1693">
        <v>142.46199999999999</v>
      </c>
      <c r="Z1693">
        <v>2.294</v>
      </c>
      <c r="AA1693">
        <v>0</v>
      </c>
      <c r="AB1693">
        <v>0.45300000000000001</v>
      </c>
      <c r="AC1693">
        <v>8.73</v>
      </c>
      <c r="AD1693">
        <v>0</v>
      </c>
      <c r="AE1693">
        <v>0</v>
      </c>
      <c r="AF1693">
        <v>2.9000000000000001E-2</v>
      </c>
      <c r="AG1693">
        <v>0.33500000000000002</v>
      </c>
      <c r="AH1693">
        <f t="shared" si="31"/>
        <v>342.93899999999991</v>
      </c>
      <c r="AI1693" t="str">
        <f t="shared" si="32"/>
        <v>ww_Polychaeta</v>
      </c>
      <c r="AJ1693">
        <v>7030</v>
      </c>
      <c r="AK1693">
        <v>4240</v>
      </c>
      <c r="AL1693">
        <v>2910</v>
      </c>
      <c r="AM1693">
        <v>0</v>
      </c>
      <c r="AN1693">
        <v>520</v>
      </c>
      <c r="AO1693">
        <v>1780</v>
      </c>
      <c r="AP1693">
        <v>0</v>
      </c>
      <c r="AQ1693">
        <v>0</v>
      </c>
      <c r="AR1693">
        <v>60</v>
      </c>
      <c r="AS1693">
        <v>290</v>
      </c>
      <c r="AT1693">
        <f t="shared" si="33"/>
        <v>16830</v>
      </c>
      <c r="AU1693" t="str">
        <f t="shared" si="34"/>
        <v>abd_Polychaeta</v>
      </c>
    </row>
    <row r="1694" spans="1:47" x14ac:dyDescent="0.2">
      <c r="A1694">
        <f t="shared" si="28"/>
        <v>2308</v>
      </c>
      <c r="B1694" t="s">
        <v>892</v>
      </c>
      <c r="C1694">
        <v>14</v>
      </c>
      <c r="D1694" t="s">
        <v>254</v>
      </c>
      <c r="G1694" t="str">
        <f t="shared" si="35"/>
        <v>HLY180114SEC3</v>
      </c>
      <c r="H1694">
        <v>67.896799999999999</v>
      </c>
      <c r="I1694">
        <v>-168.24799999999999</v>
      </c>
      <c r="J1694" s="3" t="s">
        <v>912</v>
      </c>
      <c r="K1694">
        <v>2018</v>
      </c>
      <c r="L1694">
        <v>10.33656</v>
      </c>
      <c r="M1694">
        <v>30.350960000000001</v>
      </c>
      <c r="N1694">
        <v>2.7949700000000002</v>
      </c>
      <c r="O1694">
        <v>0</v>
      </c>
      <c r="P1694">
        <v>0.40172999999999998</v>
      </c>
      <c r="Q1694">
        <v>1.2999999999999999E-4</v>
      </c>
      <c r="R1694">
        <v>2.9487999999999999</v>
      </c>
      <c r="S1694">
        <v>0</v>
      </c>
      <c r="T1694">
        <v>0.11774</v>
      </c>
      <c r="U1694">
        <v>4.8399999999999997E-3</v>
      </c>
      <c r="V1694">
        <f t="shared" si="29"/>
        <v>46.955729999999996</v>
      </c>
      <c r="W1694" t="str">
        <f t="shared" si="30"/>
        <v>gc_Bivalvia</v>
      </c>
      <c r="X1694">
        <v>185.965</v>
      </c>
      <c r="Y1694">
        <v>945.49400000000003</v>
      </c>
      <c r="Z1694">
        <v>31.978999999999999</v>
      </c>
      <c r="AA1694">
        <v>0</v>
      </c>
      <c r="AB1694">
        <v>28.695</v>
      </c>
      <c r="AC1694">
        <v>1.2E-2</v>
      </c>
      <c r="AD1694">
        <v>48.341000000000001</v>
      </c>
      <c r="AE1694">
        <v>0</v>
      </c>
      <c r="AF1694">
        <v>1.266</v>
      </c>
      <c r="AG1694">
        <v>0.41</v>
      </c>
      <c r="AH1694">
        <f t="shared" si="31"/>
        <v>1242.162</v>
      </c>
      <c r="AI1694" t="str">
        <f t="shared" si="32"/>
        <v>ww_Bivalvia</v>
      </c>
      <c r="AJ1694">
        <v>2572.5</v>
      </c>
      <c r="AK1694">
        <v>1302.5</v>
      </c>
      <c r="AL1694">
        <v>4817.5</v>
      </c>
      <c r="AM1694">
        <v>0</v>
      </c>
      <c r="AN1694">
        <v>87.5</v>
      </c>
      <c r="AO1694">
        <v>2.5</v>
      </c>
      <c r="AP1694">
        <v>70</v>
      </c>
      <c r="AQ1694">
        <v>0</v>
      </c>
      <c r="AR1694">
        <v>15</v>
      </c>
      <c r="AS1694">
        <v>45</v>
      </c>
      <c r="AT1694">
        <f t="shared" si="33"/>
        <v>8912.5</v>
      </c>
      <c r="AU1694" t="str">
        <f t="shared" si="34"/>
        <v>abd_Crustacea</v>
      </c>
    </row>
    <row r="1695" spans="1:47" x14ac:dyDescent="0.2">
      <c r="A1695">
        <f t="shared" si="28"/>
        <v>2309</v>
      </c>
      <c r="B1695" t="s">
        <v>892</v>
      </c>
      <c r="C1695">
        <v>15</v>
      </c>
      <c r="D1695" t="s">
        <v>258</v>
      </c>
      <c r="G1695" t="str">
        <f t="shared" si="35"/>
        <v>HLY180115SEC2</v>
      </c>
      <c r="H1695">
        <v>67.785300000000007</v>
      </c>
      <c r="I1695">
        <v>-168.601</v>
      </c>
      <c r="J1695" s="3" t="s">
        <v>913</v>
      </c>
      <c r="K1695">
        <v>2018</v>
      </c>
      <c r="L1695">
        <v>4.9645400000000004</v>
      </c>
      <c r="M1695">
        <v>30.32489</v>
      </c>
      <c r="N1695">
        <v>0.73860999999999999</v>
      </c>
      <c r="O1695">
        <v>5.4000000000000001E-4</v>
      </c>
      <c r="P1695">
        <v>5.5999999999999995E-4</v>
      </c>
      <c r="Q1695">
        <v>0</v>
      </c>
      <c r="R1695">
        <v>4.0028800000000002</v>
      </c>
      <c r="S1695">
        <v>0</v>
      </c>
      <c r="T1695">
        <v>9.2810000000000004E-2</v>
      </c>
      <c r="U1695">
        <v>1.3799999999999999E-3</v>
      </c>
      <c r="V1695">
        <f t="shared" si="29"/>
        <v>40.12621</v>
      </c>
      <c r="W1695" t="str">
        <f t="shared" si="30"/>
        <v>gc_Bivalvia</v>
      </c>
      <c r="X1695">
        <v>74.643000000000001</v>
      </c>
      <c r="Y1695">
        <v>837.04499999999996</v>
      </c>
      <c r="Z1695">
        <v>8.7200000000000006</v>
      </c>
      <c r="AA1695">
        <v>1.2E-2</v>
      </c>
      <c r="AB1695">
        <v>0.04</v>
      </c>
      <c r="AC1695">
        <v>0</v>
      </c>
      <c r="AD1695">
        <v>65.620999999999995</v>
      </c>
      <c r="AE1695">
        <v>0</v>
      </c>
      <c r="AF1695">
        <v>0.998</v>
      </c>
      <c r="AG1695">
        <v>0.13800000000000001</v>
      </c>
      <c r="AH1695">
        <f t="shared" si="31"/>
        <v>987.21699999999998</v>
      </c>
      <c r="AI1695" t="str">
        <f t="shared" si="32"/>
        <v>ww_Bivalvia</v>
      </c>
      <c r="AJ1695">
        <v>842.5</v>
      </c>
      <c r="AK1695">
        <v>405</v>
      </c>
      <c r="AL1695">
        <v>1707.5</v>
      </c>
      <c r="AM1695">
        <v>5</v>
      </c>
      <c r="AN1695">
        <v>22.5</v>
      </c>
      <c r="AO1695">
        <v>0</v>
      </c>
      <c r="AP1695">
        <v>127.5</v>
      </c>
      <c r="AQ1695">
        <v>0</v>
      </c>
      <c r="AR1695">
        <v>2.5</v>
      </c>
      <c r="AS1695">
        <v>0</v>
      </c>
      <c r="AT1695">
        <f t="shared" si="33"/>
        <v>3112.5</v>
      </c>
      <c r="AU1695" t="str">
        <f t="shared" si="34"/>
        <v>abd_Crustacea</v>
      </c>
    </row>
    <row r="1696" spans="1:47" x14ac:dyDescent="0.2">
      <c r="A1696">
        <f t="shared" si="28"/>
        <v>2310</v>
      </c>
      <c r="B1696" t="s">
        <v>892</v>
      </c>
      <c r="C1696">
        <v>16</v>
      </c>
      <c r="D1696" t="s">
        <v>306</v>
      </c>
      <c r="G1696" t="str">
        <f t="shared" si="35"/>
        <v>HLY180116UTN5=SEC1</v>
      </c>
      <c r="H1696">
        <v>67.677000000000007</v>
      </c>
      <c r="I1696">
        <v>-168.95679999999999</v>
      </c>
      <c r="J1696" s="3" t="s">
        <v>913</v>
      </c>
      <c r="K1696">
        <v>2018</v>
      </c>
      <c r="L1696">
        <v>5.62547</v>
      </c>
      <c r="M1696">
        <v>99.233869999999996</v>
      </c>
      <c r="N1696">
        <v>0.32700000000000001</v>
      </c>
      <c r="O1696">
        <v>2.1199999999999999E-3</v>
      </c>
      <c r="P1696">
        <v>1.3220000000000001E-2</v>
      </c>
      <c r="Q1696">
        <v>0</v>
      </c>
      <c r="R1696">
        <v>2.5451600000000001</v>
      </c>
      <c r="S1696">
        <v>0</v>
      </c>
      <c r="T1696">
        <v>1.8600000000000001E-3</v>
      </c>
      <c r="U1696">
        <v>1.9290000000000002E-2</v>
      </c>
      <c r="V1696">
        <f t="shared" si="29"/>
        <v>107.76799</v>
      </c>
      <c r="W1696" t="str">
        <f t="shared" si="30"/>
        <v>gc_Bivalvia</v>
      </c>
      <c r="X1696">
        <v>86.438000000000002</v>
      </c>
      <c r="Y1696">
        <v>3030.0630000000001</v>
      </c>
      <c r="Z1696">
        <v>4.3239999999999998</v>
      </c>
      <c r="AA1696">
        <v>4.7E-2</v>
      </c>
      <c r="AB1696">
        <v>0.94399999999999995</v>
      </c>
      <c r="AC1696">
        <v>0</v>
      </c>
      <c r="AD1696">
        <v>41.723999999999997</v>
      </c>
      <c r="AE1696">
        <v>0</v>
      </c>
      <c r="AF1696">
        <v>0.02</v>
      </c>
      <c r="AG1696">
        <v>0.64900000000000002</v>
      </c>
      <c r="AH1696">
        <f t="shared" si="31"/>
        <v>3164.2090000000003</v>
      </c>
      <c r="AI1696" t="str">
        <f t="shared" si="32"/>
        <v>ww_Bivalvia</v>
      </c>
      <c r="AJ1696">
        <v>1595</v>
      </c>
      <c r="AK1696">
        <v>1120</v>
      </c>
      <c r="AL1696">
        <v>2360</v>
      </c>
      <c r="AM1696">
        <v>10</v>
      </c>
      <c r="AN1696">
        <v>47.5</v>
      </c>
      <c r="AO1696">
        <v>0</v>
      </c>
      <c r="AP1696">
        <v>122.5</v>
      </c>
      <c r="AQ1696">
        <v>0</v>
      </c>
      <c r="AR1696">
        <v>2.5</v>
      </c>
      <c r="AS1696">
        <v>42.5</v>
      </c>
      <c r="AT1696">
        <f t="shared" si="33"/>
        <v>5300</v>
      </c>
      <c r="AU1696" t="str">
        <f t="shared" si="34"/>
        <v>abd_Crustacea</v>
      </c>
    </row>
    <row r="1697" spans="1:47" x14ac:dyDescent="0.2">
      <c r="A1697">
        <f t="shared" si="28"/>
        <v>2311</v>
      </c>
      <c r="B1697" t="s">
        <v>892</v>
      </c>
      <c r="C1697">
        <v>19</v>
      </c>
      <c r="D1697" t="s">
        <v>897</v>
      </c>
      <c r="G1697" t="str">
        <f t="shared" si="35"/>
        <v>HLY180119IC1=offshore</v>
      </c>
      <c r="H1697">
        <v>71.830200000000005</v>
      </c>
      <c r="I1697">
        <v>-165.96979999999999</v>
      </c>
      <c r="J1697" s="3" t="s">
        <v>914</v>
      </c>
      <c r="K1697">
        <v>2018</v>
      </c>
      <c r="L1697">
        <v>5.8766299999999996</v>
      </c>
      <c r="M1697">
        <v>4.1146599999999998</v>
      </c>
      <c r="N1697">
        <v>0.31026999999999999</v>
      </c>
      <c r="O1697">
        <v>8.6301900000000007</v>
      </c>
      <c r="P1697">
        <v>3.8999999999999999E-4</v>
      </c>
      <c r="Q1697">
        <v>0</v>
      </c>
      <c r="R1697">
        <v>0</v>
      </c>
      <c r="S1697">
        <v>0</v>
      </c>
      <c r="T1697">
        <v>2.8459999999999999E-2</v>
      </c>
      <c r="U1697">
        <v>0.14013</v>
      </c>
      <c r="V1697">
        <f t="shared" si="29"/>
        <v>19.100729999999999</v>
      </c>
      <c r="W1697" t="str">
        <f t="shared" si="30"/>
        <v>gc_Sipuncula</v>
      </c>
      <c r="X1697">
        <v>90.418999999999997</v>
      </c>
      <c r="Y1697">
        <v>161.012</v>
      </c>
      <c r="Z1697">
        <v>4.5419999999999998</v>
      </c>
      <c r="AA1697">
        <v>191.78200000000001</v>
      </c>
      <c r="AB1697">
        <v>2.8000000000000001E-2</v>
      </c>
      <c r="AC1697">
        <v>0</v>
      </c>
      <c r="AD1697">
        <v>0</v>
      </c>
      <c r="AE1697">
        <v>0</v>
      </c>
      <c r="AF1697">
        <v>0.30599999999999999</v>
      </c>
      <c r="AG1697">
        <v>3.1139999999999999</v>
      </c>
      <c r="AH1697">
        <f t="shared" si="31"/>
        <v>451.20299999999997</v>
      </c>
      <c r="AI1697" t="str">
        <f t="shared" si="32"/>
        <v>ww_Sipuncula</v>
      </c>
      <c r="AJ1697">
        <v>1870</v>
      </c>
      <c r="AK1697">
        <v>1970</v>
      </c>
      <c r="AL1697">
        <v>720</v>
      </c>
      <c r="AM1697">
        <v>30</v>
      </c>
      <c r="AN1697">
        <v>10</v>
      </c>
      <c r="AO1697">
        <v>0</v>
      </c>
      <c r="AP1697">
        <v>0</v>
      </c>
      <c r="AQ1697">
        <v>0</v>
      </c>
      <c r="AR1697">
        <v>20</v>
      </c>
      <c r="AS1697">
        <v>80</v>
      </c>
      <c r="AT1697">
        <f t="shared" si="33"/>
        <v>4700</v>
      </c>
      <c r="AU1697" t="str">
        <f t="shared" si="34"/>
        <v>abd_Bivalvia</v>
      </c>
    </row>
    <row r="1698" spans="1:47" x14ac:dyDescent="0.2">
      <c r="A1698">
        <f t="shared" si="28"/>
        <v>2312</v>
      </c>
      <c r="B1698" t="s">
        <v>892</v>
      </c>
      <c r="C1698">
        <v>22</v>
      </c>
      <c r="D1698" t="s">
        <v>898</v>
      </c>
      <c r="G1698" t="str">
        <f t="shared" si="35"/>
        <v>HLY180122IC2</v>
      </c>
      <c r="H1698">
        <v>71.705200000000005</v>
      </c>
      <c r="I1698">
        <v>-165.6028</v>
      </c>
      <c r="J1698" s="3" t="s">
        <v>914</v>
      </c>
      <c r="K1698">
        <v>2018</v>
      </c>
      <c r="L1698">
        <v>7.5402899999999997</v>
      </c>
      <c r="M1698">
        <v>6.1339600000000001</v>
      </c>
      <c r="N1698">
        <v>0.19377</v>
      </c>
      <c r="O1698">
        <v>0</v>
      </c>
      <c r="P1698">
        <v>8.0000000000000004E-4</v>
      </c>
      <c r="Q1698">
        <v>0</v>
      </c>
      <c r="R1698">
        <v>0</v>
      </c>
      <c r="S1698">
        <v>0</v>
      </c>
      <c r="T1698">
        <v>0</v>
      </c>
      <c r="U1698">
        <v>2.145E-2</v>
      </c>
      <c r="V1698">
        <f t="shared" si="29"/>
        <v>13.890270000000001</v>
      </c>
      <c r="W1698" t="str">
        <f t="shared" si="30"/>
        <v>gc_Polychaeta</v>
      </c>
      <c r="X1698">
        <v>109.387</v>
      </c>
      <c r="Y1698">
        <v>264.30099999999999</v>
      </c>
      <c r="Z1698">
        <v>2.621</v>
      </c>
      <c r="AA1698">
        <v>0</v>
      </c>
      <c r="AB1698">
        <v>5.7000000000000002E-2</v>
      </c>
      <c r="AC1698">
        <v>0</v>
      </c>
      <c r="AD1698">
        <v>0</v>
      </c>
      <c r="AE1698">
        <v>0</v>
      </c>
      <c r="AF1698">
        <v>0</v>
      </c>
      <c r="AG1698">
        <v>0.503</v>
      </c>
      <c r="AH1698">
        <f t="shared" si="31"/>
        <v>376.86899999999997</v>
      </c>
      <c r="AI1698" t="str">
        <f t="shared" si="32"/>
        <v>ww_Bivalvia</v>
      </c>
      <c r="AJ1698">
        <v>410</v>
      </c>
      <c r="AK1698">
        <v>1320</v>
      </c>
      <c r="AL1698">
        <v>70</v>
      </c>
      <c r="AM1698">
        <v>0</v>
      </c>
      <c r="AN1698">
        <v>10</v>
      </c>
      <c r="AO1698">
        <v>0</v>
      </c>
      <c r="AP1698">
        <v>0</v>
      </c>
      <c r="AQ1698">
        <v>0</v>
      </c>
      <c r="AR1698">
        <v>0</v>
      </c>
      <c r="AS1698">
        <v>40</v>
      </c>
      <c r="AT1698">
        <f t="shared" si="33"/>
        <v>1850</v>
      </c>
      <c r="AU1698" t="str">
        <f t="shared" si="34"/>
        <v>abd_Bivalvia</v>
      </c>
    </row>
    <row r="1699" spans="1:47" x14ac:dyDescent="0.2">
      <c r="A1699">
        <f t="shared" si="28"/>
        <v>2313</v>
      </c>
      <c r="B1699" t="s">
        <v>892</v>
      </c>
      <c r="C1699">
        <v>24</v>
      </c>
      <c r="D1699" t="s">
        <v>899</v>
      </c>
      <c r="G1699" t="str">
        <f t="shared" si="35"/>
        <v>HLY180124IC3</v>
      </c>
      <c r="H1699">
        <v>71.600499999999997</v>
      </c>
      <c r="I1699">
        <v>-165.3038</v>
      </c>
      <c r="J1699" s="3" t="s">
        <v>915</v>
      </c>
      <c r="K1699">
        <v>2018</v>
      </c>
      <c r="L1699">
        <v>6.3097899999999996</v>
      </c>
      <c r="M1699">
        <v>15.348890000000001</v>
      </c>
      <c r="N1699">
        <v>2.981E-2</v>
      </c>
      <c r="O1699">
        <v>0</v>
      </c>
      <c r="P1699">
        <v>0.30153000000000002</v>
      </c>
      <c r="Q1699">
        <v>0</v>
      </c>
      <c r="R1699">
        <v>0</v>
      </c>
      <c r="S1699">
        <v>0</v>
      </c>
      <c r="T1699">
        <v>7.3999999999999999E-4</v>
      </c>
      <c r="U1699">
        <v>0.15873000000000001</v>
      </c>
      <c r="V1699">
        <f t="shared" si="29"/>
        <v>22.14949</v>
      </c>
      <c r="W1699" t="str">
        <f t="shared" si="30"/>
        <v>gc_Bivalvia</v>
      </c>
      <c r="X1699">
        <v>89.772000000000006</v>
      </c>
      <c r="Y1699">
        <v>499.52100000000002</v>
      </c>
      <c r="Z1699">
        <v>0.41299999999999998</v>
      </c>
      <c r="AA1699">
        <v>0</v>
      </c>
      <c r="AB1699">
        <v>21.538</v>
      </c>
      <c r="AC1699">
        <v>0</v>
      </c>
      <c r="AD1699">
        <v>0</v>
      </c>
      <c r="AE1699">
        <v>0</v>
      </c>
      <c r="AF1699">
        <v>8.0000000000000002E-3</v>
      </c>
      <c r="AG1699">
        <v>2.6880000000000002</v>
      </c>
      <c r="AH1699">
        <f t="shared" si="31"/>
        <v>613.94000000000005</v>
      </c>
      <c r="AI1699" t="str">
        <f t="shared" si="32"/>
        <v>ww_Bivalvia</v>
      </c>
      <c r="AJ1699">
        <v>540</v>
      </c>
      <c r="AK1699">
        <v>4570</v>
      </c>
      <c r="AL1699">
        <v>160</v>
      </c>
      <c r="AM1699">
        <v>0</v>
      </c>
      <c r="AN1699">
        <v>140</v>
      </c>
      <c r="AO1699">
        <v>0</v>
      </c>
      <c r="AP1699">
        <v>0</v>
      </c>
      <c r="AQ1699">
        <v>0</v>
      </c>
      <c r="AR1699">
        <v>20</v>
      </c>
      <c r="AS1699">
        <v>560</v>
      </c>
      <c r="AT1699">
        <f t="shared" si="33"/>
        <v>5990</v>
      </c>
      <c r="AU1699" t="str">
        <f t="shared" si="34"/>
        <v>abd_Bivalvia</v>
      </c>
    </row>
    <row r="1700" spans="1:47" x14ac:dyDescent="0.2">
      <c r="A1700">
        <f t="shared" si="28"/>
        <v>2314</v>
      </c>
      <c r="B1700" t="s">
        <v>892</v>
      </c>
      <c r="C1700">
        <v>26</v>
      </c>
      <c r="D1700" t="s">
        <v>900</v>
      </c>
      <c r="G1700" t="str">
        <f t="shared" si="35"/>
        <v>HLY180126IC4</v>
      </c>
      <c r="H1700">
        <v>71.448499999999996</v>
      </c>
      <c r="I1700">
        <v>-164.91900000000001</v>
      </c>
      <c r="J1700" s="3" t="s">
        <v>915</v>
      </c>
      <c r="K1700">
        <v>2018</v>
      </c>
      <c r="L1700">
        <v>4.65456</v>
      </c>
      <c r="M1700">
        <v>2.2426300000000001</v>
      </c>
      <c r="N1700">
        <v>0.18293000000000001</v>
      </c>
      <c r="O1700">
        <v>8.3550199999999997</v>
      </c>
      <c r="P1700">
        <v>0.60138000000000003</v>
      </c>
      <c r="Q1700">
        <v>0</v>
      </c>
      <c r="R1700">
        <v>0</v>
      </c>
      <c r="S1700">
        <v>0.11112</v>
      </c>
      <c r="T1700">
        <v>1.9619999999999999E-2</v>
      </c>
      <c r="U1700">
        <v>4.7370000000000002E-2</v>
      </c>
      <c r="V1700">
        <f t="shared" si="29"/>
        <v>16.21463</v>
      </c>
      <c r="W1700" t="str">
        <f t="shared" si="30"/>
        <v>gc_Sipuncula</v>
      </c>
      <c r="X1700">
        <v>61.9</v>
      </c>
      <c r="Y1700">
        <v>74.247</v>
      </c>
      <c r="Z1700">
        <v>2.3039999999999998</v>
      </c>
      <c r="AA1700">
        <v>185.667</v>
      </c>
      <c r="AB1700">
        <v>42.956000000000003</v>
      </c>
      <c r="AC1700">
        <v>0</v>
      </c>
      <c r="AD1700">
        <v>0</v>
      </c>
      <c r="AE1700">
        <v>7.9370000000000003</v>
      </c>
      <c r="AF1700">
        <v>0.21099999999999999</v>
      </c>
      <c r="AG1700">
        <v>0.90700000000000003</v>
      </c>
      <c r="AH1700">
        <f t="shared" si="31"/>
        <v>376.12900000000002</v>
      </c>
      <c r="AI1700" t="str">
        <f t="shared" si="32"/>
        <v>ww_Sipuncula</v>
      </c>
      <c r="AJ1700">
        <v>420</v>
      </c>
      <c r="AK1700">
        <v>1190</v>
      </c>
      <c r="AL1700">
        <v>1080</v>
      </c>
      <c r="AM1700">
        <v>40</v>
      </c>
      <c r="AN1700">
        <v>140</v>
      </c>
      <c r="AO1700">
        <v>0</v>
      </c>
      <c r="AP1700">
        <v>0</v>
      </c>
      <c r="AQ1700">
        <v>10</v>
      </c>
      <c r="AR1700">
        <v>20</v>
      </c>
      <c r="AS1700">
        <v>200</v>
      </c>
      <c r="AT1700">
        <f t="shared" si="33"/>
        <v>3100</v>
      </c>
      <c r="AU1700" t="str">
        <f t="shared" si="34"/>
        <v>abd_Bivalvia</v>
      </c>
    </row>
    <row r="1701" spans="1:47" x14ac:dyDescent="0.2">
      <c r="A1701">
        <f t="shared" si="28"/>
        <v>2315</v>
      </c>
      <c r="B1701" t="s">
        <v>892</v>
      </c>
      <c r="C1701">
        <v>28</v>
      </c>
      <c r="D1701" t="s">
        <v>901</v>
      </c>
      <c r="G1701" t="str">
        <f t="shared" si="35"/>
        <v>HLY180128IC5</v>
      </c>
      <c r="H1701">
        <v>71.336699999999993</v>
      </c>
      <c r="I1701">
        <v>-164.61269999999999</v>
      </c>
      <c r="J1701" s="3" t="s">
        <v>915</v>
      </c>
      <c r="K1701">
        <v>2018</v>
      </c>
      <c r="L1701">
        <v>9.3353699999999993</v>
      </c>
      <c r="M1701">
        <v>2.17123</v>
      </c>
      <c r="N1701">
        <v>0.26489000000000001</v>
      </c>
      <c r="O1701">
        <v>5.4058099999999998</v>
      </c>
      <c r="P1701">
        <v>0.67442000000000002</v>
      </c>
      <c r="Q1701">
        <v>0</v>
      </c>
      <c r="R1701">
        <v>0</v>
      </c>
      <c r="S1701">
        <v>0</v>
      </c>
      <c r="T1701">
        <v>0</v>
      </c>
      <c r="U1701">
        <v>0.11735</v>
      </c>
      <c r="V1701">
        <f t="shared" si="29"/>
        <v>17.969069999999999</v>
      </c>
      <c r="W1701" t="str">
        <f t="shared" si="30"/>
        <v>gc_Polychaeta</v>
      </c>
      <c r="X1701">
        <v>133.65799999999999</v>
      </c>
      <c r="Y1701">
        <v>67.456000000000003</v>
      </c>
      <c r="Z1701">
        <v>3.5550000000000002</v>
      </c>
      <c r="AA1701">
        <v>120.129</v>
      </c>
      <c r="AB1701">
        <v>48.173000000000002</v>
      </c>
      <c r="AC1701">
        <v>0</v>
      </c>
      <c r="AD1701">
        <v>0</v>
      </c>
      <c r="AE1701">
        <v>0</v>
      </c>
      <c r="AF1701">
        <v>0</v>
      </c>
      <c r="AG1701">
        <v>2.4409999999999998</v>
      </c>
      <c r="AH1701">
        <f t="shared" si="31"/>
        <v>375.41199999999998</v>
      </c>
      <c r="AI1701" t="str">
        <f t="shared" si="32"/>
        <v>ww_Polychaeta</v>
      </c>
      <c r="AJ1701">
        <v>960</v>
      </c>
      <c r="AK1701">
        <v>970</v>
      </c>
      <c r="AL1701">
        <v>1710</v>
      </c>
      <c r="AM1701">
        <v>50</v>
      </c>
      <c r="AN1701">
        <v>220</v>
      </c>
      <c r="AO1701">
        <v>0</v>
      </c>
      <c r="AP1701">
        <v>0</v>
      </c>
      <c r="AQ1701">
        <v>0</v>
      </c>
      <c r="AR1701">
        <v>0</v>
      </c>
      <c r="AS1701">
        <v>180</v>
      </c>
      <c r="AT1701">
        <f t="shared" si="33"/>
        <v>4090</v>
      </c>
      <c r="AU1701" t="str">
        <f t="shared" si="34"/>
        <v>abd_Crustacea</v>
      </c>
    </row>
    <row r="1702" spans="1:47" x14ac:dyDescent="0.2">
      <c r="A1702">
        <f t="shared" si="28"/>
        <v>2316</v>
      </c>
      <c r="B1702" t="s">
        <v>892</v>
      </c>
      <c r="C1702">
        <v>30</v>
      </c>
      <c r="D1702" t="s">
        <v>902</v>
      </c>
      <c r="G1702" t="str">
        <f t="shared" si="35"/>
        <v>HLY180130IC6</v>
      </c>
      <c r="H1702">
        <v>71.194999999999993</v>
      </c>
      <c r="I1702">
        <v>-164.20179999999999</v>
      </c>
      <c r="J1702" s="3" t="s">
        <v>915</v>
      </c>
      <c r="K1702">
        <v>2018</v>
      </c>
      <c r="L1702">
        <v>7.3284700000000003</v>
      </c>
      <c r="M1702">
        <v>2.6764299999999999</v>
      </c>
      <c r="N1702">
        <v>0.26207999999999998</v>
      </c>
      <c r="O1702">
        <v>0</v>
      </c>
      <c r="P1702">
        <v>0.50466999999999995</v>
      </c>
      <c r="Q1702">
        <v>0</v>
      </c>
      <c r="R1702">
        <v>0</v>
      </c>
      <c r="S1702">
        <v>0</v>
      </c>
      <c r="T1702">
        <v>9.2999999999999992E-3</v>
      </c>
      <c r="U1702">
        <v>7.1800000000000003E-2</v>
      </c>
      <c r="V1702">
        <f t="shared" si="29"/>
        <v>10.852749999999997</v>
      </c>
      <c r="W1702" t="str">
        <f t="shared" si="30"/>
        <v>gc_Polychaeta</v>
      </c>
      <c r="X1702">
        <v>106.354</v>
      </c>
      <c r="Y1702">
        <v>99.272000000000006</v>
      </c>
      <c r="Z1702">
        <v>3.5169999999999999</v>
      </c>
      <c r="AA1702">
        <v>0</v>
      </c>
      <c r="AB1702">
        <v>36.048000000000002</v>
      </c>
      <c r="AC1702">
        <v>0</v>
      </c>
      <c r="AD1702">
        <v>0</v>
      </c>
      <c r="AE1702">
        <v>0</v>
      </c>
      <c r="AF1702">
        <v>0.1</v>
      </c>
      <c r="AG1702">
        <v>1.621</v>
      </c>
      <c r="AH1702">
        <f t="shared" si="31"/>
        <v>246.91200000000001</v>
      </c>
      <c r="AI1702" t="str">
        <f t="shared" si="32"/>
        <v>ww_Polychaeta</v>
      </c>
      <c r="AJ1702">
        <v>710</v>
      </c>
      <c r="AK1702">
        <v>1300</v>
      </c>
      <c r="AL1702">
        <v>1820</v>
      </c>
      <c r="AM1702">
        <v>0</v>
      </c>
      <c r="AN1702">
        <v>270</v>
      </c>
      <c r="AO1702">
        <v>0</v>
      </c>
      <c r="AP1702">
        <v>0</v>
      </c>
      <c r="AQ1702">
        <v>0</v>
      </c>
      <c r="AR1702">
        <v>30</v>
      </c>
      <c r="AS1702">
        <v>470</v>
      </c>
      <c r="AT1702">
        <f t="shared" si="33"/>
        <v>4600</v>
      </c>
      <c r="AU1702" t="str">
        <f t="shared" si="34"/>
        <v>abd_Crustacea</v>
      </c>
    </row>
    <row r="1703" spans="1:47" x14ac:dyDescent="0.2">
      <c r="A1703">
        <f t="shared" si="28"/>
        <v>2317</v>
      </c>
      <c r="B1703" t="s">
        <v>892</v>
      </c>
      <c r="C1703">
        <v>32</v>
      </c>
      <c r="D1703" t="s">
        <v>903</v>
      </c>
      <c r="G1703" t="str">
        <f t="shared" si="35"/>
        <v>HLY180132IC7</v>
      </c>
      <c r="H1703">
        <v>71.084699999999998</v>
      </c>
      <c r="I1703">
        <v>-163.80179999999999</v>
      </c>
      <c r="J1703" s="3" t="s">
        <v>915</v>
      </c>
      <c r="K1703">
        <v>2018</v>
      </c>
      <c r="L1703">
        <v>7.19245</v>
      </c>
      <c r="M1703">
        <v>1.2573799999999999</v>
      </c>
      <c r="N1703">
        <v>0.48803999999999997</v>
      </c>
      <c r="O1703">
        <v>6.6367399999999996</v>
      </c>
      <c r="P1703">
        <v>0.29826000000000003</v>
      </c>
      <c r="Q1703">
        <v>0</v>
      </c>
      <c r="R1703">
        <v>0</v>
      </c>
      <c r="S1703">
        <v>0</v>
      </c>
      <c r="T1703">
        <v>1.3390000000000001E-2</v>
      </c>
      <c r="U1703">
        <v>3.9309999999999998E-2</v>
      </c>
      <c r="V1703">
        <f t="shared" si="29"/>
        <v>15.92557</v>
      </c>
      <c r="W1703" t="str">
        <f t="shared" si="30"/>
        <v>gc_Polychaeta</v>
      </c>
      <c r="X1703">
        <v>105.748</v>
      </c>
      <c r="Y1703">
        <v>56.305</v>
      </c>
      <c r="Z1703">
        <v>6.5449999999999999</v>
      </c>
      <c r="AA1703">
        <v>147.483</v>
      </c>
      <c r="AB1703">
        <v>21.303999999999998</v>
      </c>
      <c r="AC1703">
        <v>0</v>
      </c>
      <c r="AD1703">
        <v>0</v>
      </c>
      <c r="AE1703">
        <v>0</v>
      </c>
      <c r="AF1703">
        <v>0.14399999999999999</v>
      </c>
      <c r="AG1703">
        <v>2.0169999999999999</v>
      </c>
      <c r="AH1703">
        <f t="shared" si="31"/>
        <v>339.54599999999999</v>
      </c>
      <c r="AI1703" t="str">
        <f t="shared" si="32"/>
        <v>ww_Sipuncula</v>
      </c>
      <c r="AJ1703">
        <v>1010</v>
      </c>
      <c r="AK1703">
        <v>560</v>
      </c>
      <c r="AL1703">
        <v>3230</v>
      </c>
      <c r="AM1703">
        <v>170</v>
      </c>
      <c r="AN1703">
        <v>120</v>
      </c>
      <c r="AO1703">
        <v>0</v>
      </c>
      <c r="AP1703">
        <v>0</v>
      </c>
      <c r="AQ1703">
        <v>0</v>
      </c>
      <c r="AR1703">
        <v>10</v>
      </c>
      <c r="AS1703">
        <v>120</v>
      </c>
      <c r="AT1703">
        <f t="shared" si="33"/>
        <v>5220</v>
      </c>
      <c r="AU1703" t="str">
        <f t="shared" si="34"/>
        <v>abd_Crustacea</v>
      </c>
    </row>
    <row r="1704" spans="1:47" x14ac:dyDescent="0.2">
      <c r="A1704">
        <f t="shared" si="28"/>
        <v>2318</v>
      </c>
      <c r="B1704" t="s">
        <v>892</v>
      </c>
      <c r="C1704">
        <v>35</v>
      </c>
      <c r="D1704" t="s">
        <v>904</v>
      </c>
      <c r="G1704" t="str">
        <f t="shared" si="35"/>
        <v>HLY180135IC8</v>
      </c>
      <c r="H1704">
        <v>70.972499999999997</v>
      </c>
      <c r="I1704">
        <v>-163.5642</v>
      </c>
      <c r="J1704" s="3" t="s">
        <v>916</v>
      </c>
      <c r="K1704">
        <v>2018</v>
      </c>
      <c r="L1704">
        <v>5.9980900000000004</v>
      </c>
      <c r="M1704">
        <v>4.2659500000000001</v>
      </c>
      <c r="N1704">
        <v>0.30926999999999999</v>
      </c>
      <c r="O1704">
        <v>7.0215800000000002</v>
      </c>
      <c r="P1704">
        <v>0.85497000000000001</v>
      </c>
      <c r="Q1704">
        <v>0</v>
      </c>
      <c r="R1704">
        <v>0</v>
      </c>
      <c r="S1704">
        <v>0</v>
      </c>
      <c r="T1704">
        <v>0.16796</v>
      </c>
      <c r="U1704">
        <v>8.1600000000000006E-2</v>
      </c>
      <c r="V1704">
        <f t="shared" si="29"/>
        <v>18.699420000000003</v>
      </c>
      <c r="W1704" t="str">
        <f t="shared" si="30"/>
        <v>gc_Sipuncula</v>
      </c>
      <c r="X1704">
        <v>84.516000000000005</v>
      </c>
      <c r="Y1704">
        <v>126.56699999999999</v>
      </c>
      <c r="Z1704">
        <v>4.0819999999999999</v>
      </c>
      <c r="AA1704">
        <v>156.035</v>
      </c>
      <c r="AB1704">
        <v>61.069000000000003</v>
      </c>
      <c r="AC1704">
        <v>0</v>
      </c>
      <c r="AD1704">
        <v>0</v>
      </c>
      <c r="AE1704">
        <v>0</v>
      </c>
      <c r="AF1704">
        <v>1.806</v>
      </c>
      <c r="AG1704">
        <v>1.901</v>
      </c>
      <c r="AH1704">
        <f t="shared" si="31"/>
        <v>435.976</v>
      </c>
      <c r="AI1704" t="str">
        <f t="shared" si="32"/>
        <v>ww_Sipuncula</v>
      </c>
      <c r="AJ1704">
        <v>520</v>
      </c>
      <c r="AK1704">
        <v>1970</v>
      </c>
      <c r="AL1704">
        <v>1540</v>
      </c>
      <c r="AM1704">
        <v>40</v>
      </c>
      <c r="AN1704">
        <v>310</v>
      </c>
      <c r="AO1704">
        <v>0</v>
      </c>
      <c r="AP1704">
        <v>0</v>
      </c>
      <c r="AQ1704">
        <v>0</v>
      </c>
      <c r="AR1704">
        <v>10</v>
      </c>
      <c r="AS1704">
        <v>170</v>
      </c>
      <c r="AT1704">
        <f t="shared" si="33"/>
        <v>4560</v>
      </c>
      <c r="AU1704" t="str">
        <f t="shared" si="34"/>
        <v>abd_Bivalvia</v>
      </c>
    </row>
    <row r="1705" spans="1:47" x14ac:dyDescent="0.2">
      <c r="A1705">
        <f t="shared" si="28"/>
        <v>2319</v>
      </c>
      <c r="B1705" t="s">
        <v>892</v>
      </c>
      <c r="C1705">
        <v>37</v>
      </c>
      <c r="D1705" t="s">
        <v>905</v>
      </c>
      <c r="G1705" t="str">
        <f t="shared" si="35"/>
        <v>HLY180137IC9</v>
      </c>
      <c r="H1705">
        <v>70.849000000000004</v>
      </c>
      <c r="I1705">
        <v>-163.18719999999999</v>
      </c>
      <c r="J1705" s="3" t="s">
        <v>916</v>
      </c>
      <c r="K1705">
        <v>2018</v>
      </c>
      <c r="L1705">
        <v>1.98441</v>
      </c>
      <c r="M1705">
        <v>1.43177</v>
      </c>
      <c r="N1705">
        <v>0.10964</v>
      </c>
      <c r="O1705">
        <v>1.72E-2</v>
      </c>
      <c r="P1705">
        <v>0.66605999999999999</v>
      </c>
      <c r="Q1705">
        <v>0</v>
      </c>
      <c r="R1705">
        <v>0</v>
      </c>
      <c r="S1705">
        <v>0</v>
      </c>
      <c r="T1705">
        <v>0</v>
      </c>
      <c r="U1705">
        <v>8.813E-2</v>
      </c>
      <c r="V1705">
        <f t="shared" si="29"/>
        <v>4.2972099999999998</v>
      </c>
      <c r="W1705" t="str">
        <f t="shared" si="30"/>
        <v>gc_Polychaeta</v>
      </c>
      <c r="X1705">
        <v>29.100999999999999</v>
      </c>
      <c r="Y1705">
        <v>36.534999999999997</v>
      </c>
      <c r="Z1705">
        <v>1.4610000000000001</v>
      </c>
      <c r="AA1705">
        <v>0.38200000000000001</v>
      </c>
      <c r="AB1705">
        <v>47.576000000000001</v>
      </c>
      <c r="AC1705">
        <v>0</v>
      </c>
      <c r="AD1705">
        <v>0</v>
      </c>
      <c r="AE1705">
        <v>0</v>
      </c>
      <c r="AF1705">
        <v>0</v>
      </c>
      <c r="AG1705">
        <v>2.641</v>
      </c>
      <c r="AH1705">
        <f t="shared" si="31"/>
        <v>117.69600000000001</v>
      </c>
      <c r="AI1705" t="str">
        <f t="shared" si="32"/>
        <v>ww_Ophiuroidea</v>
      </c>
      <c r="AJ1705">
        <v>490</v>
      </c>
      <c r="AK1705">
        <v>290</v>
      </c>
      <c r="AL1705">
        <v>950</v>
      </c>
      <c r="AM1705">
        <v>30</v>
      </c>
      <c r="AN1705">
        <v>220</v>
      </c>
      <c r="AO1705">
        <v>0</v>
      </c>
      <c r="AP1705">
        <v>0</v>
      </c>
      <c r="AQ1705">
        <v>0</v>
      </c>
      <c r="AR1705">
        <v>0</v>
      </c>
      <c r="AS1705">
        <v>80</v>
      </c>
      <c r="AT1705">
        <f t="shared" si="33"/>
        <v>2060</v>
      </c>
      <c r="AU1705" t="str">
        <f t="shared" si="34"/>
        <v>abd_Crustacea</v>
      </c>
    </row>
    <row r="1706" spans="1:47" x14ac:dyDescent="0.2">
      <c r="A1706">
        <f t="shared" si="28"/>
        <v>2320</v>
      </c>
      <c r="B1706" t="s">
        <v>892</v>
      </c>
      <c r="C1706">
        <v>39</v>
      </c>
      <c r="D1706" t="s">
        <v>906</v>
      </c>
      <c r="G1706" t="str">
        <f t="shared" si="35"/>
        <v>HLY180139IC10</v>
      </c>
      <c r="H1706">
        <v>70.717200000000005</v>
      </c>
      <c r="I1706">
        <v>-162.85650000000001</v>
      </c>
      <c r="J1706" s="3" t="s">
        <v>916</v>
      </c>
      <c r="K1706">
        <v>2018</v>
      </c>
      <c r="L1706">
        <v>3.4062100000000002</v>
      </c>
      <c r="M1706">
        <v>3.9365899999999998</v>
      </c>
      <c r="N1706">
        <v>0.60824</v>
      </c>
      <c r="O1706">
        <v>0</v>
      </c>
      <c r="P1706">
        <v>1.4080000000000001E-2</v>
      </c>
      <c r="Q1706">
        <v>1.50098</v>
      </c>
      <c r="R1706">
        <v>0</v>
      </c>
      <c r="S1706">
        <v>0</v>
      </c>
      <c r="T1706">
        <v>0</v>
      </c>
      <c r="U1706">
        <v>5.0119999999999998E-2</v>
      </c>
      <c r="V1706">
        <f t="shared" si="29"/>
        <v>9.5162200000000006</v>
      </c>
      <c r="W1706" t="str">
        <f t="shared" si="30"/>
        <v>gc_Bivalvia</v>
      </c>
      <c r="X1706">
        <v>58.222000000000001</v>
      </c>
      <c r="Y1706">
        <v>206.251</v>
      </c>
      <c r="Z1706">
        <v>8.875</v>
      </c>
      <c r="AA1706">
        <v>0</v>
      </c>
      <c r="AB1706">
        <v>1.006</v>
      </c>
      <c r="AC1706">
        <v>187.62299999999999</v>
      </c>
      <c r="AD1706">
        <v>0</v>
      </c>
      <c r="AE1706">
        <v>0</v>
      </c>
      <c r="AF1706">
        <v>0</v>
      </c>
      <c r="AG1706">
        <v>1.744</v>
      </c>
      <c r="AH1706">
        <f t="shared" si="31"/>
        <v>463.721</v>
      </c>
      <c r="AI1706" t="str">
        <f t="shared" si="32"/>
        <v>ww_Bivalvia</v>
      </c>
      <c r="AJ1706">
        <v>1290</v>
      </c>
      <c r="AK1706">
        <v>1500</v>
      </c>
      <c r="AL1706">
        <v>2120</v>
      </c>
      <c r="AM1706">
        <v>0</v>
      </c>
      <c r="AN1706">
        <v>290</v>
      </c>
      <c r="AO1706">
        <v>2000</v>
      </c>
      <c r="AP1706">
        <v>0</v>
      </c>
      <c r="AQ1706">
        <v>0</v>
      </c>
      <c r="AR1706">
        <v>0</v>
      </c>
      <c r="AS1706">
        <v>120</v>
      </c>
      <c r="AT1706">
        <f t="shared" si="33"/>
        <v>7320</v>
      </c>
      <c r="AU1706" t="str">
        <f t="shared" si="34"/>
        <v>abd_Crustacea</v>
      </c>
    </row>
    <row r="1707" spans="1:47" x14ac:dyDescent="0.2">
      <c r="A1707">
        <f t="shared" si="28"/>
        <v>2321</v>
      </c>
      <c r="B1707" t="s">
        <v>892</v>
      </c>
      <c r="C1707">
        <v>41</v>
      </c>
      <c r="D1707" t="s">
        <v>907</v>
      </c>
      <c r="G1707" t="str">
        <f t="shared" si="35"/>
        <v>HLY180141IC11=nearshore</v>
      </c>
      <c r="H1707">
        <v>70.58</v>
      </c>
      <c r="I1707">
        <v>-162.49119999999999</v>
      </c>
      <c r="J1707" s="3" t="s">
        <v>916</v>
      </c>
      <c r="K1707">
        <v>2018</v>
      </c>
      <c r="L1707">
        <v>8.2790000000000002E-2</v>
      </c>
      <c r="M1707">
        <v>1.2079</v>
      </c>
      <c r="N1707">
        <v>2.145E-2</v>
      </c>
      <c r="O1707">
        <v>0</v>
      </c>
      <c r="P1707">
        <v>5.2999999999999998E-4</v>
      </c>
      <c r="Q1707">
        <v>6.4435099999999998</v>
      </c>
      <c r="R1707">
        <v>0</v>
      </c>
      <c r="S1707">
        <v>0</v>
      </c>
      <c r="T1707">
        <v>2.98E-3</v>
      </c>
      <c r="U1707">
        <v>9.58E-3</v>
      </c>
      <c r="V1707">
        <f t="shared" si="29"/>
        <v>7.7687399999999993</v>
      </c>
      <c r="W1707" t="str">
        <f t="shared" si="30"/>
        <v>gc_Echinoidea</v>
      </c>
      <c r="X1707">
        <v>1.179</v>
      </c>
      <c r="Y1707">
        <v>43.03</v>
      </c>
      <c r="Z1707">
        <v>0.3</v>
      </c>
      <c r="AA1707">
        <v>0</v>
      </c>
      <c r="AB1707">
        <v>3.7999999999999999E-2</v>
      </c>
      <c r="AC1707">
        <v>805.43899999999996</v>
      </c>
      <c r="AD1707">
        <v>0</v>
      </c>
      <c r="AE1707">
        <v>0</v>
      </c>
      <c r="AF1707">
        <v>3.2000000000000001E-2</v>
      </c>
      <c r="AG1707">
        <v>0.82799999999999996</v>
      </c>
      <c r="AH1707">
        <f t="shared" si="31"/>
        <v>850.846</v>
      </c>
      <c r="AI1707" t="str">
        <f t="shared" si="32"/>
        <v>ww_Echinoidea</v>
      </c>
      <c r="AJ1707">
        <v>330</v>
      </c>
      <c r="AK1707">
        <v>770</v>
      </c>
      <c r="AL1707">
        <v>210</v>
      </c>
      <c r="AM1707">
        <v>0</v>
      </c>
      <c r="AN1707">
        <v>10</v>
      </c>
      <c r="AO1707">
        <v>1890</v>
      </c>
      <c r="AP1707">
        <v>0</v>
      </c>
      <c r="AQ1707">
        <v>0</v>
      </c>
      <c r="AR1707">
        <v>10</v>
      </c>
      <c r="AS1707">
        <v>10</v>
      </c>
      <c r="AT1707">
        <f t="shared" si="33"/>
        <v>3230</v>
      </c>
      <c r="AU1707" t="str">
        <f t="shared" si="34"/>
        <v>abd_Echinoidea</v>
      </c>
    </row>
    <row r="1708" spans="1:47" x14ac:dyDescent="0.2">
      <c r="A1708">
        <f t="shared" si="28"/>
        <v>2322</v>
      </c>
      <c r="B1708" t="s">
        <v>892</v>
      </c>
      <c r="C1708">
        <v>44</v>
      </c>
      <c r="D1708" t="s">
        <v>829</v>
      </c>
      <c r="G1708" t="str">
        <f t="shared" si="35"/>
        <v>HLY180144DBO4.1N</v>
      </c>
      <c r="H1708">
        <v>71.09</v>
      </c>
      <c r="I1708">
        <v>-161.19280000000001</v>
      </c>
      <c r="J1708" s="3" t="s">
        <v>917</v>
      </c>
      <c r="K1708">
        <v>2018</v>
      </c>
      <c r="L1708">
        <v>7.0157400000000001</v>
      </c>
      <c r="M1708">
        <v>4.15463</v>
      </c>
      <c r="N1708">
        <v>0.49593999999999999</v>
      </c>
      <c r="O1708">
        <v>1.97767</v>
      </c>
      <c r="P1708">
        <v>0.62190000000000001</v>
      </c>
      <c r="Q1708">
        <v>9.0000000000000006E-5</v>
      </c>
      <c r="R1708">
        <v>0.93732000000000004</v>
      </c>
      <c r="S1708">
        <v>0</v>
      </c>
      <c r="T1708">
        <v>0.10816000000000001</v>
      </c>
      <c r="U1708">
        <v>2.7290100000000002</v>
      </c>
      <c r="V1708">
        <f t="shared" si="29"/>
        <v>18.040459999999999</v>
      </c>
      <c r="W1708" t="str">
        <f t="shared" si="30"/>
        <v>gc_Polychaeta</v>
      </c>
      <c r="X1708">
        <v>95.924999999999997</v>
      </c>
      <c r="Y1708">
        <v>229.00399999999999</v>
      </c>
      <c r="Z1708">
        <v>6.7839999999999998</v>
      </c>
      <c r="AA1708">
        <v>43.948</v>
      </c>
      <c r="AB1708">
        <v>44.420999999999999</v>
      </c>
      <c r="AC1708">
        <v>8.0000000000000002E-3</v>
      </c>
      <c r="AD1708">
        <v>21.878</v>
      </c>
      <c r="AE1708">
        <v>0</v>
      </c>
      <c r="AF1708">
        <v>1.163</v>
      </c>
      <c r="AG1708">
        <v>125.105</v>
      </c>
      <c r="AH1708">
        <f t="shared" si="31"/>
        <v>568.23599999999988</v>
      </c>
      <c r="AI1708" t="str">
        <f t="shared" si="32"/>
        <v>ww_Bivalvia</v>
      </c>
      <c r="AJ1708">
        <v>1405</v>
      </c>
      <c r="AK1708">
        <v>277.5</v>
      </c>
      <c r="AL1708">
        <v>3062.5</v>
      </c>
      <c r="AM1708">
        <v>62.5</v>
      </c>
      <c r="AN1708">
        <v>162.5</v>
      </c>
      <c r="AO1708">
        <v>2.5</v>
      </c>
      <c r="AP1708">
        <v>5</v>
      </c>
      <c r="AQ1708">
        <v>0</v>
      </c>
      <c r="AR1708">
        <v>12.5</v>
      </c>
      <c r="AS1708">
        <v>257.5</v>
      </c>
      <c r="AT1708">
        <f t="shared" si="33"/>
        <v>5247.5</v>
      </c>
      <c r="AU1708" t="str">
        <f t="shared" si="34"/>
        <v>abd_Crustacea</v>
      </c>
    </row>
    <row r="1709" spans="1:47" x14ac:dyDescent="0.2">
      <c r="A1709">
        <f t="shared" si="28"/>
        <v>2323</v>
      </c>
      <c r="B1709" t="s">
        <v>892</v>
      </c>
      <c r="C1709">
        <v>45</v>
      </c>
      <c r="D1709" t="s">
        <v>828</v>
      </c>
      <c r="G1709" t="str">
        <f t="shared" si="35"/>
        <v>HLY180145DBO4.2N</v>
      </c>
      <c r="H1709">
        <v>71.223799999999997</v>
      </c>
      <c r="I1709">
        <v>-161.2893</v>
      </c>
      <c r="J1709" s="3" t="s">
        <v>917</v>
      </c>
      <c r="K1709">
        <v>2018</v>
      </c>
      <c r="L1709">
        <v>4.7820499999999999</v>
      </c>
      <c r="M1709">
        <v>2.3866399999999999</v>
      </c>
      <c r="N1709">
        <v>2.9528799999999999</v>
      </c>
      <c r="O1709">
        <v>2.4673600000000002</v>
      </c>
      <c r="P1709">
        <v>0.48841000000000001</v>
      </c>
      <c r="Q1709">
        <v>0</v>
      </c>
      <c r="R1709">
        <v>0</v>
      </c>
      <c r="S1709">
        <v>5.3800000000000002E-3</v>
      </c>
      <c r="T1709">
        <v>3.4689999999999999E-2</v>
      </c>
      <c r="U1709">
        <v>1.453E-2</v>
      </c>
      <c r="V1709">
        <f t="shared" si="29"/>
        <v>13.131940000000002</v>
      </c>
      <c r="W1709" t="str">
        <f t="shared" si="30"/>
        <v>gc_Polychaeta</v>
      </c>
      <c r="X1709">
        <v>71.918999999999997</v>
      </c>
      <c r="Y1709">
        <v>116.765</v>
      </c>
      <c r="Z1709">
        <v>41.823999999999998</v>
      </c>
      <c r="AA1709">
        <v>54.83</v>
      </c>
      <c r="AB1709">
        <v>34.886000000000003</v>
      </c>
      <c r="AC1709">
        <v>0</v>
      </c>
      <c r="AD1709">
        <v>0</v>
      </c>
      <c r="AE1709">
        <v>0.38400000000000001</v>
      </c>
      <c r="AF1709">
        <v>0.373</v>
      </c>
      <c r="AG1709">
        <v>0.499</v>
      </c>
      <c r="AH1709">
        <f t="shared" si="31"/>
        <v>321.48</v>
      </c>
      <c r="AI1709" t="str">
        <f t="shared" si="32"/>
        <v>ww_Bivalvia</v>
      </c>
      <c r="AJ1709">
        <v>2635</v>
      </c>
      <c r="AK1709">
        <v>577.5</v>
      </c>
      <c r="AL1709">
        <v>3065</v>
      </c>
      <c r="AM1709">
        <v>82.5</v>
      </c>
      <c r="AN1709">
        <v>132.5</v>
      </c>
      <c r="AO1709">
        <v>0</v>
      </c>
      <c r="AP1709">
        <v>0</v>
      </c>
      <c r="AQ1709">
        <v>5</v>
      </c>
      <c r="AR1709">
        <v>22.5</v>
      </c>
      <c r="AS1709">
        <v>72.5</v>
      </c>
      <c r="AT1709">
        <f t="shared" si="33"/>
        <v>6592.5</v>
      </c>
      <c r="AU1709" t="str">
        <f t="shared" si="34"/>
        <v>abd_Crustacea</v>
      </c>
    </row>
    <row r="1710" spans="1:47" x14ac:dyDescent="0.2">
      <c r="A1710">
        <f t="shared" si="28"/>
        <v>2324</v>
      </c>
      <c r="B1710" t="s">
        <v>892</v>
      </c>
      <c r="C1710">
        <v>46</v>
      </c>
      <c r="D1710" t="s">
        <v>827</v>
      </c>
      <c r="G1710" t="str">
        <f t="shared" si="35"/>
        <v>HLY180146DBO4.3N</v>
      </c>
      <c r="H1710">
        <v>71.350700000000003</v>
      </c>
      <c r="I1710">
        <v>-161.39580000000001</v>
      </c>
      <c r="J1710" s="3" t="s">
        <v>917</v>
      </c>
      <c r="K1710">
        <v>2018</v>
      </c>
      <c r="L1710">
        <v>2.5560100000000001</v>
      </c>
      <c r="M1710">
        <v>19.176169999999999</v>
      </c>
      <c r="N1710">
        <v>0.27864</v>
      </c>
      <c r="O1710">
        <v>2.3075100000000002</v>
      </c>
      <c r="P1710">
        <v>0.25114999999999998</v>
      </c>
      <c r="Q1710">
        <v>0</v>
      </c>
      <c r="R1710">
        <v>0</v>
      </c>
      <c r="S1710">
        <v>0.14665</v>
      </c>
      <c r="T1710">
        <v>0.15828999999999999</v>
      </c>
      <c r="U1710">
        <v>0.16370000000000001</v>
      </c>
      <c r="V1710">
        <f t="shared" si="29"/>
        <v>25.038119999999999</v>
      </c>
      <c r="W1710" t="str">
        <f t="shared" si="30"/>
        <v>gc_Bivalvia</v>
      </c>
      <c r="X1710">
        <v>37.017000000000003</v>
      </c>
      <c r="Y1710">
        <v>543.46</v>
      </c>
      <c r="Z1710">
        <v>3.9990000000000001</v>
      </c>
      <c r="AA1710">
        <v>51.277999999999999</v>
      </c>
      <c r="AB1710">
        <v>17.939</v>
      </c>
      <c r="AC1710">
        <v>0</v>
      </c>
      <c r="AD1710">
        <v>0</v>
      </c>
      <c r="AE1710">
        <v>10.475</v>
      </c>
      <c r="AF1710">
        <v>1.702</v>
      </c>
      <c r="AG1710">
        <v>4.8869999999999996</v>
      </c>
      <c r="AH1710">
        <f t="shared" si="31"/>
        <v>670.75700000000006</v>
      </c>
      <c r="AI1710" t="str">
        <f t="shared" si="32"/>
        <v>ww_Bivalvia</v>
      </c>
      <c r="AJ1710">
        <v>2907.5</v>
      </c>
      <c r="AK1710">
        <v>2092.5</v>
      </c>
      <c r="AL1710">
        <v>652.5</v>
      </c>
      <c r="AM1710">
        <v>32.5</v>
      </c>
      <c r="AN1710">
        <v>42.5</v>
      </c>
      <c r="AO1710">
        <v>0</v>
      </c>
      <c r="AP1710">
        <v>0</v>
      </c>
      <c r="AQ1710">
        <v>7.5</v>
      </c>
      <c r="AR1710">
        <v>20</v>
      </c>
      <c r="AS1710">
        <v>190</v>
      </c>
      <c r="AT1710">
        <f t="shared" si="33"/>
        <v>5945</v>
      </c>
      <c r="AU1710" t="str">
        <f t="shared" si="34"/>
        <v>abd_Polychaeta</v>
      </c>
    </row>
    <row r="1711" spans="1:47" x14ac:dyDescent="0.2">
      <c r="A1711">
        <f t="shared" si="28"/>
        <v>2325</v>
      </c>
      <c r="B1711" t="s">
        <v>892</v>
      </c>
      <c r="C1711">
        <v>47</v>
      </c>
      <c r="D1711" t="s">
        <v>826</v>
      </c>
      <c r="G1711" t="str">
        <f t="shared" si="35"/>
        <v>HLY180147DBO4.4N</v>
      </c>
      <c r="H1711">
        <v>71.480500000000006</v>
      </c>
      <c r="I1711">
        <v>-161.50479999999999</v>
      </c>
      <c r="J1711" s="3" t="s">
        <v>917</v>
      </c>
      <c r="K1711">
        <v>2018</v>
      </c>
      <c r="L1711">
        <v>3.8467099999999999</v>
      </c>
      <c r="M1711">
        <v>16.19961</v>
      </c>
      <c r="N1711">
        <v>0.60892000000000002</v>
      </c>
      <c r="O1711">
        <v>1.251E-2</v>
      </c>
      <c r="P1711">
        <v>0.28251999999999999</v>
      </c>
      <c r="Q1711">
        <v>0</v>
      </c>
      <c r="R1711">
        <v>0</v>
      </c>
      <c r="S1711">
        <v>0</v>
      </c>
      <c r="T1711">
        <v>0.34000999999999998</v>
      </c>
      <c r="U1711">
        <v>0.28356999999999999</v>
      </c>
      <c r="V1711">
        <f t="shared" si="29"/>
        <v>21.573850000000004</v>
      </c>
      <c r="W1711" t="str">
        <f t="shared" si="30"/>
        <v>gc_Bivalvia</v>
      </c>
      <c r="X1711">
        <v>58.341999999999999</v>
      </c>
      <c r="Y1711">
        <v>455.798</v>
      </c>
      <c r="Z1711">
        <v>8.8650000000000002</v>
      </c>
      <c r="AA1711">
        <v>0.27800000000000002</v>
      </c>
      <c r="AB1711">
        <v>20.18</v>
      </c>
      <c r="AC1711">
        <v>0</v>
      </c>
      <c r="AD1711">
        <v>0</v>
      </c>
      <c r="AE1711">
        <v>0</v>
      </c>
      <c r="AF1711">
        <v>3.6560000000000001</v>
      </c>
      <c r="AG1711">
        <v>9.0470000000000006</v>
      </c>
      <c r="AH1711">
        <f t="shared" si="31"/>
        <v>556.16599999999994</v>
      </c>
      <c r="AI1711" t="str">
        <f t="shared" si="32"/>
        <v>ww_Bivalvia</v>
      </c>
      <c r="AJ1711">
        <v>3977.5</v>
      </c>
      <c r="AK1711">
        <v>2267.5</v>
      </c>
      <c r="AL1711">
        <v>512.5</v>
      </c>
      <c r="AM1711">
        <v>10</v>
      </c>
      <c r="AN1711">
        <v>30</v>
      </c>
      <c r="AO1711">
        <v>0</v>
      </c>
      <c r="AP1711">
        <v>0</v>
      </c>
      <c r="AQ1711">
        <v>0</v>
      </c>
      <c r="AR1711">
        <v>95</v>
      </c>
      <c r="AS1711">
        <v>225</v>
      </c>
      <c r="AT1711">
        <f t="shared" si="33"/>
        <v>7117.5</v>
      </c>
      <c r="AU1711" t="str">
        <f t="shared" si="34"/>
        <v>abd_Polychaeta</v>
      </c>
    </row>
    <row r="1712" spans="1:47" x14ac:dyDescent="0.2">
      <c r="A1712">
        <f t="shared" si="28"/>
        <v>2326</v>
      </c>
      <c r="B1712" t="s">
        <v>892</v>
      </c>
      <c r="C1712">
        <v>49</v>
      </c>
      <c r="D1712" t="s">
        <v>825</v>
      </c>
      <c r="G1712" t="str">
        <f t="shared" si="35"/>
        <v>HLY180149DBO4.5N</v>
      </c>
      <c r="H1712">
        <v>71.610299999999995</v>
      </c>
      <c r="I1712">
        <v>-161.61519999999999</v>
      </c>
      <c r="J1712" s="3" t="s">
        <v>917</v>
      </c>
      <c r="K1712">
        <v>2018</v>
      </c>
      <c r="L1712">
        <v>5.7535999999999996</v>
      </c>
      <c r="M1712">
        <v>11.83996</v>
      </c>
      <c r="N1712">
        <v>0.14495</v>
      </c>
      <c r="O1712">
        <v>4.2979999999999997E-2</v>
      </c>
      <c r="P1712">
        <v>0.36398999999999998</v>
      </c>
      <c r="Q1712">
        <v>0</v>
      </c>
      <c r="R1712">
        <v>0</v>
      </c>
      <c r="S1712">
        <v>0</v>
      </c>
      <c r="T1712">
        <v>5.3659999999999999E-2</v>
      </c>
      <c r="U1712">
        <v>1.25126</v>
      </c>
      <c r="V1712">
        <f t="shared" si="29"/>
        <v>19.450400000000002</v>
      </c>
      <c r="W1712" t="str">
        <f t="shared" si="30"/>
        <v>gc_Bivalvia</v>
      </c>
      <c r="X1712">
        <v>93.231999999999999</v>
      </c>
      <c r="Y1712">
        <v>352.18</v>
      </c>
      <c r="Z1712">
        <v>2.0979999999999999</v>
      </c>
      <c r="AA1712">
        <v>0.95499999999999996</v>
      </c>
      <c r="AB1712">
        <v>25.998999999999999</v>
      </c>
      <c r="AC1712">
        <v>0</v>
      </c>
      <c r="AD1712">
        <v>0</v>
      </c>
      <c r="AE1712">
        <v>0</v>
      </c>
      <c r="AF1712">
        <v>0.57699999999999996</v>
      </c>
      <c r="AG1712">
        <v>27.539000000000001</v>
      </c>
      <c r="AH1712">
        <f t="shared" si="31"/>
        <v>502.58000000000004</v>
      </c>
      <c r="AI1712" t="str">
        <f t="shared" si="32"/>
        <v>ww_Bivalvia</v>
      </c>
      <c r="AJ1712">
        <v>1895</v>
      </c>
      <c r="AK1712">
        <v>1450</v>
      </c>
      <c r="AL1712">
        <v>137.5</v>
      </c>
      <c r="AM1712">
        <v>15</v>
      </c>
      <c r="AN1712">
        <v>50</v>
      </c>
      <c r="AO1712">
        <v>0</v>
      </c>
      <c r="AP1712">
        <v>0</v>
      </c>
      <c r="AQ1712">
        <v>0</v>
      </c>
      <c r="AR1712">
        <v>15</v>
      </c>
      <c r="AS1712">
        <v>110</v>
      </c>
      <c r="AT1712">
        <f t="shared" si="33"/>
        <v>3672.5</v>
      </c>
      <c r="AU1712" t="str">
        <f t="shared" si="34"/>
        <v>abd_Polychaeta</v>
      </c>
    </row>
    <row r="1713" spans="1:47" x14ac:dyDescent="0.2">
      <c r="A1713">
        <f t="shared" si="28"/>
        <v>2327</v>
      </c>
      <c r="B1713" t="s">
        <v>892</v>
      </c>
      <c r="C1713">
        <v>50</v>
      </c>
      <c r="D1713" t="s">
        <v>824</v>
      </c>
      <c r="G1713" t="str">
        <f t="shared" si="35"/>
        <v>HLY180150DBO4.6N</v>
      </c>
      <c r="H1713">
        <v>71.775499999999994</v>
      </c>
      <c r="I1713">
        <v>-161.5865</v>
      </c>
      <c r="J1713" s="3" t="s">
        <v>918</v>
      </c>
      <c r="K1713">
        <v>2018</v>
      </c>
      <c r="L1713">
        <v>2.26309</v>
      </c>
      <c r="M1713">
        <v>13.709110000000001</v>
      </c>
      <c r="N1713">
        <v>5.4800000000000001E-2</v>
      </c>
      <c r="O1713">
        <v>5.0000000000000001E-4</v>
      </c>
      <c r="P1713">
        <v>0.40236</v>
      </c>
      <c r="Q1713">
        <v>0</v>
      </c>
      <c r="R1713">
        <v>0</v>
      </c>
      <c r="S1713">
        <v>0</v>
      </c>
      <c r="T1713">
        <v>1.00691</v>
      </c>
      <c r="U1713">
        <v>0.13020000000000001</v>
      </c>
      <c r="V1713">
        <f t="shared" si="29"/>
        <v>17.566970000000001</v>
      </c>
      <c r="W1713" t="str">
        <f t="shared" si="30"/>
        <v>gc_Bivalvia</v>
      </c>
      <c r="X1713">
        <v>37.545000000000002</v>
      </c>
      <c r="Y1713">
        <v>393.1</v>
      </c>
      <c r="Z1713">
        <v>0.77900000000000003</v>
      </c>
      <c r="AA1713">
        <v>1.0999999999999999E-2</v>
      </c>
      <c r="AB1713">
        <v>28.74</v>
      </c>
      <c r="AC1713">
        <v>0</v>
      </c>
      <c r="AD1713">
        <v>0</v>
      </c>
      <c r="AE1713">
        <v>0</v>
      </c>
      <c r="AF1713">
        <v>10.827</v>
      </c>
      <c r="AG1713">
        <v>3.4020000000000001</v>
      </c>
      <c r="AH1713">
        <f t="shared" si="31"/>
        <v>474.40400000000005</v>
      </c>
      <c r="AI1713" t="str">
        <f t="shared" si="32"/>
        <v>ww_Bivalvia</v>
      </c>
      <c r="AJ1713">
        <v>2445</v>
      </c>
      <c r="AK1713">
        <v>1462.5</v>
      </c>
      <c r="AL1713">
        <v>127.5</v>
      </c>
      <c r="AM1713">
        <v>5</v>
      </c>
      <c r="AN1713">
        <v>12.5</v>
      </c>
      <c r="AO1713">
        <v>0</v>
      </c>
      <c r="AP1713">
        <v>0</v>
      </c>
      <c r="AQ1713">
        <v>0</v>
      </c>
      <c r="AR1713">
        <v>87.5</v>
      </c>
      <c r="AS1713">
        <v>75</v>
      </c>
      <c r="AT1713">
        <f t="shared" si="33"/>
        <v>4215</v>
      </c>
      <c r="AU1713" t="str">
        <f t="shared" si="34"/>
        <v>abd_Polychaeta</v>
      </c>
    </row>
    <row r="1714" spans="1:47" x14ac:dyDescent="0.2">
      <c r="A1714">
        <f t="shared" si="28"/>
        <v>2328</v>
      </c>
      <c r="B1714" t="s">
        <v>892</v>
      </c>
      <c r="C1714">
        <v>58</v>
      </c>
      <c r="D1714" t="s">
        <v>371</v>
      </c>
      <c r="G1714" t="str">
        <f t="shared" si="35"/>
        <v>HLY180158BarC1</v>
      </c>
      <c r="H1714">
        <v>71.246799999999993</v>
      </c>
      <c r="I1714">
        <v>-157.13499999999999</v>
      </c>
      <c r="J1714" s="3" t="s">
        <v>919</v>
      </c>
      <c r="K1714">
        <v>2018</v>
      </c>
      <c r="L1714">
        <v>1.4389799999999999</v>
      </c>
      <c r="M1714">
        <v>0.51451999999999998</v>
      </c>
      <c r="N1714">
        <v>3.7846799999999998</v>
      </c>
      <c r="O1714">
        <v>4.2889999999999998E-2</v>
      </c>
      <c r="P1714">
        <v>0</v>
      </c>
      <c r="Q1714">
        <v>0</v>
      </c>
      <c r="R1714">
        <v>2.0364800000000001</v>
      </c>
      <c r="S1714">
        <v>0</v>
      </c>
      <c r="T1714">
        <v>0.12731999999999999</v>
      </c>
      <c r="U1714">
        <v>1.2672300000000001</v>
      </c>
      <c r="V1714">
        <f t="shared" si="29"/>
        <v>9.2120999999999995</v>
      </c>
      <c r="W1714" t="str">
        <f t="shared" si="30"/>
        <v>gc_Crustacea</v>
      </c>
      <c r="X1714">
        <v>21.923999999999999</v>
      </c>
      <c r="Y1714">
        <v>27.74</v>
      </c>
      <c r="Z1714">
        <v>54.866</v>
      </c>
      <c r="AA1714">
        <v>0.95299999999999996</v>
      </c>
      <c r="AB1714">
        <v>0</v>
      </c>
      <c r="AC1714">
        <v>0</v>
      </c>
      <c r="AD1714">
        <v>33.384999999999998</v>
      </c>
      <c r="AE1714">
        <v>0</v>
      </c>
      <c r="AF1714">
        <v>1.369</v>
      </c>
      <c r="AG1714">
        <v>126.663</v>
      </c>
      <c r="AH1714">
        <f t="shared" si="31"/>
        <v>266.89999999999998</v>
      </c>
      <c r="AI1714" t="str">
        <f t="shared" si="32"/>
        <v>ww_Others</v>
      </c>
      <c r="AJ1714">
        <v>1790</v>
      </c>
      <c r="AK1714">
        <v>190</v>
      </c>
      <c r="AL1714">
        <v>3000</v>
      </c>
      <c r="AM1714">
        <v>90</v>
      </c>
      <c r="AN1714">
        <v>0</v>
      </c>
      <c r="AO1714">
        <v>0</v>
      </c>
      <c r="AP1714">
        <v>30</v>
      </c>
      <c r="AQ1714">
        <v>0</v>
      </c>
      <c r="AR1714">
        <v>30</v>
      </c>
      <c r="AS1714">
        <v>10</v>
      </c>
      <c r="AT1714">
        <f t="shared" si="33"/>
        <v>5140</v>
      </c>
      <c r="AU1714" t="str">
        <f t="shared" si="34"/>
        <v>abd_Crustacea</v>
      </c>
    </row>
    <row r="1715" spans="1:47" x14ac:dyDescent="0.2">
      <c r="A1715">
        <f t="shared" si="28"/>
        <v>2329</v>
      </c>
      <c r="B1715" t="s">
        <v>892</v>
      </c>
      <c r="C1715">
        <v>59</v>
      </c>
      <c r="D1715" t="s">
        <v>372</v>
      </c>
      <c r="G1715" t="str">
        <f t="shared" si="35"/>
        <v>HLY180159BarC2</v>
      </c>
      <c r="H1715">
        <v>71.288799999999995</v>
      </c>
      <c r="I1715">
        <v>-157.22130000000001</v>
      </c>
      <c r="J1715" s="3" t="s">
        <v>919</v>
      </c>
      <c r="K1715">
        <v>2018</v>
      </c>
      <c r="L1715">
        <v>5.2379800000000003</v>
      </c>
      <c r="M1715">
        <v>0.30124000000000001</v>
      </c>
      <c r="N1715">
        <v>15.43985</v>
      </c>
      <c r="O1715">
        <v>1.5194300000000001</v>
      </c>
      <c r="P1715">
        <v>1.1939999999999999E-2</v>
      </c>
      <c r="Q1715">
        <v>0</v>
      </c>
      <c r="R1715">
        <v>0</v>
      </c>
      <c r="S1715">
        <v>0</v>
      </c>
      <c r="T1715">
        <v>0.29238999999999998</v>
      </c>
      <c r="U1715">
        <v>0.24858</v>
      </c>
      <c r="V1715">
        <f t="shared" si="29"/>
        <v>23.051410000000001</v>
      </c>
      <c r="W1715" t="str">
        <f t="shared" si="30"/>
        <v>gc_Crustacea</v>
      </c>
      <c r="X1715">
        <v>67.168000000000006</v>
      </c>
      <c r="Y1715">
        <v>12.481999999999999</v>
      </c>
      <c r="Z1715">
        <v>226.31</v>
      </c>
      <c r="AA1715">
        <v>33.765000000000001</v>
      </c>
      <c r="AB1715">
        <v>0.85299999999999998</v>
      </c>
      <c r="AC1715">
        <v>0</v>
      </c>
      <c r="AD1715">
        <v>0</v>
      </c>
      <c r="AE1715">
        <v>0</v>
      </c>
      <c r="AF1715">
        <v>3.1440000000000001</v>
      </c>
      <c r="AG1715">
        <v>21.45</v>
      </c>
      <c r="AH1715">
        <f t="shared" si="31"/>
        <v>365.17200000000003</v>
      </c>
      <c r="AI1715" t="str">
        <f t="shared" si="32"/>
        <v>ww_Crustacea</v>
      </c>
      <c r="AJ1715">
        <v>6400</v>
      </c>
      <c r="AK1715">
        <v>400</v>
      </c>
      <c r="AL1715">
        <v>12030</v>
      </c>
      <c r="AM1715">
        <v>310</v>
      </c>
      <c r="AN1715">
        <v>130</v>
      </c>
      <c r="AO1715">
        <v>0</v>
      </c>
      <c r="AP1715">
        <v>0</v>
      </c>
      <c r="AQ1715">
        <v>0</v>
      </c>
      <c r="AR1715">
        <v>80</v>
      </c>
      <c r="AS1715">
        <v>10</v>
      </c>
      <c r="AT1715">
        <f t="shared" si="33"/>
        <v>19360</v>
      </c>
      <c r="AU1715" t="str">
        <f t="shared" si="34"/>
        <v>abd_Crustacea</v>
      </c>
    </row>
    <row r="1716" spans="1:47" x14ac:dyDescent="0.2">
      <c r="A1716">
        <f t="shared" si="28"/>
        <v>2330</v>
      </c>
      <c r="B1716" t="s">
        <v>892</v>
      </c>
      <c r="C1716">
        <v>60</v>
      </c>
      <c r="D1716" t="s">
        <v>373</v>
      </c>
      <c r="G1716" t="str">
        <f t="shared" si="35"/>
        <v>HLY180160BarC3</v>
      </c>
      <c r="H1716">
        <v>71.3262</v>
      </c>
      <c r="I1716">
        <v>-157.30670000000001</v>
      </c>
      <c r="J1716" s="3" t="s">
        <v>919</v>
      </c>
      <c r="K1716">
        <v>2018</v>
      </c>
      <c r="L1716">
        <v>2.2009599999999998</v>
      </c>
      <c r="M1716">
        <v>2.4836299999999998</v>
      </c>
      <c r="N1716">
        <v>0.45641999999999999</v>
      </c>
      <c r="O1716">
        <v>5.0000000000000002E-5</v>
      </c>
      <c r="P1716">
        <v>3.0000000000000001E-5</v>
      </c>
      <c r="Q1716">
        <v>2.5000000000000001E-4</v>
      </c>
      <c r="R1716">
        <v>0</v>
      </c>
      <c r="S1716">
        <v>0.87907999999999997</v>
      </c>
      <c r="T1716">
        <v>7.7200000000000003E-3</v>
      </c>
      <c r="U1716">
        <v>1.52315</v>
      </c>
      <c r="V1716">
        <f t="shared" si="29"/>
        <v>7.5512899999999998</v>
      </c>
      <c r="W1716" t="str">
        <f t="shared" si="30"/>
        <v>gc_Bivalvia</v>
      </c>
      <c r="X1716">
        <v>35.347000000000001</v>
      </c>
      <c r="Y1716">
        <v>59.323</v>
      </c>
      <c r="Z1716">
        <v>6.3710000000000004</v>
      </c>
      <c r="AA1716">
        <v>1E-3</v>
      </c>
      <c r="AB1716">
        <v>2E-3</v>
      </c>
      <c r="AC1716">
        <v>2.3E-2</v>
      </c>
      <c r="AD1716">
        <v>0</v>
      </c>
      <c r="AE1716">
        <v>48.838000000000001</v>
      </c>
      <c r="AF1716">
        <v>8.3000000000000004E-2</v>
      </c>
      <c r="AG1716">
        <v>72.668000000000006</v>
      </c>
      <c r="AH1716">
        <f t="shared" si="31"/>
        <v>222.65600000000001</v>
      </c>
      <c r="AI1716" t="str">
        <f t="shared" si="32"/>
        <v>ww_Others</v>
      </c>
      <c r="AJ1716">
        <v>2360</v>
      </c>
      <c r="AK1716">
        <v>660</v>
      </c>
      <c r="AL1716">
        <v>1660</v>
      </c>
      <c r="AM1716">
        <v>10</v>
      </c>
      <c r="AN1716">
        <v>20</v>
      </c>
      <c r="AO1716">
        <v>20</v>
      </c>
      <c r="AP1716">
        <v>0</v>
      </c>
      <c r="AQ1716">
        <v>10</v>
      </c>
      <c r="AR1716">
        <v>40</v>
      </c>
      <c r="AS1716">
        <v>230</v>
      </c>
      <c r="AT1716">
        <f t="shared" si="33"/>
        <v>5010</v>
      </c>
      <c r="AU1716" t="str">
        <f t="shared" si="34"/>
        <v>abd_Polychaeta</v>
      </c>
    </row>
    <row r="1717" spans="1:47" x14ac:dyDescent="0.2">
      <c r="A1717">
        <f t="shared" si="28"/>
        <v>2331</v>
      </c>
      <c r="B1717" t="s">
        <v>892</v>
      </c>
      <c r="C1717">
        <v>61</v>
      </c>
      <c r="D1717" t="s">
        <v>374</v>
      </c>
      <c r="G1717" t="str">
        <f t="shared" si="35"/>
        <v>HLY180161BarC4</v>
      </c>
      <c r="H1717">
        <v>71.372699999999995</v>
      </c>
      <c r="I1717">
        <v>-157.38030000000001</v>
      </c>
      <c r="J1717" s="3" t="s">
        <v>919</v>
      </c>
      <c r="K1717">
        <v>2018</v>
      </c>
      <c r="L1717">
        <v>1.2035</v>
      </c>
      <c r="M1717">
        <v>17.547249999999998</v>
      </c>
      <c r="N1717">
        <v>0.28199000000000002</v>
      </c>
      <c r="O1717">
        <v>2.8400000000000001E-3</v>
      </c>
      <c r="P1717">
        <v>0.89380000000000004</v>
      </c>
      <c r="Q1717">
        <v>0</v>
      </c>
      <c r="R1717">
        <v>2.58921</v>
      </c>
      <c r="S1717">
        <v>0</v>
      </c>
      <c r="T1717">
        <v>8.5599999999999999E-3</v>
      </c>
      <c r="U1717">
        <v>6.7000000000000002E-4</v>
      </c>
      <c r="V1717">
        <f t="shared" si="29"/>
        <v>22.527819999999995</v>
      </c>
      <c r="W1717" t="str">
        <f t="shared" si="30"/>
        <v>gc_Bivalvia</v>
      </c>
      <c r="X1717">
        <v>19.437999999999999</v>
      </c>
      <c r="Y1717">
        <v>705.27700000000004</v>
      </c>
      <c r="Z1717">
        <v>3.8260000000000001</v>
      </c>
      <c r="AA1717">
        <v>6.3E-2</v>
      </c>
      <c r="AB1717">
        <v>63.843000000000004</v>
      </c>
      <c r="AC1717">
        <v>0</v>
      </c>
      <c r="AD1717">
        <v>42.445999999999998</v>
      </c>
      <c r="AE1717">
        <v>0</v>
      </c>
      <c r="AF1717">
        <v>9.1999999999999998E-2</v>
      </c>
      <c r="AG1717">
        <v>6.7000000000000004E-2</v>
      </c>
      <c r="AH1717">
        <f t="shared" si="31"/>
        <v>835.05200000000002</v>
      </c>
      <c r="AI1717" t="str">
        <f t="shared" si="32"/>
        <v>ww_Bivalvia</v>
      </c>
      <c r="AJ1717">
        <v>2050</v>
      </c>
      <c r="AK1717">
        <v>900</v>
      </c>
      <c r="AL1717">
        <v>3010</v>
      </c>
      <c r="AM1717">
        <v>30</v>
      </c>
      <c r="AN1717">
        <v>30</v>
      </c>
      <c r="AO1717">
        <v>0</v>
      </c>
      <c r="AP1717">
        <v>250</v>
      </c>
      <c r="AQ1717">
        <v>0</v>
      </c>
      <c r="AR1717">
        <v>10</v>
      </c>
      <c r="AS1717">
        <v>0</v>
      </c>
      <c r="AT1717">
        <f t="shared" si="33"/>
        <v>6280</v>
      </c>
      <c r="AU1717" t="str">
        <f t="shared" si="34"/>
        <v>abd_Crustacea</v>
      </c>
    </row>
    <row r="1718" spans="1:47" x14ac:dyDescent="0.2">
      <c r="A1718">
        <f t="shared" si="28"/>
        <v>2332</v>
      </c>
      <c r="B1718" t="s">
        <v>892</v>
      </c>
      <c r="C1718">
        <v>62</v>
      </c>
      <c r="D1718" t="s">
        <v>375</v>
      </c>
      <c r="G1718" t="str">
        <f t="shared" si="35"/>
        <v>HLY180162BarC5</v>
      </c>
      <c r="H1718">
        <v>71.409499999999994</v>
      </c>
      <c r="I1718">
        <v>-157.44970000000001</v>
      </c>
      <c r="J1718" s="3" t="s">
        <v>919</v>
      </c>
      <c r="K1718">
        <v>2018</v>
      </c>
      <c r="L1718">
        <v>2.4748199999999998</v>
      </c>
      <c r="M1718">
        <v>1.73427</v>
      </c>
      <c r="N1718">
        <v>0.89215</v>
      </c>
      <c r="O1718">
        <v>5.8180000000000003E-2</v>
      </c>
      <c r="P1718">
        <v>1.32429</v>
      </c>
      <c r="Q1718">
        <v>0</v>
      </c>
      <c r="R1718">
        <v>0.56147999999999998</v>
      </c>
      <c r="S1718">
        <v>6.5199999999999998E-3</v>
      </c>
      <c r="T1718">
        <v>0.45523999999999998</v>
      </c>
      <c r="U1718">
        <v>6.7299800000000003</v>
      </c>
      <c r="V1718">
        <f t="shared" si="29"/>
        <v>14.236930000000001</v>
      </c>
      <c r="W1718" t="str">
        <f t="shared" si="30"/>
        <v>gc_Others</v>
      </c>
      <c r="X1718">
        <v>39.003</v>
      </c>
      <c r="Y1718">
        <v>50.524000000000001</v>
      </c>
      <c r="Z1718">
        <v>11.772</v>
      </c>
      <c r="AA1718">
        <v>1.2929999999999999</v>
      </c>
      <c r="AB1718">
        <v>94.591999999999999</v>
      </c>
      <c r="AC1718">
        <v>0</v>
      </c>
      <c r="AD1718">
        <v>14.037000000000001</v>
      </c>
      <c r="AE1718">
        <v>0.159</v>
      </c>
      <c r="AF1718">
        <v>4.8949999999999996</v>
      </c>
      <c r="AG1718">
        <v>221.84299999999999</v>
      </c>
      <c r="AH1718">
        <f t="shared" si="31"/>
        <v>438.11800000000005</v>
      </c>
      <c r="AI1718" t="str">
        <f t="shared" si="32"/>
        <v>ww_Others</v>
      </c>
      <c r="AJ1718">
        <v>2585</v>
      </c>
      <c r="AK1718">
        <v>90</v>
      </c>
      <c r="AL1718">
        <v>5085</v>
      </c>
      <c r="AM1718">
        <v>30</v>
      </c>
      <c r="AN1718">
        <v>210</v>
      </c>
      <c r="AO1718">
        <v>0</v>
      </c>
      <c r="AP1718">
        <v>0</v>
      </c>
      <c r="AQ1718">
        <v>10</v>
      </c>
      <c r="AR1718">
        <v>50</v>
      </c>
      <c r="AS1718">
        <v>130</v>
      </c>
      <c r="AT1718">
        <f t="shared" si="33"/>
        <v>8190</v>
      </c>
      <c r="AU1718" t="str">
        <f t="shared" si="34"/>
        <v>abd_Crustacea</v>
      </c>
    </row>
    <row r="1719" spans="1:47" x14ac:dyDescent="0.2">
      <c r="A1719">
        <f t="shared" si="28"/>
        <v>2333</v>
      </c>
      <c r="B1719" t="s">
        <v>892</v>
      </c>
      <c r="C1719">
        <v>63</v>
      </c>
      <c r="D1719" t="s">
        <v>376</v>
      </c>
      <c r="G1719" t="str">
        <f t="shared" si="35"/>
        <v>HLY180163BarC6</v>
      </c>
      <c r="H1719">
        <v>71.454300000000003</v>
      </c>
      <c r="I1719">
        <v>-157.5532</v>
      </c>
      <c r="J1719" s="3" t="s">
        <v>919</v>
      </c>
      <c r="K1719">
        <v>2018</v>
      </c>
      <c r="L1719">
        <v>14.63828</v>
      </c>
      <c r="M1719">
        <v>2.6436000000000002</v>
      </c>
      <c r="N1719">
        <v>14.37655</v>
      </c>
      <c r="O1719">
        <v>9.6661800000000007</v>
      </c>
      <c r="P1719">
        <v>1.25607</v>
      </c>
      <c r="Q1719">
        <v>0</v>
      </c>
      <c r="R1719">
        <v>0.15024000000000001</v>
      </c>
      <c r="S1719">
        <v>0</v>
      </c>
      <c r="T1719">
        <v>1.1352500000000001</v>
      </c>
      <c r="U1719">
        <v>0.11955</v>
      </c>
      <c r="V1719">
        <f t="shared" si="29"/>
        <v>43.985720000000001</v>
      </c>
      <c r="W1719" t="str">
        <f t="shared" si="30"/>
        <v>gc_Polychaeta</v>
      </c>
      <c r="X1719">
        <v>211.53100000000001</v>
      </c>
      <c r="Y1719">
        <v>152.53200000000001</v>
      </c>
      <c r="Z1719">
        <v>210.2</v>
      </c>
      <c r="AA1719">
        <v>214.804</v>
      </c>
      <c r="AB1719">
        <v>89.718999999999994</v>
      </c>
      <c r="AC1719">
        <v>0</v>
      </c>
      <c r="AD1719">
        <v>3.7559999999999998</v>
      </c>
      <c r="AE1719">
        <v>0</v>
      </c>
      <c r="AF1719">
        <v>12.207000000000001</v>
      </c>
      <c r="AG1719">
        <v>5.0940000000000003</v>
      </c>
      <c r="AH1719">
        <f t="shared" si="31"/>
        <v>899.84299999999985</v>
      </c>
      <c r="AI1719" t="str">
        <f t="shared" si="32"/>
        <v>ww_Sipuncula</v>
      </c>
      <c r="AJ1719">
        <v>19660</v>
      </c>
      <c r="AK1719">
        <v>800</v>
      </c>
      <c r="AL1719">
        <v>51800</v>
      </c>
      <c r="AM1719">
        <v>300</v>
      </c>
      <c r="AN1719">
        <v>290</v>
      </c>
      <c r="AO1719">
        <v>0</v>
      </c>
      <c r="AP1719">
        <v>0</v>
      </c>
      <c r="AQ1719">
        <v>0</v>
      </c>
      <c r="AR1719">
        <v>250</v>
      </c>
      <c r="AS1719">
        <v>250</v>
      </c>
      <c r="AT1719">
        <f t="shared" si="33"/>
        <v>73350</v>
      </c>
      <c r="AU1719" t="str">
        <f t="shared" si="34"/>
        <v>abd_Crustacea</v>
      </c>
    </row>
    <row r="1720" spans="1:47" x14ac:dyDescent="0.2">
      <c r="A1720">
        <f t="shared" si="28"/>
        <v>2334</v>
      </c>
      <c r="B1720" t="s">
        <v>892</v>
      </c>
      <c r="C1720">
        <v>64</v>
      </c>
      <c r="D1720" t="s">
        <v>377</v>
      </c>
      <c r="G1720" t="str">
        <f t="shared" si="35"/>
        <v>HLY180164BarC7</v>
      </c>
      <c r="H1720">
        <v>71.4953</v>
      </c>
      <c r="I1720">
        <v>-157.62649999999999</v>
      </c>
      <c r="J1720" s="3" t="s">
        <v>919</v>
      </c>
      <c r="K1720">
        <v>2018</v>
      </c>
      <c r="L1720">
        <v>8.4178200000000007</v>
      </c>
      <c r="M1720">
        <v>7.4745100000000004</v>
      </c>
      <c r="N1720">
        <v>8.9867399999999993</v>
      </c>
      <c r="O1720">
        <v>7.4090299999999996</v>
      </c>
      <c r="P1720">
        <v>1.0548999999999999</v>
      </c>
      <c r="Q1720">
        <v>0</v>
      </c>
      <c r="R1720">
        <v>0</v>
      </c>
      <c r="S1720">
        <v>0</v>
      </c>
      <c r="T1720">
        <v>0.62273000000000001</v>
      </c>
      <c r="U1720">
        <v>0.25333</v>
      </c>
      <c r="V1720">
        <f t="shared" si="29"/>
        <v>34.219059999999999</v>
      </c>
      <c r="W1720" t="str">
        <f t="shared" si="30"/>
        <v>gc_Crustacea</v>
      </c>
      <c r="X1720">
        <v>129.46199999999999</v>
      </c>
      <c r="Y1720">
        <v>320.52999999999997</v>
      </c>
      <c r="Z1720">
        <v>130.78899999999999</v>
      </c>
      <c r="AA1720">
        <v>164.64500000000001</v>
      </c>
      <c r="AB1720">
        <v>75.349999999999994</v>
      </c>
      <c r="AC1720">
        <v>0</v>
      </c>
      <c r="AD1720">
        <v>0</v>
      </c>
      <c r="AE1720">
        <v>0</v>
      </c>
      <c r="AF1720">
        <v>6.6959999999999997</v>
      </c>
      <c r="AG1720">
        <v>22.09</v>
      </c>
      <c r="AH1720">
        <f t="shared" si="31"/>
        <v>849.56200000000001</v>
      </c>
      <c r="AI1720" t="str">
        <f t="shared" si="32"/>
        <v>ww_Bivalvia</v>
      </c>
      <c r="AJ1720">
        <v>9890</v>
      </c>
      <c r="AK1720">
        <v>360</v>
      </c>
      <c r="AL1720">
        <v>20460</v>
      </c>
      <c r="AM1720">
        <v>320</v>
      </c>
      <c r="AN1720">
        <v>310</v>
      </c>
      <c r="AO1720">
        <v>0</v>
      </c>
      <c r="AP1720">
        <v>0</v>
      </c>
      <c r="AQ1720">
        <v>0</v>
      </c>
      <c r="AR1720">
        <v>50</v>
      </c>
      <c r="AS1720">
        <v>40</v>
      </c>
      <c r="AT1720">
        <f t="shared" si="33"/>
        <v>31430</v>
      </c>
      <c r="AU1720" t="str">
        <f t="shared" si="34"/>
        <v>abd_Crustacea</v>
      </c>
    </row>
    <row r="1721" spans="1:47" x14ac:dyDescent="0.2">
      <c r="A1721">
        <f t="shared" si="28"/>
        <v>2335</v>
      </c>
      <c r="B1721" t="s">
        <v>892</v>
      </c>
      <c r="C1721">
        <v>65</v>
      </c>
      <c r="D1721" t="s">
        <v>379</v>
      </c>
      <c r="G1721" t="str">
        <f t="shared" si="35"/>
        <v>HLY180165BarC8</v>
      </c>
      <c r="H1721">
        <v>71.535799999999995</v>
      </c>
      <c r="I1721">
        <v>-157.7107</v>
      </c>
      <c r="J1721" s="3" t="s">
        <v>919</v>
      </c>
      <c r="K1721">
        <v>2018</v>
      </c>
      <c r="L1721">
        <v>1.6245099999999999</v>
      </c>
      <c r="M1721">
        <v>1.8064100000000001</v>
      </c>
      <c r="N1721">
        <v>0.12028</v>
      </c>
      <c r="O1721">
        <v>3.2259600000000002</v>
      </c>
      <c r="P1721">
        <v>0.50958999999999999</v>
      </c>
      <c r="Q1721">
        <v>0</v>
      </c>
      <c r="R1721">
        <v>0</v>
      </c>
      <c r="S1721">
        <v>0</v>
      </c>
      <c r="T1721">
        <v>0.11373999999999999</v>
      </c>
      <c r="U1721">
        <v>2.3460000000000002E-2</v>
      </c>
      <c r="V1721">
        <f t="shared" si="29"/>
        <v>7.4239500000000005</v>
      </c>
      <c r="W1721" t="str">
        <f t="shared" si="30"/>
        <v>gc_Sipuncula</v>
      </c>
      <c r="X1721">
        <v>22.759</v>
      </c>
      <c r="Y1721">
        <v>49.143999999999998</v>
      </c>
      <c r="Z1721">
        <v>1.6559999999999999</v>
      </c>
      <c r="AA1721">
        <v>71.688000000000002</v>
      </c>
      <c r="AB1721">
        <v>36.399000000000001</v>
      </c>
      <c r="AC1721">
        <v>0</v>
      </c>
      <c r="AD1721">
        <v>0</v>
      </c>
      <c r="AE1721">
        <v>0</v>
      </c>
      <c r="AF1721">
        <v>1.2230000000000001</v>
      </c>
      <c r="AG1721">
        <v>0.873</v>
      </c>
      <c r="AH1721">
        <f t="shared" si="31"/>
        <v>183.74200000000002</v>
      </c>
      <c r="AI1721" t="str">
        <f t="shared" si="32"/>
        <v>ww_Sipuncula</v>
      </c>
      <c r="AJ1721">
        <v>1600</v>
      </c>
      <c r="AK1721">
        <v>530</v>
      </c>
      <c r="AL1721">
        <v>440</v>
      </c>
      <c r="AM1721">
        <v>10</v>
      </c>
      <c r="AN1721">
        <v>90</v>
      </c>
      <c r="AO1721">
        <v>0</v>
      </c>
      <c r="AP1721">
        <v>0</v>
      </c>
      <c r="AQ1721">
        <v>0</v>
      </c>
      <c r="AR1721">
        <v>10</v>
      </c>
      <c r="AS1721">
        <v>50</v>
      </c>
      <c r="AT1721">
        <f t="shared" si="33"/>
        <v>2730</v>
      </c>
      <c r="AU1721" t="str">
        <f t="shared" si="34"/>
        <v>abd_Polychaeta</v>
      </c>
    </row>
    <row r="1722" spans="1:47" x14ac:dyDescent="0.2">
      <c r="A1722">
        <f t="shared" si="28"/>
        <v>2336</v>
      </c>
      <c r="B1722" t="s">
        <v>892</v>
      </c>
      <c r="C1722">
        <v>66</v>
      </c>
      <c r="D1722" t="s">
        <v>380</v>
      </c>
      <c r="G1722" t="str">
        <f t="shared" si="35"/>
        <v>HLY180166BarC9</v>
      </c>
      <c r="H1722">
        <v>71.583500000000001</v>
      </c>
      <c r="I1722">
        <v>-157.8175</v>
      </c>
      <c r="J1722" s="3" t="s">
        <v>919</v>
      </c>
      <c r="K1722">
        <v>2018</v>
      </c>
      <c r="L1722">
        <v>0.61536999999999997</v>
      </c>
      <c r="M1722">
        <v>1.4862200000000001</v>
      </c>
      <c r="N1722">
        <v>9.0249999999999997E-2</v>
      </c>
      <c r="O1722">
        <v>13.72784</v>
      </c>
      <c r="P1722">
        <v>0.66180000000000005</v>
      </c>
      <c r="Q1722">
        <v>0</v>
      </c>
      <c r="R1722">
        <v>0</v>
      </c>
      <c r="S1722">
        <v>0</v>
      </c>
      <c r="T1722">
        <v>0.15894</v>
      </c>
      <c r="U1722">
        <v>3.9239999999999997E-2</v>
      </c>
      <c r="V1722">
        <f t="shared" si="29"/>
        <v>16.77966</v>
      </c>
      <c r="W1722" t="str">
        <f t="shared" si="30"/>
        <v>gc_Sipuncula</v>
      </c>
      <c r="X1722">
        <v>8.4030000000000005</v>
      </c>
      <c r="Y1722">
        <v>37.552999999999997</v>
      </c>
      <c r="Z1722">
        <v>1.228</v>
      </c>
      <c r="AA1722">
        <v>305.06299999999999</v>
      </c>
      <c r="AB1722">
        <v>47.271000000000001</v>
      </c>
      <c r="AC1722">
        <v>0</v>
      </c>
      <c r="AD1722">
        <v>0</v>
      </c>
      <c r="AE1722">
        <v>0</v>
      </c>
      <c r="AF1722">
        <v>1.7090000000000001</v>
      </c>
      <c r="AG1722">
        <v>1.1850000000000001</v>
      </c>
      <c r="AH1722">
        <f t="shared" si="31"/>
        <v>402.41199999999998</v>
      </c>
      <c r="AI1722" t="str">
        <f t="shared" si="32"/>
        <v>ww_Sipuncula</v>
      </c>
      <c r="AJ1722">
        <v>830</v>
      </c>
      <c r="AK1722">
        <v>580</v>
      </c>
      <c r="AL1722">
        <v>250</v>
      </c>
      <c r="AM1722">
        <v>30</v>
      </c>
      <c r="AN1722">
        <v>50</v>
      </c>
      <c r="AO1722">
        <v>0</v>
      </c>
      <c r="AP1722">
        <v>0</v>
      </c>
      <c r="AQ1722">
        <v>0</v>
      </c>
      <c r="AR1722">
        <v>10</v>
      </c>
      <c r="AS1722">
        <v>110</v>
      </c>
      <c r="AT1722">
        <f t="shared" si="33"/>
        <v>1860</v>
      </c>
      <c r="AU1722" t="str">
        <f t="shared" si="34"/>
        <v>abd_Polychaeta</v>
      </c>
    </row>
    <row r="1723" spans="1:47" x14ac:dyDescent="0.2">
      <c r="A1723">
        <f t="shared" si="28"/>
        <v>2337</v>
      </c>
      <c r="B1723" t="s">
        <v>892</v>
      </c>
      <c r="C1723">
        <v>67</v>
      </c>
      <c r="D1723" t="s">
        <v>381</v>
      </c>
      <c r="G1723" t="str">
        <f t="shared" si="35"/>
        <v>HLY180167BarC10</v>
      </c>
      <c r="H1723">
        <v>71.626199999999997</v>
      </c>
      <c r="I1723">
        <v>-157.90049999999999</v>
      </c>
      <c r="J1723" s="3" t="s">
        <v>919</v>
      </c>
      <c r="K1723">
        <v>2018</v>
      </c>
      <c r="L1723">
        <v>4.7672600000000003</v>
      </c>
      <c r="M1723">
        <v>2.84815</v>
      </c>
      <c r="N1723">
        <v>1.6395599999999999</v>
      </c>
      <c r="O1723">
        <v>0.32121</v>
      </c>
      <c r="P1723">
        <v>0.41559000000000001</v>
      </c>
      <c r="Q1723">
        <v>0</v>
      </c>
      <c r="R1723">
        <v>0</v>
      </c>
      <c r="S1723">
        <v>0</v>
      </c>
      <c r="T1723">
        <v>5.6919999999999998E-2</v>
      </c>
      <c r="U1723">
        <v>2.946E-2</v>
      </c>
      <c r="V1723">
        <f t="shared" si="29"/>
        <v>10.078150000000001</v>
      </c>
      <c r="W1723" t="str">
        <f t="shared" si="30"/>
        <v>gc_Polychaeta</v>
      </c>
      <c r="X1723">
        <v>69.16</v>
      </c>
      <c r="Y1723">
        <v>70.870999999999995</v>
      </c>
      <c r="Z1723">
        <v>23.954999999999998</v>
      </c>
      <c r="AA1723">
        <v>7.1379999999999999</v>
      </c>
      <c r="AB1723">
        <v>29.684999999999999</v>
      </c>
      <c r="AC1723">
        <v>0</v>
      </c>
      <c r="AD1723">
        <v>0</v>
      </c>
      <c r="AE1723">
        <v>0</v>
      </c>
      <c r="AF1723">
        <v>0.61199999999999999</v>
      </c>
      <c r="AG1723">
        <v>0.998</v>
      </c>
      <c r="AH1723">
        <f t="shared" si="31"/>
        <v>202.41899999999998</v>
      </c>
      <c r="AI1723" t="str">
        <f t="shared" si="32"/>
        <v>ww_Bivalvia</v>
      </c>
      <c r="AJ1723">
        <v>1840</v>
      </c>
      <c r="AK1723">
        <v>1110</v>
      </c>
      <c r="AL1723">
        <v>1230</v>
      </c>
      <c r="AM1723">
        <v>50</v>
      </c>
      <c r="AN1723">
        <v>40</v>
      </c>
      <c r="AO1723">
        <v>0</v>
      </c>
      <c r="AP1723">
        <v>0</v>
      </c>
      <c r="AQ1723">
        <v>0</v>
      </c>
      <c r="AR1723">
        <v>30</v>
      </c>
      <c r="AS1723">
        <v>70</v>
      </c>
      <c r="AT1723">
        <f t="shared" si="33"/>
        <v>4370</v>
      </c>
      <c r="AU1723" t="str">
        <f t="shared" si="34"/>
        <v>abd_Polychaeta</v>
      </c>
    </row>
    <row r="1724" spans="1:47" x14ac:dyDescent="0.2">
      <c r="A1724">
        <f t="shared" si="28"/>
        <v>2338</v>
      </c>
      <c r="B1724" t="s">
        <v>892</v>
      </c>
      <c r="C1724">
        <v>134</v>
      </c>
      <c r="D1724" t="s">
        <v>893</v>
      </c>
      <c r="G1724" t="str">
        <f t="shared" si="35"/>
        <v>HLY1801134LB13</v>
      </c>
      <c r="H1724">
        <v>70.259799999999998</v>
      </c>
      <c r="I1724">
        <v>-168.5445</v>
      </c>
      <c r="J1724" s="3" t="s">
        <v>920</v>
      </c>
      <c r="K1724">
        <v>2018</v>
      </c>
      <c r="L1724">
        <v>9.26572</v>
      </c>
      <c r="M1724">
        <v>4.4785199999999996</v>
      </c>
      <c r="N1724">
        <v>0.76202999999999999</v>
      </c>
      <c r="O1724">
        <v>0</v>
      </c>
      <c r="P1724">
        <v>1E-4</v>
      </c>
      <c r="Q1724">
        <v>0</v>
      </c>
      <c r="R1724">
        <v>1.29792</v>
      </c>
      <c r="S1724">
        <v>0.27884999999999999</v>
      </c>
      <c r="T1724">
        <v>1.265E-2</v>
      </c>
      <c r="U1724">
        <v>0.23266000000000001</v>
      </c>
      <c r="V1724">
        <f t="shared" si="29"/>
        <v>16.328449999999997</v>
      </c>
      <c r="W1724" t="str">
        <f t="shared" si="30"/>
        <v>gc_Polychaeta</v>
      </c>
      <c r="X1724">
        <v>133.72499999999999</v>
      </c>
      <c r="Y1724">
        <v>148.59899999999999</v>
      </c>
      <c r="Z1724">
        <v>10.303000000000001</v>
      </c>
      <c r="AA1724">
        <v>0</v>
      </c>
      <c r="AB1724">
        <v>7.0000000000000001E-3</v>
      </c>
      <c r="AC1724">
        <v>0</v>
      </c>
      <c r="AD1724">
        <v>32.448</v>
      </c>
      <c r="AE1724">
        <v>6.8010000000000002</v>
      </c>
      <c r="AF1724">
        <v>0.13600000000000001</v>
      </c>
      <c r="AG1724">
        <v>22.684999999999999</v>
      </c>
      <c r="AH1724">
        <f t="shared" si="31"/>
        <v>354.70399999999995</v>
      </c>
      <c r="AI1724" t="str">
        <f t="shared" si="32"/>
        <v>ww_Bivalvia</v>
      </c>
      <c r="AJ1724">
        <v>2340</v>
      </c>
      <c r="AK1724">
        <v>300</v>
      </c>
      <c r="AL1724">
        <v>2010</v>
      </c>
      <c r="AM1724">
        <v>0</v>
      </c>
      <c r="AN1724">
        <v>10</v>
      </c>
      <c r="AO1724">
        <v>0</v>
      </c>
      <c r="AP1724">
        <v>0</v>
      </c>
      <c r="AQ1724">
        <v>80</v>
      </c>
      <c r="AR1724">
        <v>0</v>
      </c>
      <c r="AS1724">
        <v>20</v>
      </c>
      <c r="AT1724">
        <f t="shared" si="33"/>
        <v>4760</v>
      </c>
      <c r="AU1724" t="str">
        <f t="shared" si="34"/>
        <v>abd_Polychaeta</v>
      </c>
    </row>
    <row r="1725" spans="1:47" x14ac:dyDescent="0.2">
      <c r="A1725">
        <f t="shared" si="28"/>
        <v>2339</v>
      </c>
      <c r="B1725" t="s">
        <v>892</v>
      </c>
      <c r="C1725">
        <v>136</v>
      </c>
      <c r="D1725" t="s">
        <v>894</v>
      </c>
      <c r="G1725" t="str">
        <f t="shared" si="35"/>
        <v>HLY1801136LB11</v>
      </c>
      <c r="H1725">
        <v>70.0578</v>
      </c>
      <c r="I1725">
        <v>-167.65649999999999</v>
      </c>
      <c r="J1725" s="3" t="s">
        <v>920</v>
      </c>
      <c r="K1725">
        <v>2018</v>
      </c>
      <c r="L1725">
        <v>2.9847299999999999</v>
      </c>
      <c r="M1725">
        <v>0.16370000000000001</v>
      </c>
      <c r="N1725">
        <v>1.1649499999999999</v>
      </c>
      <c r="O1725">
        <v>0.15845000000000001</v>
      </c>
      <c r="P1725">
        <v>1.34E-3</v>
      </c>
      <c r="Q1725">
        <v>0</v>
      </c>
      <c r="R1725">
        <v>0</v>
      </c>
      <c r="S1725">
        <v>0</v>
      </c>
      <c r="T1725">
        <v>2.4199999999999998E-3</v>
      </c>
      <c r="U1725">
        <v>0.14745</v>
      </c>
      <c r="V1725">
        <f t="shared" si="29"/>
        <v>4.6230399999999996</v>
      </c>
      <c r="W1725" t="str">
        <f t="shared" si="30"/>
        <v>gc_Polychaeta</v>
      </c>
      <c r="X1725">
        <v>41.033000000000001</v>
      </c>
      <c r="Y1725">
        <v>4.8120000000000003</v>
      </c>
      <c r="Z1725">
        <v>16.006</v>
      </c>
      <c r="AA1725">
        <v>3.5209999999999999</v>
      </c>
      <c r="AB1725">
        <v>9.6000000000000002E-2</v>
      </c>
      <c r="AC1725">
        <v>0</v>
      </c>
      <c r="AD1725">
        <v>0</v>
      </c>
      <c r="AE1725">
        <v>0</v>
      </c>
      <c r="AF1725">
        <v>2.5999999999999999E-2</v>
      </c>
      <c r="AG1725">
        <v>9.4280000000000008</v>
      </c>
      <c r="AH1725">
        <f t="shared" si="31"/>
        <v>74.921999999999997</v>
      </c>
      <c r="AI1725" t="str">
        <f t="shared" si="32"/>
        <v>ww_Polychaeta</v>
      </c>
      <c r="AJ1725">
        <v>1800</v>
      </c>
      <c r="AK1725">
        <v>130</v>
      </c>
      <c r="AL1725">
        <v>1980</v>
      </c>
      <c r="AM1725">
        <v>230</v>
      </c>
      <c r="AN1725">
        <v>110</v>
      </c>
      <c r="AO1725">
        <v>0</v>
      </c>
      <c r="AP1725">
        <v>0</v>
      </c>
      <c r="AQ1725">
        <v>0</v>
      </c>
      <c r="AR1725">
        <v>10</v>
      </c>
      <c r="AS1725">
        <v>10</v>
      </c>
      <c r="AT1725">
        <f t="shared" si="33"/>
        <v>4270</v>
      </c>
      <c r="AU1725" t="str">
        <f t="shared" si="34"/>
        <v>abd_Crustacea</v>
      </c>
    </row>
    <row r="1726" spans="1:47" x14ac:dyDescent="0.2">
      <c r="A1726">
        <f t="shared" si="28"/>
        <v>2340</v>
      </c>
      <c r="B1726" t="s">
        <v>892</v>
      </c>
      <c r="C1726">
        <v>138</v>
      </c>
      <c r="D1726" t="s">
        <v>895</v>
      </c>
      <c r="G1726" t="str">
        <f t="shared" si="35"/>
        <v>HLY1801138LB9</v>
      </c>
      <c r="H1726">
        <v>69.879000000000005</v>
      </c>
      <c r="I1726">
        <v>-166.82149999999999</v>
      </c>
      <c r="J1726" s="3" t="s">
        <v>921</v>
      </c>
      <c r="K1726">
        <v>2018</v>
      </c>
      <c r="L1726">
        <v>1.23003</v>
      </c>
      <c r="M1726">
        <v>8.0170000000000005E-2</v>
      </c>
      <c r="N1726">
        <v>6.7790000000000003E-2</v>
      </c>
      <c r="O1726">
        <v>0</v>
      </c>
      <c r="P1726">
        <v>3.5400000000000002E-3</v>
      </c>
      <c r="Q1726">
        <v>2.0000000000000002E-5</v>
      </c>
      <c r="R1726">
        <v>0</v>
      </c>
      <c r="S1726">
        <v>0</v>
      </c>
      <c r="T1726">
        <v>0</v>
      </c>
      <c r="U1726">
        <v>4.4200000000000003E-3</v>
      </c>
      <c r="V1726">
        <f t="shared" si="29"/>
        <v>1.3859700000000001</v>
      </c>
      <c r="W1726" t="str">
        <f t="shared" si="30"/>
        <v>gc_Polychaeta</v>
      </c>
      <c r="X1726">
        <v>18.559999999999999</v>
      </c>
      <c r="Y1726">
        <v>2.214</v>
      </c>
      <c r="Z1726">
        <v>0.95699999999999996</v>
      </c>
      <c r="AA1726">
        <v>0</v>
      </c>
      <c r="AB1726">
        <v>0.253</v>
      </c>
      <c r="AC1726">
        <v>2E-3</v>
      </c>
      <c r="AD1726">
        <v>0</v>
      </c>
      <c r="AE1726">
        <v>0</v>
      </c>
      <c r="AF1726">
        <v>0</v>
      </c>
      <c r="AG1726">
        <v>8.1000000000000003E-2</v>
      </c>
      <c r="AH1726">
        <f t="shared" si="31"/>
        <v>22.066999999999997</v>
      </c>
      <c r="AI1726" t="str">
        <f t="shared" si="32"/>
        <v>ww_Polychaeta</v>
      </c>
      <c r="AJ1726">
        <v>1000</v>
      </c>
      <c r="AK1726">
        <v>860</v>
      </c>
      <c r="AL1726">
        <v>280</v>
      </c>
      <c r="AM1726">
        <v>0</v>
      </c>
      <c r="AN1726">
        <v>270</v>
      </c>
      <c r="AO1726">
        <v>10</v>
      </c>
      <c r="AP1726">
        <v>0</v>
      </c>
      <c r="AQ1726">
        <v>0</v>
      </c>
      <c r="AR1726">
        <v>0</v>
      </c>
      <c r="AS1726">
        <v>110</v>
      </c>
      <c r="AT1726">
        <f t="shared" si="33"/>
        <v>2530</v>
      </c>
      <c r="AU1726" t="str">
        <f t="shared" si="34"/>
        <v>abd_Polychaeta</v>
      </c>
    </row>
    <row r="1727" spans="1:47" x14ac:dyDescent="0.2">
      <c r="A1727">
        <f t="shared" si="28"/>
        <v>2341</v>
      </c>
      <c r="B1727" t="s">
        <v>892</v>
      </c>
      <c r="C1727">
        <v>140</v>
      </c>
      <c r="D1727" t="s">
        <v>896</v>
      </c>
      <c r="G1727" t="str">
        <f t="shared" si="35"/>
        <v>HLY1801140LB7</v>
      </c>
      <c r="H1727">
        <v>69.683199999999999</v>
      </c>
      <c r="I1727">
        <v>-166.09280000000001</v>
      </c>
      <c r="J1727" s="3" t="s">
        <v>921</v>
      </c>
      <c r="K1727">
        <v>2018</v>
      </c>
      <c r="L1727">
        <v>1.2342299999999999</v>
      </c>
      <c r="M1727">
        <v>0.84660000000000002</v>
      </c>
      <c r="N1727">
        <v>7.9600000000000001E-3</v>
      </c>
      <c r="O1727">
        <v>0</v>
      </c>
      <c r="P1727">
        <v>2.1569999999999999E-2</v>
      </c>
      <c r="Q1727">
        <v>3.82E-3</v>
      </c>
      <c r="R1727">
        <v>0</v>
      </c>
      <c r="S1727">
        <v>0</v>
      </c>
      <c r="T1727">
        <v>3.3500000000000001E-3</v>
      </c>
      <c r="U1727">
        <v>1.856E-2</v>
      </c>
      <c r="V1727">
        <f t="shared" si="29"/>
        <v>2.1360900000000003</v>
      </c>
      <c r="W1727" t="str">
        <f t="shared" si="30"/>
        <v>gc_Polychaeta</v>
      </c>
      <c r="X1727">
        <v>19.753</v>
      </c>
      <c r="Y1727">
        <v>23.725999999999999</v>
      </c>
      <c r="Z1727">
        <v>0.109</v>
      </c>
      <c r="AA1727">
        <v>0</v>
      </c>
      <c r="AB1727">
        <v>1.5409999999999999</v>
      </c>
      <c r="AC1727">
        <v>0.47799999999999998</v>
      </c>
      <c r="AD1727">
        <v>0</v>
      </c>
      <c r="AE1727">
        <v>0</v>
      </c>
      <c r="AF1727">
        <v>3.5999999999999997E-2</v>
      </c>
      <c r="AG1727">
        <v>0.52800000000000002</v>
      </c>
      <c r="AH1727">
        <f t="shared" si="31"/>
        <v>46.170999999999999</v>
      </c>
      <c r="AI1727" t="str">
        <f t="shared" si="32"/>
        <v>ww_Bivalvia</v>
      </c>
      <c r="AJ1727">
        <v>550</v>
      </c>
      <c r="AK1727">
        <v>2070</v>
      </c>
      <c r="AL1727">
        <v>130</v>
      </c>
      <c r="AM1727">
        <v>0</v>
      </c>
      <c r="AN1727">
        <v>90</v>
      </c>
      <c r="AO1727">
        <v>60</v>
      </c>
      <c r="AP1727">
        <v>0</v>
      </c>
      <c r="AQ1727">
        <v>0</v>
      </c>
      <c r="AR1727">
        <v>10</v>
      </c>
      <c r="AS1727">
        <v>110</v>
      </c>
      <c r="AT1727">
        <f t="shared" si="33"/>
        <v>3020</v>
      </c>
      <c r="AU1727" t="str">
        <f t="shared" si="34"/>
        <v>abd_Bivalvia</v>
      </c>
    </row>
    <row r="1728" spans="1:47" x14ac:dyDescent="0.2">
      <c r="A1728">
        <f t="shared" si="28"/>
        <v>2342</v>
      </c>
      <c r="B1728" t="s">
        <v>892</v>
      </c>
      <c r="C1728">
        <v>142</v>
      </c>
      <c r="D1728" t="s">
        <v>477</v>
      </c>
      <c r="G1728" t="str">
        <f t="shared" si="35"/>
        <v>HLY1801142LB5</v>
      </c>
      <c r="H1728">
        <v>69.496200000000002</v>
      </c>
      <c r="I1728">
        <v>-165.3785</v>
      </c>
      <c r="J1728" s="3" t="s">
        <v>921</v>
      </c>
      <c r="K1728">
        <v>2018</v>
      </c>
      <c r="L1728">
        <v>1.35991</v>
      </c>
      <c r="M1728">
        <v>0.12884000000000001</v>
      </c>
      <c r="N1728">
        <v>4.3860000000000003E-2</v>
      </c>
      <c r="O1728">
        <v>0</v>
      </c>
      <c r="P1728">
        <v>3.6000000000000002E-4</v>
      </c>
      <c r="Q1728">
        <v>8.2199999999999999E-3</v>
      </c>
      <c r="R1728">
        <v>0</v>
      </c>
      <c r="S1728">
        <v>0</v>
      </c>
      <c r="T1728">
        <v>0</v>
      </c>
      <c r="U1728">
        <v>7.9409999999999994E-2</v>
      </c>
      <c r="V1728">
        <f t="shared" si="29"/>
        <v>1.6205999999999998</v>
      </c>
      <c r="W1728" t="str">
        <f t="shared" si="30"/>
        <v>gc_Polychaeta</v>
      </c>
      <c r="X1728">
        <v>20.565000000000001</v>
      </c>
      <c r="Y1728">
        <v>4.2649999999999997</v>
      </c>
      <c r="Z1728">
        <v>0.64500000000000002</v>
      </c>
      <c r="AA1728">
        <v>0</v>
      </c>
      <c r="AB1728">
        <v>2.5999999999999999E-2</v>
      </c>
      <c r="AC1728">
        <v>1.0269999999999999</v>
      </c>
      <c r="AD1728">
        <v>0</v>
      </c>
      <c r="AE1728">
        <v>0</v>
      </c>
      <c r="AF1728">
        <v>0</v>
      </c>
      <c r="AG1728">
        <v>1.9610000000000001</v>
      </c>
      <c r="AH1728">
        <f t="shared" si="31"/>
        <v>28.489000000000001</v>
      </c>
      <c r="AI1728" t="str">
        <f t="shared" si="32"/>
        <v>ww_Polychaeta</v>
      </c>
      <c r="AJ1728">
        <v>360</v>
      </c>
      <c r="AK1728">
        <v>330</v>
      </c>
      <c r="AL1728">
        <v>300</v>
      </c>
      <c r="AM1728">
        <v>0</v>
      </c>
      <c r="AN1728">
        <v>20</v>
      </c>
      <c r="AO1728">
        <v>160</v>
      </c>
      <c r="AP1728">
        <v>0</v>
      </c>
      <c r="AQ1728">
        <v>0</v>
      </c>
      <c r="AR1728">
        <v>0</v>
      </c>
      <c r="AS1728">
        <v>40</v>
      </c>
      <c r="AT1728">
        <f t="shared" si="33"/>
        <v>1210</v>
      </c>
      <c r="AU1728" t="str">
        <f t="shared" si="34"/>
        <v>abd_Polychaeta</v>
      </c>
    </row>
    <row r="1729" spans="1:47" x14ac:dyDescent="0.2">
      <c r="A1729">
        <v>2369</v>
      </c>
      <c r="B1729" t="s">
        <v>891</v>
      </c>
      <c r="C1729">
        <v>50</v>
      </c>
      <c r="D1729" t="s">
        <v>551</v>
      </c>
      <c r="G1729" t="str">
        <f>CONCATENATE(B1729,C1729,D1729)</f>
        <v>SWL201950SLIP1</v>
      </c>
      <c r="H1729">
        <v>62.010566670000003</v>
      </c>
      <c r="I1729">
        <v>-175.05961669999999</v>
      </c>
      <c r="J1729" s="3">
        <v>20190714</v>
      </c>
      <c r="K1729">
        <v>2019</v>
      </c>
      <c r="L1729">
        <v>5.5438000000000001</v>
      </c>
      <c r="M1729">
        <v>7.3172699999999997</v>
      </c>
      <c r="N1729">
        <v>0.20458000000000001</v>
      </c>
      <c r="O1729">
        <v>4.5500000000000002E-3</v>
      </c>
      <c r="P1729">
        <v>0.73873999999999995</v>
      </c>
      <c r="Q1729">
        <v>0</v>
      </c>
      <c r="R1729">
        <v>0</v>
      </c>
      <c r="S1729">
        <v>0</v>
      </c>
      <c r="T1729">
        <v>4.6960000000000002E-2</v>
      </c>
      <c r="U1729">
        <v>7.102E-2</v>
      </c>
      <c r="V1729">
        <v>13.926920000000001</v>
      </c>
      <c r="W1729" t="s">
        <v>10</v>
      </c>
      <c r="X1729">
        <v>80.347999999999999</v>
      </c>
      <c r="Y1729">
        <v>209.03299999999999</v>
      </c>
      <c r="Z1729">
        <v>2.5249999999999999</v>
      </c>
      <c r="AA1729">
        <v>0.10100000000000001</v>
      </c>
      <c r="AB1729">
        <v>52.767000000000003</v>
      </c>
      <c r="AC1729">
        <v>0</v>
      </c>
      <c r="AD1729">
        <v>0</v>
      </c>
      <c r="AE1729">
        <v>0</v>
      </c>
      <c r="AF1729">
        <v>0.505</v>
      </c>
      <c r="AG1729">
        <v>1.569</v>
      </c>
      <c r="AH1729">
        <v>346.84800000000001</v>
      </c>
      <c r="AI1729" t="s">
        <v>22</v>
      </c>
      <c r="AJ1729">
        <v>737.5</v>
      </c>
      <c r="AK1729">
        <v>387.5</v>
      </c>
      <c r="AL1729">
        <v>127.5</v>
      </c>
      <c r="AM1729">
        <v>22.5</v>
      </c>
      <c r="AN1729">
        <v>32.5</v>
      </c>
      <c r="AO1729">
        <v>0</v>
      </c>
      <c r="AP1729">
        <v>0</v>
      </c>
      <c r="AQ1729">
        <v>0</v>
      </c>
      <c r="AR1729">
        <v>12.5</v>
      </c>
      <c r="AS1729">
        <v>160</v>
      </c>
      <c r="AT1729">
        <v>1480</v>
      </c>
      <c r="AU1729" t="s">
        <v>33</v>
      </c>
    </row>
    <row r="1730" spans="1:47" x14ac:dyDescent="0.2">
      <c r="A1730">
        <v>2370</v>
      </c>
      <c r="B1730" t="s">
        <v>891</v>
      </c>
      <c r="C1730">
        <v>57</v>
      </c>
      <c r="D1730" t="s">
        <v>552</v>
      </c>
      <c r="G1730" t="str">
        <f t="shared" ref="G1730:G1769" si="36">CONCATENATE(B1730,C1730,D1730)</f>
        <v>SWL201957SLIP2</v>
      </c>
      <c r="H1730">
        <v>62.050383330000003</v>
      </c>
      <c r="I1730">
        <v>-175.20973330000001</v>
      </c>
      <c r="J1730" s="3">
        <v>20190714</v>
      </c>
      <c r="K1730">
        <v>2019</v>
      </c>
      <c r="L1730">
        <v>2.93452</v>
      </c>
      <c r="M1730">
        <v>12.30348</v>
      </c>
      <c r="N1730">
        <v>0.18587000000000001</v>
      </c>
      <c r="O1730">
        <v>9.5E-4</v>
      </c>
      <c r="P1730">
        <v>0.45367000000000002</v>
      </c>
      <c r="Q1730">
        <v>0</v>
      </c>
      <c r="R1730">
        <v>4.5629999999999997E-2</v>
      </c>
      <c r="S1730">
        <v>0</v>
      </c>
      <c r="T1730">
        <v>6.7000000000000002E-3</v>
      </c>
      <c r="U1730">
        <v>2.2200000000000001E-2</v>
      </c>
      <c r="V1730">
        <v>15.95302</v>
      </c>
      <c r="W1730" t="s">
        <v>10</v>
      </c>
      <c r="X1730">
        <v>41.997999999999998</v>
      </c>
      <c r="Y1730">
        <v>357.64800000000002</v>
      </c>
      <c r="Z1730">
        <v>2.2970000000000002</v>
      </c>
      <c r="AA1730">
        <v>2.1000000000000001E-2</v>
      </c>
      <c r="AB1730">
        <v>32.405000000000001</v>
      </c>
      <c r="AC1730">
        <v>0</v>
      </c>
      <c r="AD1730">
        <v>0.748</v>
      </c>
      <c r="AE1730">
        <v>0</v>
      </c>
      <c r="AF1730">
        <v>7.1999999999999995E-2</v>
      </c>
      <c r="AG1730">
        <v>0.48199999999999998</v>
      </c>
      <c r="AH1730">
        <v>435.67099999999999</v>
      </c>
      <c r="AI1730" t="s">
        <v>22</v>
      </c>
      <c r="AJ1730">
        <v>655</v>
      </c>
      <c r="AK1730">
        <v>392.5</v>
      </c>
      <c r="AL1730">
        <v>210</v>
      </c>
      <c r="AM1730">
        <v>12.5</v>
      </c>
      <c r="AN1730">
        <v>10</v>
      </c>
      <c r="AO1730">
        <v>0</v>
      </c>
      <c r="AP1730">
        <v>2.5</v>
      </c>
      <c r="AQ1730">
        <v>0</v>
      </c>
      <c r="AR1730">
        <v>7.5</v>
      </c>
      <c r="AS1730">
        <v>135</v>
      </c>
      <c r="AT1730">
        <v>1425</v>
      </c>
      <c r="AU1730" t="s">
        <v>33</v>
      </c>
    </row>
    <row r="1731" spans="1:47" x14ac:dyDescent="0.2">
      <c r="A1731">
        <v>2371</v>
      </c>
      <c r="B1731" t="s">
        <v>891</v>
      </c>
      <c r="C1731">
        <v>65</v>
      </c>
      <c r="D1731" t="s">
        <v>553</v>
      </c>
      <c r="G1731" t="str">
        <f t="shared" si="36"/>
        <v>SWL201965SLIP3</v>
      </c>
      <c r="H1731">
        <v>62.388616669999998</v>
      </c>
      <c r="I1731">
        <v>-174.56805</v>
      </c>
      <c r="J1731" s="3">
        <v>20190714</v>
      </c>
      <c r="K1731">
        <v>2019</v>
      </c>
      <c r="L1731">
        <v>4.8894299999999999</v>
      </c>
      <c r="M1731">
        <v>2.8527399999999998</v>
      </c>
      <c r="N1731">
        <v>1.2941800000000001</v>
      </c>
      <c r="O1731">
        <v>1.08E-3</v>
      </c>
      <c r="P1731">
        <v>0.37375000000000003</v>
      </c>
      <c r="Q1731">
        <v>0</v>
      </c>
      <c r="R1731">
        <v>0.14671000000000001</v>
      </c>
      <c r="S1731">
        <v>0</v>
      </c>
      <c r="T1731">
        <v>0.82826</v>
      </c>
      <c r="U1731">
        <v>0.14487</v>
      </c>
      <c r="V1731">
        <v>10.53102</v>
      </c>
      <c r="W1731" t="s">
        <v>9</v>
      </c>
      <c r="X1731">
        <v>71.950999999999993</v>
      </c>
      <c r="Y1731">
        <v>81.799000000000007</v>
      </c>
      <c r="Z1731">
        <v>15.877000000000001</v>
      </c>
      <c r="AA1731">
        <v>2.4E-2</v>
      </c>
      <c r="AB1731">
        <v>26.696000000000002</v>
      </c>
      <c r="AC1731">
        <v>0</v>
      </c>
      <c r="AD1731">
        <v>2.4049999999999998</v>
      </c>
      <c r="AE1731">
        <v>0</v>
      </c>
      <c r="AF1731">
        <v>8.9060000000000006</v>
      </c>
      <c r="AG1731">
        <v>3.45</v>
      </c>
      <c r="AH1731">
        <v>211.108</v>
      </c>
      <c r="AI1731" t="s">
        <v>22</v>
      </c>
      <c r="AJ1731">
        <v>1442.5</v>
      </c>
      <c r="AK1731">
        <v>462.5</v>
      </c>
      <c r="AL1731">
        <v>505</v>
      </c>
      <c r="AM1731">
        <v>7.5</v>
      </c>
      <c r="AN1731">
        <v>32.5</v>
      </c>
      <c r="AO1731">
        <v>0</v>
      </c>
      <c r="AP1731">
        <v>5</v>
      </c>
      <c r="AQ1731">
        <v>0</v>
      </c>
      <c r="AR1731">
        <v>32.5</v>
      </c>
      <c r="AS1731">
        <v>105</v>
      </c>
      <c r="AT1731">
        <v>2592.5</v>
      </c>
      <c r="AU1731" t="s">
        <v>33</v>
      </c>
    </row>
    <row r="1732" spans="1:47" x14ac:dyDescent="0.2">
      <c r="A1732">
        <v>2372</v>
      </c>
      <c r="B1732" t="s">
        <v>891</v>
      </c>
      <c r="C1732">
        <v>71</v>
      </c>
      <c r="D1732" t="s">
        <v>554</v>
      </c>
      <c r="G1732" t="str">
        <f t="shared" si="36"/>
        <v>SWL201971SLIP5</v>
      </c>
      <c r="H1732">
        <v>62.559033329999998</v>
      </c>
      <c r="I1732">
        <v>-173.55223330000001</v>
      </c>
      <c r="J1732" s="3">
        <v>20190714</v>
      </c>
      <c r="K1732">
        <v>2019</v>
      </c>
      <c r="L1732">
        <v>5.0875899999999996</v>
      </c>
      <c r="M1732">
        <v>5.63748</v>
      </c>
      <c r="N1732">
        <v>0.30185000000000001</v>
      </c>
      <c r="O1732">
        <v>0</v>
      </c>
      <c r="P1732">
        <v>0.11969</v>
      </c>
      <c r="Q1732">
        <v>0</v>
      </c>
      <c r="R1732">
        <v>0</v>
      </c>
      <c r="S1732">
        <v>0</v>
      </c>
      <c r="T1732">
        <v>0.46862999999999999</v>
      </c>
      <c r="U1732">
        <v>1.4200000000000001E-2</v>
      </c>
      <c r="V1732">
        <v>11.629440000000001</v>
      </c>
      <c r="W1732" t="s">
        <v>10</v>
      </c>
      <c r="X1732">
        <v>76.73</v>
      </c>
      <c r="Y1732">
        <v>151.566</v>
      </c>
      <c r="Z1732">
        <v>3.4860000000000002</v>
      </c>
      <c r="AA1732">
        <v>0</v>
      </c>
      <c r="AB1732">
        <v>8.5489999999999995</v>
      </c>
      <c r="AC1732">
        <v>0</v>
      </c>
      <c r="AD1732">
        <v>0</v>
      </c>
      <c r="AE1732">
        <v>0</v>
      </c>
      <c r="AF1732">
        <v>5.0389999999999997</v>
      </c>
      <c r="AG1732">
        <v>0.311</v>
      </c>
      <c r="AH1732">
        <v>245.68100000000001</v>
      </c>
      <c r="AI1732" t="s">
        <v>22</v>
      </c>
      <c r="AJ1732">
        <v>982.5</v>
      </c>
      <c r="AK1732">
        <v>340</v>
      </c>
      <c r="AL1732">
        <v>977.5</v>
      </c>
      <c r="AM1732">
        <v>0</v>
      </c>
      <c r="AN1732">
        <v>5</v>
      </c>
      <c r="AO1732">
        <v>0</v>
      </c>
      <c r="AP1732">
        <v>0</v>
      </c>
      <c r="AQ1732">
        <v>0</v>
      </c>
      <c r="AR1732">
        <v>25</v>
      </c>
      <c r="AS1732">
        <v>40</v>
      </c>
      <c r="AT1732">
        <v>2370</v>
      </c>
      <c r="AU1732" t="s">
        <v>33</v>
      </c>
    </row>
    <row r="1733" spans="1:47" x14ac:dyDescent="0.2">
      <c r="A1733">
        <v>2373</v>
      </c>
      <c r="B1733" t="s">
        <v>891</v>
      </c>
      <c r="C1733">
        <v>79</v>
      </c>
      <c r="D1733" t="s">
        <v>555</v>
      </c>
      <c r="G1733" t="str">
        <f t="shared" si="36"/>
        <v>SWL201979SLIP4</v>
      </c>
      <c r="H1733">
        <v>63.029600000000002</v>
      </c>
      <c r="I1733">
        <v>-173.4599667</v>
      </c>
      <c r="J1733" s="3">
        <v>20190714</v>
      </c>
      <c r="K1733">
        <v>2019</v>
      </c>
      <c r="L1733">
        <v>1.23949</v>
      </c>
      <c r="M1733">
        <v>2.12513</v>
      </c>
      <c r="N1733">
        <v>5.0650000000000001E-2</v>
      </c>
      <c r="O1733">
        <v>1.6495200000000001</v>
      </c>
      <c r="P1733">
        <v>0.24434</v>
      </c>
      <c r="Q1733">
        <v>0</v>
      </c>
      <c r="R1733">
        <v>0</v>
      </c>
      <c r="S1733">
        <v>0</v>
      </c>
      <c r="T1733">
        <v>1.7601199999999999</v>
      </c>
      <c r="U1733">
        <v>8.8870000000000005E-2</v>
      </c>
      <c r="V1733">
        <v>7.1581200000000003</v>
      </c>
      <c r="W1733" t="s">
        <v>10</v>
      </c>
      <c r="X1733">
        <v>23.515999999999998</v>
      </c>
      <c r="Y1733">
        <v>62.055999999999997</v>
      </c>
      <c r="Z1733">
        <v>0.65300000000000002</v>
      </c>
      <c r="AA1733">
        <v>36.655999999999999</v>
      </c>
      <c r="AB1733">
        <v>17.452999999999999</v>
      </c>
      <c r="AC1733">
        <v>0</v>
      </c>
      <c r="AD1733">
        <v>0</v>
      </c>
      <c r="AE1733">
        <v>0</v>
      </c>
      <c r="AF1733">
        <v>18.925999999999998</v>
      </c>
      <c r="AG1733">
        <v>1.5129999999999999</v>
      </c>
      <c r="AH1733">
        <v>160.773</v>
      </c>
      <c r="AI1733" t="s">
        <v>22</v>
      </c>
      <c r="AJ1733">
        <v>942.5</v>
      </c>
      <c r="AK1733">
        <v>825</v>
      </c>
      <c r="AL1733">
        <v>40</v>
      </c>
      <c r="AM1733">
        <v>2.5</v>
      </c>
      <c r="AN1733">
        <v>17.5</v>
      </c>
      <c r="AO1733">
        <v>0</v>
      </c>
      <c r="AP1733">
        <v>0</v>
      </c>
      <c r="AQ1733">
        <v>0</v>
      </c>
      <c r="AR1733">
        <v>30</v>
      </c>
      <c r="AS1733">
        <v>57.5</v>
      </c>
      <c r="AT1733">
        <v>1915</v>
      </c>
      <c r="AU1733" t="s">
        <v>33</v>
      </c>
    </row>
    <row r="1734" spans="1:47" x14ac:dyDescent="0.2">
      <c r="A1734">
        <v>2374</v>
      </c>
      <c r="B1734" t="s">
        <v>891</v>
      </c>
      <c r="C1734">
        <v>90</v>
      </c>
      <c r="D1734" t="s">
        <v>885</v>
      </c>
      <c r="G1734" t="str">
        <f t="shared" si="36"/>
        <v>SWL201990BCL6C</v>
      </c>
      <c r="H1734">
        <v>64.671999999999997</v>
      </c>
      <c r="I1734">
        <v>-170.643</v>
      </c>
      <c r="J1734" s="3">
        <v>20190715</v>
      </c>
      <c r="K1734">
        <v>2019</v>
      </c>
      <c r="L1734">
        <v>9.3065099999999994</v>
      </c>
      <c r="M1734">
        <v>30.11167</v>
      </c>
      <c r="N1734">
        <v>0.42565999999999998</v>
      </c>
      <c r="O1734">
        <v>2.3000000000000001E-4</v>
      </c>
      <c r="P1734">
        <v>4.0000000000000003E-5</v>
      </c>
      <c r="Q1734">
        <v>0</v>
      </c>
      <c r="R1734">
        <v>7.1919999999999998E-2</v>
      </c>
      <c r="S1734">
        <v>0</v>
      </c>
      <c r="T1734">
        <v>4.4359999999999997E-2</v>
      </c>
      <c r="U1734">
        <v>6.5030000000000004E-2</v>
      </c>
      <c r="V1734">
        <v>40.025419999999997</v>
      </c>
      <c r="W1734" t="s">
        <v>10</v>
      </c>
      <c r="X1734">
        <v>126.678</v>
      </c>
      <c r="Y1734">
        <v>849.55200000000002</v>
      </c>
      <c r="Z1734">
        <v>5.9989999999999997</v>
      </c>
      <c r="AA1734">
        <v>5.0000000000000001E-3</v>
      </c>
      <c r="AB1734">
        <v>3.0000000000000001E-3</v>
      </c>
      <c r="AC1734">
        <v>0</v>
      </c>
      <c r="AD1734">
        <v>1.179</v>
      </c>
      <c r="AE1734">
        <v>0</v>
      </c>
      <c r="AF1734">
        <v>0.47699999999999998</v>
      </c>
      <c r="AG1734">
        <v>3.835</v>
      </c>
      <c r="AH1734">
        <v>987.72799999999995</v>
      </c>
      <c r="AI1734" t="s">
        <v>22</v>
      </c>
      <c r="AJ1734">
        <v>1735</v>
      </c>
      <c r="AK1734">
        <v>1502.5</v>
      </c>
      <c r="AL1734">
        <v>2062.5</v>
      </c>
      <c r="AM1734">
        <v>2.5</v>
      </c>
      <c r="AN1734">
        <v>7.5</v>
      </c>
      <c r="AO1734">
        <v>0</v>
      </c>
      <c r="AP1734">
        <v>5</v>
      </c>
      <c r="AQ1734">
        <v>0</v>
      </c>
      <c r="AR1734">
        <v>2.5</v>
      </c>
      <c r="AS1734">
        <v>17.5</v>
      </c>
      <c r="AT1734">
        <v>5335</v>
      </c>
      <c r="AU1734" t="s">
        <v>35</v>
      </c>
    </row>
    <row r="1735" spans="1:47" x14ac:dyDescent="0.2">
      <c r="A1735">
        <v>2375</v>
      </c>
      <c r="B1735" t="s">
        <v>891</v>
      </c>
      <c r="C1735">
        <v>97</v>
      </c>
      <c r="D1735" t="s">
        <v>556</v>
      </c>
      <c r="G1735" t="str">
        <f t="shared" si="36"/>
        <v>SWL201997UTBS5</v>
      </c>
      <c r="H1735">
        <v>64.671000000000006</v>
      </c>
      <c r="I1735">
        <v>-169.92400000000001</v>
      </c>
      <c r="J1735" s="3">
        <v>20190715</v>
      </c>
      <c r="K1735">
        <v>2019</v>
      </c>
      <c r="L1735">
        <v>5.9801200000000003</v>
      </c>
      <c r="M1735">
        <v>18.349060000000001</v>
      </c>
      <c r="N1735">
        <v>0.44518999999999997</v>
      </c>
      <c r="O1735">
        <v>1.499E-2</v>
      </c>
      <c r="P1735">
        <v>0</v>
      </c>
      <c r="Q1735">
        <v>0</v>
      </c>
      <c r="R1735">
        <v>1.2199999999999999E-3</v>
      </c>
      <c r="S1735">
        <v>0.12396</v>
      </c>
      <c r="T1735">
        <v>1.1199999999999999E-3</v>
      </c>
      <c r="U1735">
        <v>1.014E-2</v>
      </c>
      <c r="V1735">
        <v>24.925799999999999</v>
      </c>
      <c r="W1735" t="s">
        <v>10</v>
      </c>
      <c r="X1735">
        <v>84.213999999999999</v>
      </c>
      <c r="Y1735">
        <v>522.048</v>
      </c>
      <c r="Z1735">
        <v>6.1779999999999999</v>
      </c>
      <c r="AA1735">
        <v>0.33300000000000002</v>
      </c>
      <c r="AB1735">
        <v>0</v>
      </c>
      <c r="AC1735">
        <v>0</v>
      </c>
      <c r="AD1735">
        <v>0.02</v>
      </c>
      <c r="AE1735">
        <v>8.8539999999999992</v>
      </c>
      <c r="AF1735">
        <v>1.2E-2</v>
      </c>
      <c r="AG1735">
        <v>0.95699999999999996</v>
      </c>
      <c r="AH1735">
        <v>622.61599999999999</v>
      </c>
      <c r="AI1735" t="s">
        <v>22</v>
      </c>
      <c r="AJ1735">
        <v>2147.5</v>
      </c>
      <c r="AK1735">
        <v>945</v>
      </c>
      <c r="AL1735">
        <v>2270</v>
      </c>
      <c r="AM1735">
        <v>7.5</v>
      </c>
      <c r="AN1735">
        <v>0</v>
      </c>
      <c r="AO1735">
        <v>2.5</v>
      </c>
      <c r="AP1735">
        <v>2.5</v>
      </c>
      <c r="AQ1735">
        <v>5</v>
      </c>
      <c r="AR1735">
        <v>2.5</v>
      </c>
      <c r="AS1735">
        <v>7.5</v>
      </c>
      <c r="AT1735">
        <v>5390</v>
      </c>
      <c r="AU1735" t="s">
        <v>35</v>
      </c>
    </row>
    <row r="1736" spans="1:47" x14ac:dyDescent="0.2">
      <c r="A1736">
        <v>2376</v>
      </c>
      <c r="B1736" t="s">
        <v>891</v>
      </c>
      <c r="C1736">
        <v>104</v>
      </c>
      <c r="D1736" t="s">
        <v>557</v>
      </c>
      <c r="G1736" t="str">
        <f t="shared" si="36"/>
        <v>SWL2019104UTBS2</v>
      </c>
      <c r="H1736">
        <v>64.680999999999997</v>
      </c>
      <c r="I1736">
        <v>-169.09700000000001</v>
      </c>
      <c r="J1736" s="3">
        <v>20190715</v>
      </c>
      <c r="K1736">
        <v>2019</v>
      </c>
      <c r="L1736">
        <v>4.1801399999999997</v>
      </c>
      <c r="M1736">
        <v>2.9561799999999998</v>
      </c>
      <c r="N1736">
        <v>8.2396100000000008</v>
      </c>
      <c r="O1736">
        <v>0</v>
      </c>
      <c r="P1736">
        <v>1.8000000000000001E-4</v>
      </c>
      <c r="Q1736">
        <v>0</v>
      </c>
      <c r="R1736">
        <v>0.82216</v>
      </c>
      <c r="S1736">
        <v>0.10349</v>
      </c>
      <c r="T1736">
        <v>1.6459999999999999E-2</v>
      </c>
      <c r="U1736">
        <v>6.1830800000000004</v>
      </c>
      <c r="V1736">
        <v>22.501300000000001</v>
      </c>
      <c r="W1736" t="s">
        <v>11</v>
      </c>
      <c r="X1736">
        <v>58.896999999999998</v>
      </c>
      <c r="Y1736">
        <v>186.41300000000001</v>
      </c>
      <c r="Z1736">
        <v>120.904</v>
      </c>
      <c r="AA1736">
        <v>0</v>
      </c>
      <c r="AB1736">
        <v>1.2999999999999999E-2</v>
      </c>
      <c r="AC1736">
        <v>0</v>
      </c>
      <c r="AD1736">
        <v>13.478</v>
      </c>
      <c r="AE1736">
        <v>7.3920000000000003</v>
      </c>
      <c r="AF1736">
        <v>0.17699999999999999</v>
      </c>
      <c r="AG1736">
        <v>294.50099999999998</v>
      </c>
      <c r="AH1736">
        <v>681.77499999999998</v>
      </c>
      <c r="AI1736" t="s">
        <v>30</v>
      </c>
      <c r="AJ1736">
        <v>1710</v>
      </c>
      <c r="AK1736">
        <v>777.5</v>
      </c>
      <c r="AL1736">
        <v>6145</v>
      </c>
      <c r="AM1736">
        <v>0</v>
      </c>
      <c r="AN1736">
        <v>5</v>
      </c>
      <c r="AO1736">
        <v>0</v>
      </c>
      <c r="AP1736">
        <v>2.5</v>
      </c>
      <c r="AQ1736">
        <v>5</v>
      </c>
      <c r="AR1736">
        <v>27.5</v>
      </c>
      <c r="AS1736">
        <v>10</v>
      </c>
      <c r="AT1736">
        <v>8682.5</v>
      </c>
      <c r="AU1736" t="s">
        <v>35</v>
      </c>
    </row>
    <row r="1737" spans="1:47" x14ac:dyDescent="0.2">
      <c r="A1737">
        <v>2377</v>
      </c>
      <c r="B1737" t="s">
        <v>891</v>
      </c>
      <c r="C1737">
        <v>111</v>
      </c>
      <c r="D1737" t="s">
        <v>886</v>
      </c>
      <c r="G1737" t="str">
        <f t="shared" si="36"/>
        <v>SWL2019111UTBS2A</v>
      </c>
      <c r="H1737">
        <v>64.668999999999997</v>
      </c>
      <c r="I1737">
        <v>-168.23400000000001</v>
      </c>
      <c r="J1737" s="3">
        <v>20190716</v>
      </c>
      <c r="K1737">
        <v>2019</v>
      </c>
      <c r="L1737">
        <v>1.2620199999999999</v>
      </c>
      <c r="M1737">
        <v>8.7669999999999998E-2</v>
      </c>
      <c r="N1737">
        <v>1.7139500000000001</v>
      </c>
      <c r="O1737">
        <v>0</v>
      </c>
      <c r="P1737">
        <v>0</v>
      </c>
      <c r="Q1737">
        <v>1.0000000000000001E-5</v>
      </c>
      <c r="R1737">
        <v>0</v>
      </c>
      <c r="S1737">
        <v>0</v>
      </c>
      <c r="T1737">
        <v>5.5999999999999995E-4</v>
      </c>
      <c r="U1737">
        <v>0.18326000000000001</v>
      </c>
      <c r="V1737">
        <v>3.2474699999999999</v>
      </c>
      <c r="W1737" t="s">
        <v>11</v>
      </c>
      <c r="X1737">
        <v>18.023</v>
      </c>
      <c r="Y1737">
        <v>4.4390000000000001</v>
      </c>
      <c r="Z1737">
        <v>25.177</v>
      </c>
      <c r="AA1737">
        <v>0</v>
      </c>
      <c r="AB1737">
        <v>0</v>
      </c>
      <c r="AC1737">
        <v>1E-3</v>
      </c>
      <c r="AD1737">
        <v>0</v>
      </c>
      <c r="AE1737">
        <v>0</v>
      </c>
      <c r="AF1737">
        <v>6.0000000000000001E-3</v>
      </c>
      <c r="AG1737">
        <v>8.7330000000000005</v>
      </c>
      <c r="AH1737">
        <v>56.378999999999998</v>
      </c>
      <c r="AI1737" t="s">
        <v>23</v>
      </c>
      <c r="AJ1737">
        <v>712.5</v>
      </c>
      <c r="AK1737">
        <v>1065</v>
      </c>
      <c r="AL1737">
        <v>1267.5</v>
      </c>
      <c r="AM1737">
        <v>0</v>
      </c>
      <c r="AN1737">
        <v>0</v>
      </c>
      <c r="AO1737">
        <v>2.5</v>
      </c>
      <c r="AP1737">
        <v>0</v>
      </c>
      <c r="AQ1737">
        <v>0</v>
      </c>
      <c r="AR1737">
        <v>0</v>
      </c>
      <c r="AS1737">
        <v>0</v>
      </c>
      <c r="AT1737">
        <v>3047.5</v>
      </c>
      <c r="AU1737" t="s">
        <v>35</v>
      </c>
    </row>
    <row r="1738" spans="1:47" x14ac:dyDescent="0.2">
      <c r="A1738">
        <v>2378</v>
      </c>
      <c r="B1738" t="s">
        <v>891</v>
      </c>
      <c r="C1738">
        <v>118</v>
      </c>
      <c r="D1738" t="s">
        <v>179</v>
      </c>
      <c r="G1738" t="str">
        <f t="shared" si="36"/>
        <v>SWL2019118UTBS1</v>
      </c>
      <c r="H1738">
        <v>64.989999999999995</v>
      </c>
      <c r="I1738">
        <v>-169.136</v>
      </c>
      <c r="J1738" s="3">
        <v>20190716</v>
      </c>
      <c r="K1738">
        <v>2019</v>
      </c>
      <c r="L1738">
        <v>0.64844000000000002</v>
      </c>
      <c r="M1738">
        <v>4.3625499999999997</v>
      </c>
      <c r="N1738">
        <v>4.6463200000000002</v>
      </c>
      <c r="O1738">
        <v>0</v>
      </c>
      <c r="P1738">
        <v>0</v>
      </c>
      <c r="Q1738">
        <v>3.0000000000000001E-5</v>
      </c>
      <c r="R1738">
        <v>0.34142</v>
      </c>
      <c r="S1738">
        <v>2.453E-2</v>
      </c>
      <c r="T1738">
        <v>4.5569999999999999E-2</v>
      </c>
      <c r="U1738">
        <v>6.4000000000000005E-4</v>
      </c>
      <c r="V1738">
        <v>10.0695</v>
      </c>
      <c r="W1738" t="s">
        <v>11</v>
      </c>
      <c r="X1738">
        <v>9.0459999999999994</v>
      </c>
      <c r="Y1738">
        <v>281.32</v>
      </c>
      <c r="Z1738">
        <v>67.921000000000006</v>
      </c>
      <c r="AA1738">
        <v>0</v>
      </c>
      <c r="AB1738">
        <v>0</v>
      </c>
      <c r="AC1738">
        <v>3.0000000000000001E-3</v>
      </c>
      <c r="AD1738">
        <v>5.5970000000000004</v>
      </c>
      <c r="AE1738">
        <v>1.752</v>
      </c>
      <c r="AF1738">
        <v>0.49</v>
      </c>
      <c r="AG1738">
        <v>3.5000000000000003E-2</v>
      </c>
      <c r="AH1738">
        <v>366.16399999999999</v>
      </c>
      <c r="AI1738" t="s">
        <v>22</v>
      </c>
      <c r="AJ1738">
        <v>507.5</v>
      </c>
      <c r="AK1738">
        <v>415</v>
      </c>
      <c r="AL1738">
        <v>5332.5</v>
      </c>
      <c r="AM1738">
        <v>0</v>
      </c>
      <c r="AN1738">
        <v>0</v>
      </c>
      <c r="AO1738">
        <v>2.5</v>
      </c>
      <c r="AP1738">
        <v>5</v>
      </c>
      <c r="AQ1738">
        <v>2.5</v>
      </c>
      <c r="AR1738">
        <v>42.5</v>
      </c>
      <c r="AS1738">
        <v>17.5</v>
      </c>
      <c r="AT1738">
        <v>6325</v>
      </c>
      <c r="AU1738" t="s">
        <v>35</v>
      </c>
    </row>
    <row r="1739" spans="1:47" x14ac:dyDescent="0.2">
      <c r="A1739">
        <v>2379</v>
      </c>
      <c r="B1739" t="s">
        <v>891</v>
      </c>
      <c r="C1739">
        <v>125</v>
      </c>
      <c r="D1739" t="s">
        <v>558</v>
      </c>
      <c r="G1739" t="str">
        <f t="shared" si="36"/>
        <v>SWL2019125UTBS4</v>
      </c>
      <c r="H1739">
        <v>64.960999999999999</v>
      </c>
      <c r="I1739">
        <v>-169.886</v>
      </c>
      <c r="J1739" s="3">
        <v>20190716</v>
      </c>
      <c r="K1739">
        <v>2019</v>
      </c>
      <c r="L1739">
        <v>2.8257599999999998</v>
      </c>
      <c r="M1739">
        <v>3.5556800000000002</v>
      </c>
      <c r="N1739">
        <v>0.4824</v>
      </c>
      <c r="O1739">
        <v>0</v>
      </c>
      <c r="P1739">
        <v>0</v>
      </c>
      <c r="Q1739">
        <v>0</v>
      </c>
      <c r="R1739">
        <v>0</v>
      </c>
      <c r="S1739">
        <v>0.49798999999999999</v>
      </c>
      <c r="T1739">
        <v>0</v>
      </c>
      <c r="U1739">
        <v>5.9999999999999995E-4</v>
      </c>
      <c r="V1739">
        <v>7.3624299999999998</v>
      </c>
      <c r="W1739" t="s">
        <v>10</v>
      </c>
      <c r="X1739">
        <v>39.401000000000003</v>
      </c>
      <c r="Y1739">
        <v>95.376000000000005</v>
      </c>
      <c r="Z1739">
        <v>7.0620000000000003</v>
      </c>
      <c r="AA1739">
        <v>0</v>
      </c>
      <c r="AB1739">
        <v>0</v>
      </c>
      <c r="AC1739">
        <v>0</v>
      </c>
      <c r="AD1739">
        <v>0</v>
      </c>
      <c r="AE1739">
        <v>12.146000000000001</v>
      </c>
      <c r="AF1739">
        <v>0</v>
      </c>
      <c r="AG1739">
        <v>0.06</v>
      </c>
      <c r="AH1739">
        <v>154.04499999999999</v>
      </c>
      <c r="AI1739" t="s">
        <v>22</v>
      </c>
      <c r="AJ1739">
        <v>805</v>
      </c>
      <c r="AK1739">
        <v>427.5</v>
      </c>
      <c r="AL1739">
        <v>210</v>
      </c>
      <c r="AM1739">
        <v>0</v>
      </c>
      <c r="AN1739">
        <v>0</v>
      </c>
      <c r="AO1739">
        <v>2.5</v>
      </c>
      <c r="AP1739">
        <v>0</v>
      </c>
      <c r="AQ1739">
        <v>2.5</v>
      </c>
      <c r="AR1739">
        <v>0</v>
      </c>
      <c r="AS1739">
        <v>5</v>
      </c>
      <c r="AT1739">
        <v>1452.5</v>
      </c>
      <c r="AU1739" t="s">
        <v>33</v>
      </c>
    </row>
    <row r="1740" spans="1:47" x14ac:dyDescent="0.2">
      <c r="A1740">
        <v>2380</v>
      </c>
      <c r="B1740" t="s">
        <v>891</v>
      </c>
      <c r="C1740">
        <v>136</v>
      </c>
      <c r="D1740" t="s">
        <v>559</v>
      </c>
      <c r="G1740" t="str">
        <f t="shared" si="36"/>
        <v>SWL2019136UTN1</v>
      </c>
      <c r="H1740">
        <v>66.708083329999994</v>
      </c>
      <c r="I1740">
        <v>-168.4002667</v>
      </c>
      <c r="J1740" s="3">
        <v>20190717</v>
      </c>
      <c r="K1740">
        <v>2019</v>
      </c>
      <c r="L1740">
        <v>1.99675</v>
      </c>
      <c r="M1740">
        <v>0.70896999999999999</v>
      </c>
      <c r="N1740">
        <v>5.4799999999999996E-3</v>
      </c>
      <c r="O1740">
        <v>0</v>
      </c>
      <c r="P1740">
        <v>8.9999999999999998E-4</v>
      </c>
      <c r="Q1740">
        <v>10.85</v>
      </c>
      <c r="R1740">
        <v>1.57203</v>
      </c>
      <c r="S1740">
        <v>0</v>
      </c>
      <c r="T1740">
        <v>2.7999999999999998E-4</v>
      </c>
      <c r="U1740">
        <v>0</v>
      </c>
      <c r="V1740">
        <v>15.134410000000001</v>
      </c>
      <c r="W1740" t="s">
        <v>14</v>
      </c>
      <c r="X1740">
        <v>39.097999999999999</v>
      </c>
      <c r="Y1740">
        <v>15.817</v>
      </c>
      <c r="Z1740">
        <v>7.3999999999999996E-2</v>
      </c>
      <c r="AA1740">
        <v>0</v>
      </c>
      <c r="AB1740">
        <v>6.4000000000000001E-2</v>
      </c>
      <c r="AC1740">
        <v>1356.25</v>
      </c>
      <c r="AD1740">
        <v>25.771000000000001</v>
      </c>
      <c r="AE1740">
        <v>0</v>
      </c>
      <c r="AF1740">
        <v>3.0000000000000001E-3</v>
      </c>
      <c r="AG1740">
        <v>0</v>
      </c>
      <c r="AH1740">
        <v>1437.077</v>
      </c>
      <c r="AI1740" t="s">
        <v>26</v>
      </c>
      <c r="AJ1740">
        <v>802.5</v>
      </c>
      <c r="AK1740">
        <v>282.5</v>
      </c>
      <c r="AL1740">
        <v>110</v>
      </c>
      <c r="AM1740">
        <v>0</v>
      </c>
      <c r="AN1740">
        <v>32.5</v>
      </c>
      <c r="AO1740">
        <v>107.5</v>
      </c>
      <c r="AP1740">
        <v>10</v>
      </c>
      <c r="AQ1740">
        <v>0</v>
      </c>
      <c r="AR1740">
        <v>5</v>
      </c>
      <c r="AS1740">
        <v>0</v>
      </c>
      <c r="AT1740">
        <v>1350</v>
      </c>
      <c r="AU1740" t="s">
        <v>33</v>
      </c>
    </row>
    <row r="1741" spans="1:47" x14ac:dyDescent="0.2">
      <c r="A1741">
        <v>2381</v>
      </c>
      <c r="B1741" t="s">
        <v>891</v>
      </c>
      <c r="C1741">
        <v>142</v>
      </c>
      <c r="D1741" t="s">
        <v>560</v>
      </c>
      <c r="G1741" t="str">
        <f t="shared" si="36"/>
        <v>SWL2019142UTN2</v>
      </c>
      <c r="H1741">
        <v>67.05</v>
      </c>
      <c r="I1741">
        <v>-168.727</v>
      </c>
      <c r="J1741" s="3">
        <v>20190717</v>
      </c>
      <c r="K1741">
        <v>2019</v>
      </c>
      <c r="L1741">
        <v>6.1178699999999999</v>
      </c>
      <c r="M1741">
        <v>69.370480000000001</v>
      </c>
      <c r="N1741">
        <v>3.2419999999999997E-2</v>
      </c>
      <c r="O1741">
        <v>0</v>
      </c>
      <c r="P1741">
        <v>0.25064999999999998</v>
      </c>
      <c r="Q1741">
        <v>0</v>
      </c>
      <c r="R1741">
        <v>0.58969000000000005</v>
      </c>
      <c r="S1741">
        <v>1.75326</v>
      </c>
      <c r="T1741">
        <v>2.7000000000000001E-3</v>
      </c>
      <c r="U1741">
        <v>1.8400000000000001E-3</v>
      </c>
      <c r="V1741">
        <v>78.11891</v>
      </c>
      <c r="W1741" t="s">
        <v>10</v>
      </c>
      <c r="X1741">
        <v>97.149000000000001</v>
      </c>
      <c r="Y1741">
        <v>2344.2869999999998</v>
      </c>
      <c r="Z1741">
        <v>0.44900000000000001</v>
      </c>
      <c r="AA1741">
        <v>0</v>
      </c>
      <c r="AB1741">
        <v>17.904</v>
      </c>
      <c r="AC1741">
        <v>0</v>
      </c>
      <c r="AD1741">
        <v>9.6669999999999998</v>
      </c>
      <c r="AE1741">
        <v>77.766999999999996</v>
      </c>
      <c r="AF1741">
        <v>2.9000000000000001E-2</v>
      </c>
      <c r="AG1741">
        <v>0.184</v>
      </c>
      <c r="AH1741">
        <v>2547.4360000000001</v>
      </c>
      <c r="AI1741" t="s">
        <v>22</v>
      </c>
      <c r="AJ1741">
        <v>957.5</v>
      </c>
      <c r="AK1741">
        <v>1615</v>
      </c>
      <c r="AL1741">
        <v>212.5</v>
      </c>
      <c r="AM1741">
        <v>0</v>
      </c>
      <c r="AN1741">
        <v>10</v>
      </c>
      <c r="AO1741">
        <v>0</v>
      </c>
      <c r="AP1741">
        <v>15</v>
      </c>
      <c r="AQ1741">
        <v>45</v>
      </c>
      <c r="AR1741">
        <v>2.5</v>
      </c>
      <c r="AS1741">
        <v>0</v>
      </c>
      <c r="AT1741">
        <v>2857.5</v>
      </c>
      <c r="AU1741" t="s">
        <v>34</v>
      </c>
    </row>
    <row r="1742" spans="1:47" x14ac:dyDescent="0.2">
      <c r="A1742">
        <v>2382</v>
      </c>
      <c r="B1742" t="s">
        <v>891</v>
      </c>
      <c r="C1742">
        <v>149</v>
      </c>
      <c r="D1742" t="s">
        <v>561</v>
      </c>
      <c r="G1742" t="str">
        <f t="shared" si="36"/>
        <v>SWL2019149UTN3</v>
      </c>
      <c r="H1742">
        <v>67.330699999999993</v>
      </c>
      <c r="I1742">
        <v>-168.90583330000001</v>
      </c>
      <c r="J1742" s="3">
        <v>20190717</v>
      </c>
      <c r="K1742">
        <v>2019</v>
      </c>
      <c r="L1742">
        <v>6.6369499999999997</v>
      </c>
      <c r="M1742">
        <v>138.57561000000001</v>
      </c>
      <c r="N1742">
        <v>0.23959</v>
      </c>
      <c r="O1742">
        <v>0</v>
      </c>
      <c r="P1742">
        <v>1.0710000000000001E-2</v>
      </c>
      <c r="Q1742">
        <v>0</v>
      </c>
      <c r="R1742">
        <v>1.1896199999999999</v>
      </c>
      <c r="S1742">
        <v>0</v>
      </c>
      <c r="T1742">
        <v>0</v>
      </c>
      <c r="U1742">
        <v>4.0400000000000002E-3</v>
      </c>
      <c r="V1742">
        <v>146.65652</v>
      </c>
      <c r="W1742" t="s">
        <v>10</v>
      </c>
      <c r="X1742">
        <v>99.346000000000004</v>
      </c>
      <c r="Y1742">
        <v>3957.8429999999998</v>
      </c>
      <c r="Z1742">
        <v>3.2829999999999999</v>
      </c>
      <c r="AA1742">
        <v>0</v>
      </c>
      <c r="AB1742">
        <v>0.76500000000000001</v>
      </c>
      <c r="AC1742">
        <v>0</v>
      </c>
      <c r="AD1742">
        <v>19.501999999999999</v>
      </c>
      <c r="AE1742">
        <v>0</v>
      </c>
      <c r="AF1742">
        <v>0</v>
      </c>
      <c r="AG1742">
        <v>0.40400000000000003</v>
      </c>
      <c r="AH1742">
        <v>4081.143</v>
      </c>
      <c r="AI1742" t="s">
        <v>22</v>
      </c>
      <c r="AJ1742">
        <v>1400</v>
      </c>
      <c r="AK1742">
        <v>2422.5</v>
      </c>
      <c r="AL1742">
        <v>1577.5</v>
      </c>
      <c r="AM1742">
        <v>0</v>
      </c>
      <c r="AN1742">
        <v>17.5</v>
      </c>
      <c r="AO1742">
        <v>0</v>
      </c>
      <c r="AP1742">
        <v>42.5</v>
      </c>
      <c r="AQ1742">
        <v>0</v>
      </c>
      <c r="AR1742">
        <v>0</v>
      </c>
      <c r="AS1742">
        <v>0</v>
      </c>
      <c r="AT1742">
        <v>5460</v>
      </c>
      <c r="AU1742" t="s">
        <v>34</v>
      </c>
    </row>
    <row r="1743" spans="1:47" x14ac:dyDescent="0.2">
      <c r="A1743">
        <v>2383</v>
      </c>
      <c r="B1743" t="s">
        <v>891</v>
      </c>
      <c r="C1743">
        <v>155</v>
      </c>
      <c r="D1743" t="s">
        <v>562</v>
      </c>
      <c r="G1743" t="str">
        <f t="shared" si="36"/>
        <v>SWL2019155UTN4</v>
      </c>
      <c r="H1743">
        <v>67.499883330000003</v>
      </c>
      <c r="I1743">
        <v>-168.90851670000001</v>
      </c>
      <c r="J1743" s="3">
        <v>20190717</v>
      </c>
      <c r="K1743">
        <v>2019</v>
      </c>
      <c r="L1743">
        <v>12.386150000000001</v>
      </c>
      <c r="M1743">
        <v>148.97368</v>
      </c>
      <c r="N1743">
        <v>5.6480000000000002E-2</v>
      </c>
      <c r="O1743">
        <v>0</v>
      </c>
      <c r="P1743">
        <v>1.1199999999999999E-3</v>
      </c>
      <c r="Q1743">
        <v>0</v>
      </c>
      <c r="R1743">
        <v>0.66093000000000002</v>
      </c>
      <c r="S1743">
        <v>0</v>
      </c>
      <c r="T1743">
        <v>0</v>
      </c>
      <c r="U1743">
        <v>1.4030000000000001E-2</v>
      </c>
      <c r="V1743">
        <v>162.09238999999999</v>
      </c>
      <c r="W1743" t="s">
        <v>10</v>
      </c>
      <c r="X1743">
        <v>180.30799999999999</v>
      </c>
      <c r="Y1743">
        <v>4312.915</v>
      </c>
      <c r="Z1743">
        <v>0.76700000000000002</v>
      </c>
      <c r="AA1743">
        <v>0</v>
      </c>
      <c r="AB1743">
        <v>0.08</v>
      </c>
      <c r="AC1743">
        <v>0</v>
      </c>
      <c r="AD1743">
        <v>10.835000000000001</v>
      </c>
      <c r="AE1743">
        <v>0</v>
      </c>
      <c r="AF1743">
        <v>0</v>
      </c>
      <c r="AG1743">
        <v>0.40300000000000002</v>
      </c>
      <c r="AH1743">
        <v>4505.308</v>
      </c>
      <c r="AI1743" t="s">
        <v>22</v>
      </c>
      <c r="AJ1743">
        <v>2157.5</v>
      </c>
      <c r="AK1743">
        <v>2760</v>
      </c>
      <c r="AL1743">
        <v>1000</v>
      </c>
      <c r="AM1743">
        <v>0</v>
      </c>
      <c r="AN1743">
        <v>17.5</v>
      </c>
      <c r="AO1743">
        <v>0</v>
      </c>
      <c r="AP1743">
        <v>57.5</v>
      </c>
      <c r="AQ1743">
        <v>0</v>
      </c>
      <c r="AR1743">
        <v>0</v>
      </c>
      <c r="AS1743">
        <v>7.5</v>
      </c>
      <c r="AT1743">
        <v>6000</v>
      </c>
      <c r="AU1743" t="s">
        <v>34</v>
      </c>
    </row>
    <row r="1744" spans="1:47" x14ac:dyDescent="0.2">
      <c r="A1744">
        <v>2384</v>
      </c>
      <c r="B1744" t="s">
        <v>891</v>
      </c>
      <c r="C1744">
        <v>162</v>
      </c>
      <c r="D1744" t="s">
        <v>563</v>
      </c>
      <c r="G1744" t="str">
        <f t="shared" si="36"/>
        <v>SWL2019162UTN6</v>
      </c>
      <c r="H1744">
        <v>67.73912833</v>
      </c>
      <c r="I1744">
        <v>-168.4409</v>
      </c>
      <c r="J1744" s="3">
        <v>20190717</v>
      </c>
      <c r="K1744">
        <v>2019</v>
      </c>
      <c r="L1744">
        <v>9.3305600000000002</v>
      </c>
      <c r="M1744">
        <v>31.012740000000001</v>
      </c>
      <c r="N1744">
        <v>0.28599000000000002</v>
      </c>
      <c r="O1744">
        <v>0</v>
      </c>
      <c r="P1744">
        <v>1.0580000000000001E-2</v>
      </c>
      <c r="Q1744">
        <v>0</v>
      </c>
      <c r="R1744">
        <v>2.4068800000000001</v>
      </c>
      <c r="S1744">
        <v>0</v>
      </c>
      <c r="T1744">
        <v>3.8969999999999998E-2</v>
      </c>
      <c r="U1744">
        <v>3.82918</v>
      </c>
      <c r="V1744">
        <v>46.914900000000003</v>
      </c>
      <c r="W1744" t="s">
        <v>10</v>
      </c>
      <c r="X1744">
        <v>138.96199999999999</v>
      </c>
      <c r="Y1744">
        <v>936.255</v>
      </c>
      <c r="Z1744">
        <v>3.476</v>
      </c>
      <c r="AA1744">
        <v>0</v>
      </c>
      <c r="AB1744">
        <v>0.75600000000000001</v>
      </c>
      <c r="AC1744">
        <v>0</v>
      </c>
      <c r="AD1744">
        <v>39.457000000000001</v>
      </c>
      <c r="AE1744">
        <v>0</v>
      </c>
      <c r="AF1744">
        <v>0.41899999999999998</v>
      </c>
      <c r="AG1744">
        <v>75.100999999999999</v>
      </c>
      <c r="AH1744">
        <v>1194.4259999999999</v>
      </c>
      <c r="AI1744" t="s">
        <v>22</v>
      </c>
      <c r="AJ1744">
        <v>1630</v>
      </c>
      <c r="AK1744">
        <v>647.5</v>
      </c>
      <c r="AL1744">
        <v>1177.5</v>
      </c>
      <c r="AM1744">
        <v>0</v>
      </c>
      <c r="AN1744">
        <v>65</v>
      </c>
      <c r="AO1744">
        <v>0</v>
      </c>
      <c r="AP1744">
        <v>87.5</v>
      </c>
      <c r="AQ1744">
        <v>0</v>
      </c>
      <c r="AR1744">
        <v>7.5</v>
      </c>
      <c r="AS1744">
        <v>102.5</v>
      </c>
      <c r="AT1744">
        <v>3717.5</v>
      </c>
      <c r="AU1744" t="s">
        <v>33</v>
      </c>
    </row>
    <row r="1745" spans="1:47" x14ac:dyDescent="0.2">
      <c r="A1745">
        <v>2385</v>
      </c>
      <c r="B1745" t="s">
        <v>891</v>
      </c>
      <c r="C1745">
        <v>169</v>
      </c>
      <c r="D1745" t="s">
        <v>389</v>
      </c>
      <c r="G1745" t="str">
        <f t="shared" si="36"/>
        <v>SWL2019169SEC8</v>
      </c>
      <c r="H1745">
        <v>68.299233330000007</v>
      </c>
      <c r="I1745">
        <v>-166.94030000000001</v>
      </c>
      <c r="J1745" s="3">
        <v>20190718</v>
      </c>
      <c r="K1745">
        <v>2019</v>
      </c>
      <c r="L1745">
        <v>3.62039</v>
      </c>
      <c r="M1745">
        <v>0.14534</v>
      </c>
      <c r="N1745">
        <v>4.0439999999999997E-2</v>
      </c>
      <c r="O1745">
        <v>9.3600000000000003E-3</v>
      </c>
      <c r="P1745">
        <v>6.7000000000000002E-4</v>
      </c>
      <c r="Q1745">
        <v>0</v>
      </c>
      <c r="R1745">
        <v>0</v>
      </c>
      <c r="S1745">
        <v>0</v>
      </c>
      <c r="T1745">
        <v>1.5900000000000001E-2</v>
      </c>
      <c r="U1745">
        <v>7.4000000000000003E-3</v>
      </c>
      <c r="V1745">
        <v>3.8395000000000001</v>
      </c>
      <c r="W1745" t="s">
        <v>9</v>
      </c>
      <c r="X1745">
        <v>50.195</v>
      </c>
      <c r="Y1745">
        <v>4.9249999999999998</v>
      </c>
      <c r="Z1745">
        <v>0.55000000000000004</v>
      </c>
      <c r="AA1745">
        <v>0.20799999999999999</v>
      </c>
      <c r="AB1745">
        <v>4.8000000000000001E-2</v>
      </c>
      <c r="AC1745">
        <v>0</v>
      </c>
      <c r="AD1745">
        <v>0</v>
      </c>
      <c r="AE1745">
        <v>0</v>
      </c>
      <c r="AF1745">
        <v>0.17100000000000001</v>
      </c>
      <c r="AG1745">
        <v>0.121</v>
      </c>
      <c r="AH1745">
        <v>56.218000000000004</v>
      </c>
      <c r="AI1745" t="s">
        <v>21</v>
      </c>
      <c r="AJ1745">
        <v>8110</v>
      </c>
      <c r="AK1745">
        <v>110</v>
      </c>
      <c r="AL1745">
        <v>200</v>
      </c>
      <c r="AM1745">
        <v>10</v>
      </c>
      <c r="AN1745">
        <v>70</v>
      </c>
      <c r="AO1745">
        <v>0</v>
      </c>
      <c r="AP1745">
        <v>0</v>
      </c>
      <c r="AQ1745">
        <v>0</v>
      </c>
      <c r="AR1745">
        <v>90</v>
      </c>
      <c r="AS1745">
        <v>30</v>
      </c>
      <c r="AT1745">
        <v>8620</v>
      </c>
      <c r="AU1745" t="s">
        <v>33</v>
      </c>
    </row>
    <row r="1746" spans="1:47" x14ac:dyDescent="0.2">
      <c r="A1746">
        <v>2386</v>
      </c>
      <c r="B1746" t="s">
        <v>891</v>
      </c>
      <c r="C1746">
        <v>175</v>
      </c>
      <c r="D1746" t="s">
        <v>387</v>
      </c>
      <c r="G1746" t="str">
        <f t="shared" si="36"/>
        <v>SWL2019175SEC7</v>
      </c>
      <c r="H1746">
        <v>68.243266669999997</v>
      </c>
      <c r="I1746">
        <v>-167.1198</v>
      </c>
      <c r="J1746" s="3">
        <v>20190718</v>
      </c>
      <c r="K1746">
        <v>2019</v>
      </c>
      <c r="L1746">
        <v>1.0984400000000001</v>
      </c>
      <c r="M1746">
        <v>0.88048999999999999</v>
      </c>
      <c r="N1746">
        <v>0.22786999999999999</v>
      </c>
      <c r="O1746">
        <v>2.0512000000000001</v>
      </c>
      <c r="P1746">
        <v>7.1690000000000004E-2</v>
      </c>
      <c r="Q1746">
        <v>0</v>
      </c>
      <c r="R1746">
        <v>0</v>
      </c>
      <c r="S1746">
        <v>0.29569000000000001</v>
      </c>
      <c r="T1746">
        <v>7.3499999999999998E-3</v>
      </c>
      <c r="U1746">
        <v>0.10828</v>
      </c>
      <c r="V1746">
        <v>4.7410100000000002</v>
      </c>
      <c r="W1746" t="s">
        <v>12</v>
      </c>
      <c r="X1746">
        <v>14.353999999999999</v>
      </c>
      <c r="Y1746">
        <v>42.212000000000003</v>
      </c>
      <c r="Z1746">
        <v>3.0920000000000001</v>
      </c>
      <c r="AA1746">
        <v>45.582000000000001</v>
      </c>
      <c r="AB1746">
        <v>5.1210000000000004</v>
      </c>
      <c r="AC1746">
        <v>0</v>
      </c>
      <c r="AD1746">
        <v>0</v>
      </c>
      <c r="AE1746">
        <v>7.2119999999999997</v>
      </c>
      <c r="AF1746">
        <v>7.9000000000000001E-2</v>
      </c>
      <c r="AG1746">
        <v>9.8339999999999996</v>
      </c>
      <c r="AH1746">
        <v>127.486</v>
      </c>
      <c r="AI1746" t="s">
        <v>24</v>
      </c>
      <c r="AJ1746">
        <v>1870</v>
      </c>
      <c r="AK1746">
        <v>140</v>
      </c>
      <c r="AL1746">
        <v>220</v>
      </c>
      <c r="AM1746">
        <v>180</v>
      </c>
      <c r="AN1746">
        <v>530</v>
      </c>
      <c r="AO1746">
        <v>0</v>
      </c>
      <c r="AP1746">
        <v>0</v>
      </c>
      <c r="AQ1746">
        <v>30</v>
      </c>
      <c r="AR1746">
        <v>40</v>
      </c>
      <c r="AS1746">
        <v>30</v>
      </c>
      <c r="AT1746">
        <v>3040</v>
      </c>
      <c r="AU1746" t="s">
        <v>33</v>
      </c>
    </row>
    <row r="1747" spans="1:47" x14ac:dyDescent="0.2">
      <c r="A1747">
        <v>2387</v>
      </c>
      <c r="B1747" t="s">
        <v>891</v>
      </c>
      <c r="C1747">
        <v>181</v>
      </c>
      <c r="D1747" t="s">
        <v>388</v>
      </c>
      <c r="G1747" t="str">
        <f t="shared" si="36"/>
        <v>SWL2019181SEC6</v>
      </c>
      <c r="H1747">
        <v>68.184483330000006</v>
      </c>
      <c r="I1747">
        <v>-167.30826669999999</v>
      </c>
      <c r="J1747" s="3">
        <v>20190718</v>
      </c>
      <c r="K1747">
        <v>2019</v>
      </c>
      <c r="L1747">
        <v>11.858829999999999</v>
      </c>
      <c r="M1747">
        <v>0.42869000000000002</v>
      </c>
      <c r="N1747">
        <v>2.0738699999999999</v>
      </c>
      <c r="O1747">
        <v>3.7332000000000001</v>
      </c>
      <c r="P1747">
        <v>0.12801999999999999</v>
      </c>
      <c r="Q1747">
        <v>0</v>
      </c>
      <c r="R1747">
        <v>0</v>
      </c>
      <c r="S1747">
        <v>0.106</v>
      </c>
      <c r="T1747">
        <v>0</v>
      </c>
      <c r="U1747">
        <v>0.18181</v>
      </c>
      <c r="V1747">
        <v>18.51042</v>
      </c>
      <c r="W1747" t="s">
        <v>9</v>
      </c>
      <c r="X1747">
        <v>162.02799999999999</v>
      </c>
      <c r="Y1747">
        <v>11.286</v>
      </c>
      <c r="Z1747">
        <v>28.37</v>
      </c>
      <c r="AA1747">
        <v>82.96</v>
      </c>
      <c r="AB1747">
        <v>9.1440000000000001</v>
      </c>
      <c r="AC1747">
        <v>0</v>
      </c>
      <c r="AD1747">
        <v>0</v>
      </c>
      <c r="AE1747">
        <v>5.8890000000000002</v>
      </c>
      <c r="AF1747">
        <v>0</v>
      </c>
      <c r="AG1747">
        <v>6.9359999999999999</v>
      </c>
      <c r="AH1747">
        <v>306.613</v>
      </c>
      <c r="AI1747" t="s">
        <v>21</v>
      </c>
      <c r="AJ1747">
        <v>1750</v>
      </c>
      <c r="AK1747">
        <v>190</v>
      </c>
      <c r="AL1747">
        <v>1930</v>
      </c>
      <c r="AM1747">
        <v>120</v>
      </c>
      <c r="AN1747">
        <v>550</v>
      </c>
      <c r="AO1747">
        <v>0</v>
      </c>
      <c r="AP1747">
        <v>0</v>
      </c>
      <c r="AQ1747">
        <v>10</v>
      </c>
      <c r="AR1747">
        <v>0</v>
      </c>
      <c r="AS1747">
        <v>60</v>
      </c>
      <c r="AT1747">
        <v>4610</v>
      </c>
      <c r="AU1747" t="s">
        <v>35</v>
      </c>
    </row>
    <row r="1748" spans="1:47" x14ac:dyDescent="0.2">
      <c r="A1748">
        <v>2388</v>
      </c>
      <c r="B1748" t="s">
        <v>891</v>
      </c>
      <c r="C1748">
        <v>187</v>
      </c>
      <c r="D1748" t="s">
        <v>240</v>
      </c>
      <c r="G1748" t="str">
        <f t="shared" si="36"/>
        <v>SWL2019187SEC5</v>
      </c>
      <c r="H1748">
        <v>68.129800000000003</v>
      </c>
      <c r="I1748">
        <v>-167.49781669999999</v>
      </c>
      <c r="J1748" s="3">
        <v>20190718</v>
      </c>
      <c r="K1748">
        <v>2019</v>
      </c>
      <c r="L1748">
        <v>9.1036099999999998</v>
      </c>
      <c r="M1748">
        <v>2.2322000000000002</v>
      </c>
      <c r="N1748">
        <v>1.0313300000000001</v>
      </c>
      <c r="O1748">
        <v>0.33624999999999999</v>
      </c>
      <c r="P1748">
        <v>4.7999999999999996E-3</v>
      </c>
      <c r="Q1748">
        <v>0</v>
      </c>
      <c r="R1748">
        <v>1.1900000000000001E-2</v>
      </c>
      <c r="S1748">
        <v>4.8399999999999997E-3</v>
      </c>
      <c r="T1748">
        <v>2.8369999999999999E-2</v>
      </c>
      <c r="U1748">
        <v>2.2399999999999998E-3</v>
      </c>
      <c r="V1748">
        <v>12.75554</v>
      </c>
      <c r="W1748" t="s">
        <v>9</v>
      </c>
      <c r="X1748">
        <v>132.613</v>
      </c>
      <c r="Y1748">
        <v>49.74</v>
      </c>
      <c r="Z1748">
        <v>14.045</v>
      </c>
      <c r="AA1748">
        <v>7.4720000000000004</v>
      </c>
      <c r="AB1748">
        <v>0.34300000000000003</v>
      </c>
      <c r="AC1748">
        <v>0</v>
      </c>
      <c r="AD1748">
        <v>0.19500000000000001</v>
      </c>
      <c r="AE1748">
        <v>0.34599999999999997</v>
      </c>
      <c r="AF1748">
        <v>0.30499999999999999</v>
      </c>
      <c r="AG1748">
        <v>0.224</v>
      </c>
      <c r="AH1748">
        <v>205.28299999999999</v>
      </c>
      <c r="AI1748" t="s">
        <v>21</v>
      </c>
      <c r="AJ1748">
        <v>1390</v>
      </c>
      <c r="AK1748">
        <v>140</v>
      </c>
      <c r="AL1748">
        <v>1240</v>
      </c>
      <c r="AM1748">
        <v>160</v>
      </c>
      <c r="AN1748">
        <v>90</v>
      </c>
      <c r="AO1748">
        <v>0</v>
      </c>
      <c r="AP1748">
        <v>10</v>
      </c>
      <c r="AQ1748">
        <v>10</v>
      </c>
      <c r="AR1748">
        <v>20</v>
      </c>
      <c r="AS1748">
        <v>0</v>
      </c>
      <c r="AT1748">
        <v>3060</v>
      </c>
      <c r="AU1748" t="s">
        <v>33</v>
      </c>
    </row>
    <row r="1749" spans="1:47" x14ac:dyDescent="0.2">
      <c r="A1749">
        <v>2389</v>
      </c>
      <c r="B1749" t="s">
        <v>891</v>
      </c>
      <c r="C1749">
        <v>193</v>
      </c>
      <c r="D1749" t="s">
        <v>233</v>
      </c>
      <c r="G1749" t="str">
        <f t="shared" si="36"/>
        <v>SWL2019193SEC4</v>
      </c>
      <c r="H1749">
        <v>68.012083329999996</v>
      </c>
      <c r="I1749">
        <v>-167.85953330000001</v>
      </c>
      <c r="J1749" s="3">
        <v>20190718</v>
      </c>
      <c r="K1749">
        <v>2019</v>
      </c>
      <c r="L1749">
        <v>5.8530499999999996</v>
      </c>
      <c r="M1749">
        <v>3.3371</v>
      </c>
      <c r="N1749">
        <v>0.19567999999999999</v>
      </c>
      <c r="O1749">
        <v>0</v>
      </c>
      <c r="P1749">
        <v>7.7999999999999999E-4</v>
      </c>
      <c r="Q1749">
        <v>0.24499000000000001</v>
      </c>
      <c r="R1749">
        <v>0</v>
      </c>
      <c r="S1749">
        <v>0</v>
      </c>
      <c r="T1749">
        <v>0</v>
      </c>
      <c r="U1749">
        <v>1.6500000000000001E-2</v>
      </c>
      <c r="V1749">
        <v>9.6480999999999995</v>
      </c>
      <c r="W1749" t="s">
        <v>9</v>
      </c>
      <c r="X1749">
        <v>85.843000000000004</v>
      </c>
      <c r="Y1749">
        <v>94.507000000000005</v>
      </c>
      <c r="Z1749">
        <v>2.68</v>
      </c>
      <c r="AA1749">
        <v>0</v>
      </c>
      <c r="AB1749">
        <v>5.6000000000000001E-2</v>
      </c>
      <c r="AC1749">
        <v>30.623999999999999</v>
      </c>
      <c r="AD1749">
        <v>0</v>
      </c>
      <c r="AE1749">
        <v>0</v>
      </c>
      <c r="AF1749">
        <v>0</v>
      </c>
      <c r="AG1749">
        <v>0.745</v>
      </c>
      <c r="AH1749">
        <v>214.45500000000001</v>
      </c>
      <c r="AI1749" t="s">
        <v>22</v>
      </c>
      <c r="AJ1749">
        <v>3355</v>
      </c>
      <c r="AK1749">
        <v>825</v>
      </c>
      <c r="AL1749">
        <v>720</v>
      </c>
      <c r="AM1749">
        <v>0</v>
      </c>
      <c r="AN1749">
        <v>25</v>
      </c>
      <c r="AO1749">
        <v>1155</v>
      </c>
      <c r="AP1749">
        <v>0</v>
      </c>
      <c r="AQ1749">
        <v>0</v>
      </c>
      <c r="AR1749">
        <v>0</v>
      </c>
      <c r="AS1749">
        <v>125</v>
      </c>
      <c r="AT1749">
        <v>6205</v>
      </c>
      <c r="AU1749" t="s">
        <v>33</v>
      </c>
    </row>
    <row r="1750" spans="1:47" x14ac:dyDescent="0.2">
      <c r="A1750">
        <v>2390</v>
      </c>
      <c r="B1750" t="s">
        <v>891</v>
      </c>
      <c r="C1750">
        <v>199</v>
      </c>
      <c r="D1750" t="s">
        <v>254</v>
      </c>
      <c r="G1750" t="str">
        <f t="shared" si="36"/>
        <v>SWL2019199SEC3</v>
      </c>
      <c r="H1750">
        <v>67.89618333</v>
      </c>
      <c r="I1750">
        <v>-168.2331667</v>
      </c>
      <c r="J1750" s="3">
        <v>20190718</v>
      </c>
      <c r="K1750">
        <v>2019</v>
      </c>
      <c r="L1750">
        <v>9.70655</v>
      </c>
      <c r="M1750">
        <v>21.923739999999999</v>
      </c>
      <c r="N1750">
        <v>1.3221499999999999</v>
      </c>
      <c r="O1750">
        <v>0</v>
      </c>
      <c r="P1750">
        <v>0.2382</v>
      </c>
      <c r="Q1750">
        <v>0</v>
      </c>
      <c r="R1750">
        <v>3.7720600000000002</v>
      </c>
      <c r="S1750">
        <v>4.1099999999999998E-2</v>
      </c>
      <c r="T1750">
        <v>0.78054999999999997</v>
      </c>
      <c r="U1750">
        <v>7.1870000000000003E-2</v>
      </c>
      <c r="V1750">
        <v>37.85622</v>
      </c>
      <c r="W1750" t="s">
        <v>10</v>
      </c>
      <c r="X1750">
        <v>182.41499999999999</v>
      </c>
      <c r="Y1750">
        <v>626.36599999999999</v>
      </c>
      <c r="Z1750">
        <v>14.984999999999999</v>
      </c>
      <c r="AA1750">
        <v>0</v>
      </c>
      <c r="AB1750">
        <v>17.013999999999999</v>
      </c>
      <c r="AC1750">
        <v>0</v>
      </c>
      <c r="AD1750">
        <v>61.837000000000003</v>
      </c>
      <c r="AE1750">
        <v>2.9359999999999999</v>
      </c>
      <c r="AF1750">
        <v>8.3930000000000007</v>
      </c>
      <c r="AG1750">
        <v>1.4339999999999999</v>
      </c>
      <c r="AH1750">
        <v>915.38</v>
      </c>
      <c r="AI1750" t="s">
        <v>22</v>
      </c>
      <c r="AJ1750">
        <v>2365</v>
      </c>
      <c r="AK1750">
        <v>700</v>
      </c>
      <c r="AL1750">
        <v>1940</v>
      </c>
      <c r="AM1750">
        <v>0</v>
      </c>
      <c r="AN1750">
        <v>45</v>
      </c>
      <c r="AO1750">
        <v>0</v>
      </c>
      <c r="AP1750">
        <v>67.5</v>
      </c>
      <c r="AQ1750">
        <v>2.5</v>
      </c>
      <c r="AR1750">
        <v>7.5</v>
      </c>
      <c r="AS1750">
        <v>10</v>
      </c>
      <c r="AT1750">
        <v>5137.5</v>
      </c>
      <c r="AU1750" t="s">
        <v>33</v>
      </c>
    </row>
    <row r="1751" spans="1:47" x14ac:dyDescent="0.2">
      <c r="A1751">
        <v>2391</v>
      </c>
      <c r="B1751" t="s">
        <v>891</v>
      </c>
      <c r="C1751">
        <v>206</v>
      </c>
      <c r="D1751" t="s">
        <v>258</v>
      </c>
      <c r="G1751" t="str">
        <f t="shared" si="36"/>
        <v>SWL2019206SEC2</v>
      </c>
      <c r="H1751">
        <v>67.782383330000002</v>
      </c>
      <c r="I1751">
        <v>-168.59951670000001</v>
      </c>
      <c r="J1751" s="3">
        <v>20190718</v>
      </c>
      <c r="K1751">
        <v>2019</v>
      </c>
      <c r="L1751">
        <v>8.2867800000000003</v>
      </c>
      <c r="M1751">
        <v>40.84836</v>
      </c>
      <c r="N1751">
        <v>0.95881000000000005</v>
      </c>
      <c r="O1751">
        <v>2.7E-4</v>
      </c>
      <c r="P1751">
        <v>2.14E-3</v>
      </c>
      <c r="Q1751">
        <v>0</v>
      </c>
      <c r="R1751">
        <v>1.20841</v>
      </c>
      <c r="S1751">
        <v>0</v>
      </c>
      <c r="T1751">
        <v>5.0779999999999999E-2</v>
      </c>
      <c r="U1751">
        <v>0.1381</v>
      </c>
      <c r="V1751">
        <v>51.493650000000002</v>
      </c>
      <c r="W1751" t="s">
        <v>10</v>
      </c>
      <c r="X1751">
        <v>119.336</v>
      </c>
      <c r="Y1751">
        <v>1105.768</v>
      </c>
      <c r="Z1751">
        <v>11.669</v>
      </c>
      <c r="AA1751">
        <v>6.0000000000000001E-3</v>
      </c>
      <c r="AB1751">
        <v>0.153</v>
      </c>
      <c r="AC1751">
        <v>0</v>
      </c>
      <c r="AD1751">
        <v>19.809999999999999</v>
      </c>
      <c r="AE1751">
        <v>0</v>
      </c>
      <c r="AF1751">
        <v>0.54600000000000004</v>
      </c>
      <c r="AG1751">
        <v>2.5459999999999998</v>
      </c>
      <c r="AH1751">
        <v>1259.8340000000001</v>
      </c>
      <c r="AI1751" t="s">
        <v>22</v>
      </c>
      <c r="AJ1751">
        <v>1547.5</v>
      </c>
      <c r="AK1751">
        <v>442.5</v>
      </c>
      <c r="AL1751">
        <v>1682.5</v>
      </c>
      <c r="AM1751">
        <v>2.5</v>
      </c>
      <c r="AN1751">
        <v>80</v>
      </c>
      <c r="AO1751">
        <v>0</v>
      </c>
      <c r="AP1751">
        <v>75</v>
      </c>
      <c r="AQ1751">
        <v>0</v>
      </c>
      <c r="AR1751">
        <v>2.5</v>
      </c>
      <c r="AS1751">
        <v>1165</v>
      </c>
      <c r="AT1751">
        <v>4997.5</v>
      </c>
      <c r="AU1751" t="s">
        <v>35</v>
      </c>
    </row>
    <row r="1752" spans="1:47" x14ac:dyDescent="0.2">
      <c r="A1752">
        <v>2392</v>
      </c>
      <c r="B1752" t="s">
        <v>891</v>
      </c>
      <c r="C1752">
        <v>213</v>
      </c>
      <c r="D1752" t="s">
        <v>306</v>
      </c>
      <c r="G1752" t="str">
        <f t="shared" si="36"/>
        <v>SWL2019213UTN5=SEC1</v>
      </c>
      <c r="H1752">
        <v>67.670699999999997</v>
      </c>
      <c r="I1752">
        <v>-168.92751670000001</v>
      </c>
      <c r="J1752" s="3">
        <v>20190719</v>
      </c>
      <c r="K1752">
        <v>2019</v>
      </c>
      <c r="L1752">
        <v>4.5360399999999998</v>
      </c>
      <c r="M1752">
        <v>121.37054000000001</v>
      </c>
      <c r="N1752">
        <v>0.33621000000000001</v>
      </c>
      <c r="O1752">
        <v>3.3300000000000001E-3</v>
      </c>
      <c r="P1752">
        <v>7.4099999999999999E-3</v>
      </c>
      <c r="Q1752">
        <v>0</v>
      </c>
      <c r="R1752">
        <v>2.1671499999999999</v>
      </c>
      <c r="S1752">
        <v>0</v>
      </c>
      <c r="T1752">
        <v>1.0880000000000001E-2</v>
      </c>
      <c r="U1752">
        <v>2.2000000000000001E-4</v>
      </c>
      <c r="V1752">
        <v>128.43178</v>
      </c>
      <c r="W1752" t="s">
        <v>10</v>
      </c>
      <c r="X1752">
        <v>66.372</v>
      </c>
      <c r="Y1752">
        <v>3669.232</v>
      </c>
      <c r="Z1752">
        <v>4.7329999999999997</v>
      </c>
      <c r="AA1752">
        <v>7.3999999999999996E-2</v>
      </c>
      <c r="AB1752">
        <v>0.52900000000000003</v>
      </c>
      <c r="AC1752">
        <v>0</v>
      </c>
      <c r="AD1752">
        <v>35.527000000000001</v>
      </c>
      <c r="AE1752">
        <v>0</v>
      </c>
      <c r="AF1752">
        <v>0.11700000000000001</v>
      </c>
      <c r="AG1752">
        <v>3.0000000000000001E-3</v>
      </c>
      <c r="AH1752">
        <v>3776.587</v>
      </c>
      <c r="AI1752" t="s">
        <v>22</v>
      </c>
      <c r="AJ1752">
        <v>1372.5</v>
      </c>
      <c r="AK1752">
        <v>965</v>
      </c>
      <c r="AL1752">
        <v>2052.5</v>
      </c>
      <c r="AM1752">
        <v>10</v>
      </c>
      <c r="AN1752">
        <v>47.5</v>
      </c>
      <c r="AO1752">
        <v>0</v>
      </c>
      <c r="AP1752">
        <v>102.5</v>
      </c>
      <c r="AQ1752">
        <v>0</v>
      </c>
      <c r="AR1752">
        <v>2.5</v>
      </c>
      <c r="AS1752">
        <v>15</v>
      </c>
      <c r="AT1752">
        <v>4567.5</v>
      </c>
      <c r="AU1752" t="s">
        <v>35</v>
      </c>
    </row>
    <row r="1753" spans="1:47" x14ac:dyDescent="0.2">
      <c r="A1753">
        <v>2393</v>
      </c>
      <c r="B1753" t="s">
        <v>891</v>
      </c>
      <c r="C1753">
        <v>220</v>
      </c>
      <c r="D1753" t="s">
        <v>564</v>
      </c>
      <c r="G1753" t="str">
        <f t="shared" si="36"/>
        <v>SWL2019220UTN7</v>
      </c>
      <c r="H1753">
        <v>68.001316669999994</v>
      </c>
      <c r="I1753">
        <v>-168.9273833</v>
      </c>
      <c r="J1753" s="3">
        <v>20190719</v>
      </c>
      <c r="K1753">
        <v>2019</v>
      </c>
      <c r="L1753">
        <v>1.8972599999999999</v>
      </c>
      <c r="M1753">
        <v>14.148490000000001</v>
      </c>
      <c r="N1753">
        <v>1.97024</v>
      </c>
      <c r="O1753">
        <v>0</v>
      </c>
      <c r="P1753">
        <v>1.5299999999999999E-3</v>
      </c>
      <c r="Q1753">
        <v>0</v>
      </c>
      <c r="R1753">
        <v>1.9355899999999999</v>
      </c>
      <c r="S1753">
        <v>0</v>
      </c>
      <c r="T1753">
        <v>0.17344999999999999</v>
      </c>
      <c r="U1753">
        <v>0.31941999999999998</v>
      </c>
      <c r="V1753">
        <v>20.445979999999999</v>
      </c>
      <c r="W1753" t="s">
        <v>10</v>
      </c>
      <c r="X1753">
        <v>31.483000000000001</v>
      </c>
      <c r="Y1753">
        <v>423.072</v>
      </c>
      <c r="Z1753">
        <v>21.719000000000001</v>
      </c>
      <c r="AA1753">
        <v>0</v>
      </c>
      <c r="AB1753">
        <v>0.109</v>
      </c>
      <c r="AC1753">
        <v>0</v>
      </c>
      <c r="AD1753">
        <v>31.731000000000002</v>
      </c>
      <c r="AE1753">
        <v>0</v>
      </c>
      <c r="AF1753">
        <v>1.865</v>
      </c>
      <c r="AG1753">
        <v>6.7409999999999997</v>
      </c>
      <c r="AH1753">
        <v>516.72</v>
      </c>
      <c r="AI1753" t="s">
        <v>22</v>
      </c>
      <c r="AJ1753">
        <v>1117.5</v>
      </c>
      <c r="AK1753">
        <v>667.5</v>
      </c>
      <c r="AL1753">
        <v>2090</v>
      </c>
      <c r="AM1753">
        <v>0</v>
      </c>
      <c r="AN1753">
        <v>112.5</v>
      </c>
      <c r="AO1753">
        <v>0</v>
      </c>
      <c r="AP1753">
        <v>112.5</v>
      </c>
      <c r="AQ1753">
        <v>0</v>
      </c>
      <c r="AR1753">
        <v>5</v>
      </c>
      <c r="AS1753">
        <v>85</v>
      </c>
      <c r="AT1753">
        <v>4190</v>
      </c>
      <c r="AU1753" t="s">
        <v>35</v>
      </c>
    </row>
    <row r="1754" spans="1:47" x14ac:dyDescent="0.2">
      <c r="A1754">
        <v>2394</v>
      </c>
      <c r="B1754" t="s">
        <v>891</v>
      </c>
      <c r="C1754">
        <v>228</v>
      </c>
      <c r="D1754" t="s">
        <v>851</v>
      </c>
      <c r="G1754" t="str">
        <f t="shared" si="36"/>
        <v>SWL2019228DBO4.6n</v>
      </c>
      <c r="H1754">
        <v>71.849000000000004</v>
      </c>
      <c r="I1754">
        <v>-162.15899999999999</v>
      </c>
      <c r="J1754" s="3">
        <v>20190720</v>
      </c>
      <c r="K1754">
        <v>2019</v>
      </c>
      <c r="L1754">
        <v>1.8363700000000001</v>
      </c>
      <c r="M1754">
        <v>21.423549999999999</v>
      </c>
      <c r="N1754">
        <v>0.47961999999999999</v>
      </c>
      <c r="O1754">
        <v>0.22523000000000001</v>
      </c>
      <c r="P1754">
        <v>0.37137999999999999</v>
      </c>
      <c r="Q1754">
        <v>0</v>
      </c>
      <c r="R1754">
        <v>0.31103999999999998</v>
      </c>
      <c r="S1754">
        <v>0</v>
      </c>
      <c r="T1754">
        <v>7.979E-2</v>
      </c>
      <c r="U1754">
        <v>0.98090999999999995</v>
      </c>
      <c r="V1754">
        <v>25.707889999999999</v>
      </c>
      <c r="W1754" t="s">
        <v>10</v>
      </c>
      <c r="X1754">
        <v>28.87</v>
      </c>
      <c r="Y1754">
        <v>644.70399999999995</v>
      </c>
      <c r="Z1754">
        <v>6.9980000000000002</v>
      </c>
      <c r="AA1754">
        <v>5.0049999999999999</v>
      </c>
      <c r="AB1754">
        <v>26.527000000000001</v>
      </c>
      <c r="AC1754">
        <v>0</v>
      </c>
      <c r="AD1754">
        <v>5.0990000000000002</v>
      </c>
      <c r="AE1754">
        <v>0</v>
      </c>
      <c r="AF1754">
        <v>0.85799999999999998</v>
      </c>
      <c r="AG1754">
        <v>22.329000000000001</v>
      </c>
      <c r="AH1754">
        <v>740.39</v>
      </c>
      <c r="AI1754" t="s">
        <v>22</v>
      </c>
      <c r="AJ1754">
        <v>1635</v>
      </c>
      <c r="AK1754">
        <v>1195</v>
      </c>
      <c r="AL1754">
        <v>232.5</v>
      </c>
      <c r="AM1754">
        <v>2.5</v>
      </c>
      <c r="AN1754">
        <v>12.5</v>
      </c>
      <c r="AO1754">
        <v>0</v>
      </c>
      <c r="AP1754">
        <v>10</v>
      </c>
      <c r="AQ1754">
        <v>0</v>
      </c>
      <c r="AR1754">
        <v>10</v>
      </c>
      <c r="AS1754">
        <v>52.5</v>
      </c>
      <c r="AT1754">
        <v>3150</v>
      </c>
      <c r="AU1754" t="s">
        <v>33</v>
      </c>
    </row>
    <row r="1755" spans="1:47" x14ac:dyDescent="0.2">
      <c r="A1755">
        <v>2395</v>
      </c>
      <c r="B1755" t="s">
        <v>891</v>
      </c>
      <c r="C1755">
        <v>235</v>
      </c>
      <c r="D1755" t="s">
        <v>850</v>
      </c>
      <c r="G1755" t="str">
        <f t="shared" si="36"/>
        <v>SWL2019235DBO4.5n</v>
      </c>
      <c r="H1755">
        <v>71.72</v>
      </c>
      <c r="I1755">
        <v>-161.773</v>
      </c>
      <c r="J1755" s="3">
        <v>20190720</v>
      </c>
      <c r="K1755">
        <v>2019</v>
      </c>
      <c r="L1755">
        <v>2.63971</v>
      </c>
      <c r="M1755">
        <v>13.2784</v>
      </c>
      <c r="N1755">
        <v>9.3710000000000002E-2</v>
      </c>
      <c r="O1755">
        <v>3.9149999999999997E-2</v>
      </c>
      <c r="P1755">
        <v>0.30082999999999999</v>
      </c>
      <c r="Q1755">
        <v>0</v>
      </c>
      <c r="R1755">
        <v>1.7700000000000001E-3</v>
      </c>
      <c r="S1755">
        <v>2.8999999999999998E-3</v>
      </c>
      <c r="T1755">
        <v>1.02328</v>
      </c>
      <c r="U1755">
        <v>0.19806000000000001</v>
      </c>
      <c r="V1755">
        <v>17.577809999999999</v>
      </c>
      <c r="W1755" t="s">
        <v>10</v>
      </c>
      <c r="X1755">
        <v>37.463000000000001</v>
      </c>
      <c r="Y1755">
        <v>368.7</v>
      </c>
      <c r="Z1755">
        <v>1.345</v>
      </c>
      <c r="AA1755">
        <v>0.87</v>
      </c>
      <c r="AB1755">
        <v>21.488</v>
      </c>
      <c r="AC1755">
        <v>0</v>
      </c>
      <c r="AD1755">
        <v>2.9000000000000001E-2</v>
      </c>
      <c r="AE1755">
        <v>0.20699999999999999</v>
      </c>
      <c r="AF1755">
        <v>11.003</v>
      </c>
      <c r="AG1755">
        <v>8.1300000000000008</v>
      </c>
      <c r="AH1755">
        <v>449.23500000000001</v>
      </c>
      <c r="AI1755" t="s">
        <v>22</v>
      </c>
      <c r="AJ1755">
        <v>1407.5</v>
      </c>
      <c r="AK1755">
        <v>1460</v>
      </c>
      <c r="AL1755">
        <v>182.5</v>
      </c>
      <c r="AM1755">
        <v>10</v>
      </c>
      <c r="AN1755">
        <v>22.5</v>
      </c>
      <c r="AO1755">
        <v>0</v>
      </c>
      <c r="AP1755">
        <v>2.5</v>
      </c>
      <c r="AQ1755">
        <v>2.5</v>
      </c>
      <c r="AR1755">
        <v>22.5</v>
      </c>
      <c r="AS1755">
        <v>60</v>
      </c>
      <c r="AT1755">
        <v>3170</v>
      </c>
      <c r="AU1755" t="s">
        <v>34</v>
      </c>
    </row>
    <row r="1756" spans="1:47" x14ac:dyDescent="0.2">
      <c r="A1756">
        <v>2396</v>
      </c>
      <c r="B1756" t="s">
        <v>891</v>
      </c>
      <c r="C1756">
        <v>243</v>
      </c>
      <c r="D1756" t="s">
        <v>849</v>
      </c>
      <c r="G1756" t="str">
        <f t="shared" si="36"/>
        <v>SWL2019243DBO4.4n</v>
      </c>
      <c r="H1756">
        <v>71.587999999999994</v>
      </c>
      <c r="I1756">
        <v>-161.40600000000001</v>
      </c>
      <c r="J1756" s="3">
        <v>20190720</v>
      </c>
      <c r="K1756">
        <v>2019</v>
      </c>
      <c r="L1756">
        <v>3.7520799999999999</v>
      </c>
      <c r="M1756">
        <v>17.571999999999999</v>
      </c>
      <c r="N1756">
        <v>0.13857</v>
      </c>
      <c r="O1756">
        <v>1.8020700000000001</v>
      </c>
      <c r="P1756">
        <v>0.48391000000000001</v>
      </c>
      <c r="Q1756">
        <v>0</v>
      </c>
      <c r="R1756">
        <v>1.5310000000000001E-2</v>
      </c>
      <c r="S1756">
        <v>0.29676999999999998</v>
      </c>
      <c r="T1756">
        <v>5.5138800000000003</v>
      </c>
      <c r="U1756">
        <v>4.8169999999999998E-2</v>
      </c>
      <c r="V1756">
        <v>29.62276</v>
      </c>
      <c r="W1756" t="s">
        <v>10</v>
      </c>
      <c r="X1756">
        <v>64.305000000000007</v>
      </c>
      <c r="Y1756">
        <v>530.51599999999996</v>
      </c>
      <c r="Z1756">
        <v>1.919</v>
      </c>
      <c r="AA1756">
        <v>40.045999999999999</v>
      </c>
      <c r="AB1756">
        <v>34.564999999999998</v>
      </c>
      <c r="AC1756">
        <v>0</v>
      </c>
      <c r="AD1756">
        <v>0.251</v>
      </c>
      <c r="AE1756">
        <v>21.198</v>
      </c>
      <c r="AF1756">
        <v>59.289000000000001</v>
      </c>
      <c r="AG1756">
        <v>1.006</v>
      </c>
      <c r="AH1756">
        <v>753.09500000000003</v>
      </c>
      <c r="AI1756" t="s">
        <v>22</v>
      </c>
      <c r="AJ1756">
        <v>1200</v>
      </c>
      <c r="AK1756">
        <v>1527.5</v>
      </c>
      <c r="AL1756">
        <v>157.5</v>
      </c>
      <c r="AM1756">
        <v>12.5</v>
      </c>
      <c r="AN1756">
        <v>35</v>
      </c>
      <c r="AO1756">
        <v>0</v>
      </c>
      <c r="AP1756">
        <v>10</v>
      </c>
      <c r="AQ1756">
        <v>12.5</v>
      </c>
      <c r="AR1756">
        <v>32.5</v>
      </c>
      <c r="AS1756">
        <v>145</v>
      </c>
      <c r="AT1756">
        <v>3132.5</v>
      </c>
      <c r="AU1756" t="s">
        <v>34</v>
      </c>
    </row>
    <row r="1757" spans="1:47" x14ac:dyDescent="0.2">
      <c r="A1757">
        <v>2397</v>
      </c>
      <c r="B1757" t="s">
        <v>891</v>
      </c>
      <c r="C1757">
        <v>251</v>
      </c>
      <c r="D1757" t="s">
        <v>848</v>
      </c>
      <c r="G1757" t="str">
        <f t="shared" si="36"/>
        <v>SWL2019251DBO4.3n</v>
      </c>
      <c r="H1757">
        <v>71.453999999999994</v>
      </c>
      <c r="I1757">
        <v>-161.03800000000001</v>
      </c>
      <c r="J1757" s="3">
        <v>20190720</v>
      </c>
      <c r="K1757">
        <v>2019</v>
      </c>
      <c r="L1757">
        <v>4.41622</v>
      </c>
      <c r="M1757">
        <v>16.382010000000001</v>
      </c>
      <c r="N1757">
        <v>0.51815999999999995</v>
      </c>
      <c r="O1757">
        <v>1.3999999999999999E-4</v>
      </c>
      <c r="P1757">
        <v>1.014E-2</v>
      </c>
      <c r="Q1757">
        <v>0</v>
      </c>
      <c r="R1757">
        <v>5.5629999999999999E-2</v>
      </c>
      <c r="S1757">
        <v>0.43280999999999997</v>
      </c>
      <c r="T1757">
        <v>0.83021</v>
      </c>
      <c r="U1757">
        <v>5.3699999999999998E-2</v>
      </c>
      <c r="V1757">
        <v>22.699020000000001</v>
      </c>
      <c r="W1757" t="s">
        <v>10</v>
      </c>
      <c r="X1757">
        <v>69.244</v>
      </c>
      <c r="Y1757">
        <v>459.29199999999997</v>
      </c>
      <c r="Z1757">
        <v>7.4669999999999996</v>
      </c>
      <c r="AA1757">
        <v>3.0000000000000001E-3</v>
      </c>
      <c r="AB1757">
        <v>0.72399999999999998</v>
      </c>
      <c r="AC1757">
        <v>0</v>
      </c>
      <c r="AD1757">
        <v>0.91200000000000003</v>
      </c>
      <c r="AE1757">
        <v>30.914999999999999</v>
      </c>
      <c r="AF1757">
        <v>8.9269999999999996</v>
      </c>
      <c r="AG1757">
        <v>1.631</v>
      </c>
      <c r="AH1757">
        <v>579.11500000000001</v>
      </c>
      <c r="AI1757" t="s">
        <v>22</v>
      </c>
      <c r="AJ1757">
        <v>3015</v>
      </c>
      <c r="AK1757">
        <v>2262.5</v>
      </c>
      <c r="AL1757">
        <v>222.5</v>
      </c>
      <c r="AM1757">
        <v>2.5</v>
      </c>
      <c r="AN1757">
        <v>22.5</v>
      </c>
      <c r="AO1757">
        <v>0</v>
      </c>
      <c r="AP1757">
        <v>5</v>
      </c>
      <c r="AQ1757">
        <v>2.5</v>
      </c>
      <c r="AR1757">
        <v>20</v>
      </c>
      <c r="AS1757">
        <v>117.5</v>
      </c>
      <c r="AT1757">
        <v>5670</v>
      </c>
      <c r="AU1757" t="s">
        <v>33</v>
      </c>
    </row>
    <row r="1758" spans="1:47" x14ac:dyDescent="0.2">
      <c r="A1758">
        <v>2398</v>
      </c>
      <c r="B1758" t="s">
        <v>891</v>
      </c>
      <c r="C1758">
        <v>259</v>
      </c>
      <c r="D1758" t="s">
        <v>847</v>
      </c>
      <c r="G1758" t="str">
        <f t="shared" si="36"/>
        <v>SWL2019259DBO4.2n</v>
      </c>
      <c r="H1758">
        <v>71.322999999999993</v>
      </c>
      <c r="I1758">
        <v>-160.65600000000001</v>
      </c>
      <c r="J1758" s="3">
        <v>20190720</v>
      </c>
      <c r="K1758">
        <v>2019</v>
      </c>
      <c r="L1758">
        <v>4.0645199999999999</v>
      </c>
      <c r="M1758">
        <v>17.61252</v>
      </c>
      <c r="N1758">
        <v>0.46854000000000001</v>
      </c>
      <c r="O1758">
        <v>1.035E-2</v>
      </c>
      <c r="P1758">
        <v>0.11454</v>
      </c>
      <c r="Q1758">
        <v>0</v>
      </c>
      <c r="R1758">
        <v>5.5629999999999999E-2</v>
      </c>
      <c r="S1758">
        <v>0</v>
      </c>
      <c r="T1758">
        <v>0.79886999999999997</v>
      </c>
      <c r="U1758">
        <v>3.2309999999999998E-2</v>
      </c>
      <c r="V1758">
        <v>23.15728</v>
      </c>
      <c r="W1758" t="s">
        <v>10</v>
      </c>
      <c r="X1758">
        <v>62.079000000000001</v>
      </c>
      <c r="Y1758">
        <v>498.90199999999999</v>
      </c>
      <c r="Z1758">
        <v>6.7709999999999999</v>
      </c>
      <c r="AA1758">
        <v>0.23</v>
      </c>
      <c r="AB1758">
        <v>8.1820000000000004</v>
      </c>
      <c r="AC1758">
        <v>0</v>
      </c>
      <c r="AD1758">
        <v>0.91200000000000003</v>
      </c>
      <c r="AE1758">
        <v>0</v>
      </c>
      <c r="AF1758">
        <v>8.59</v>
      </c>
      <c r="AG1758">
        <v>1.29</v>
      </c>
      <c r="AH1758">
        <v>586.95600000000002</v>
      </c>
      <c r="AI1758" t="s">
        <v>22</v>
      </c>
      <c r="AJ1758">
        <v>3050</v>
      </c>
      <c r="AK1758">
        <v>2362.5</v>
      </c>
      <c r="AL1758">
        <v>320</v>
      </c>
      <c r="AM1758">
        <v>7.5</v>
      </c>
      <c r="AN1758">
        <v>22.5</v>
      </c>
      <c r="AO1758">
        <v>0</v>
      </c>
      <c r="AP1758">
        <v>5</v>
      </c>
      <c r="AQ1758">
        <v>0</v>
      </c>
      <c r="AR1758">
        <v>17.5</v>
      </c>
      <c r="AS1758">
        <v>110</v>
      </c>
      <c r="AT1758">
        <v>5895</v>
      </c>
      <c r="AU1758" t="s">
        <v>33</v>
      </c>
    </row>
    <row r="1759" spans="1:47" x14ac:dyDescent="0.2">
      <c r="A1759">
        <v>2399</v>
      </c>
      <c r="B1759" t="s">
        <v>891</v>
      </c>
      <c r="C1759">
        <v>267</v>
      </c>
      <c r="D1759" t="s">
        <v>845</v>
      </c>
      <c r="G1759" t="str">
        <f t="shared" si="36"/>
        <v>SWL2019267DBO4.1n</v>
      </c>
      <c r="H1759">
        <v>71.191000000000003</v>
      </c>
      <c r="I1759">
        <v>-160.27000000000001</v>
      </c>
      <c r="J1759" s="3">
        <v>20190721</v>
      </c>
      <c r="K1759">
        <v>2019</v>
      </c>
      <c r="L1759">
        <v>11.50803</v>
      </c>
      <c r="M1759">
        <v>9.0126500000000007</v>
      </c>
      <c r="N1759">
        <v>2.32023</v>
      </c>
      <c r="O1759">
        <v>0.83323000000000003</v>
      </c>
      <c r="P1759">
        <v>2.7399999999999998E-3</v>
      </c>
      <c r="Q1759">
        <v>0</v>
      </c>
      <c r="R1759">
        <v>1.8000000000000001E-4</v>
      </c>
      <c r="S1759">
        <v>2.2159999999999999E-2</v>
      </c>
      <c r="T1759">
        <v>5.4780000000000002E-2</v>
      </c>
      <c r="U1759">
        <v>1.6894899999999999</v>
      </c>
      <c r="V1759">
        <v>25.443490000000001</v>
      </c>
      <c r="W1759" t="s">
        <v>9</v>
      </c>
      <c r="X1759">
        <v>166.792</v>
      </c>
      <c r="Y1759">
        <v>427.964</v>
      </c>
      <c r="Z1759">
        <v>32.302</v>
      </c>
      <c r="AA1759">
        <v>18.515999999999998</v>
      </c>
      <c r="AB1759">
        <v>0.19600000000000001</v>
      </c>
      <c r="AC1759">
        <v>0</v>
      </c>
      <c r="AD1759">
        <v>3.0000000000000001E-3</v>
      </c>
      <c r="AE1759">
        <v>1.583</v>
      </c>
      <c r="AF1759">
        <v>0.58899999999999997</v>
      </c>
      <c r="AG1759">
        <v>145.72900000000001</v>
      </c>
      <c r="AH1759">
        <v>793.67399999999998</v>
      </c>
      <c r="AI1759" t="s">
        <v>22</v>
      </c>
      <c r="AJ1759">
        <v>3227.5</v>
      </c>
      <c r="AK1759">
        <v>1402.5</v>
      </c>
      <c r="AL1759">
        <v>5730</v>
      </c>
      <c r="AM1759">
        <v>57.5</v>
      </c>
      <c r="AN1759">
        <v>35</v>
      </c>
      <c r="AO1759">
        <v>0</v>
      </c>
      <c r="AP1759">
        <v>2.5</v>
      </c>
      <c r="AQ1759">
        <v>7.5</v>
      </c>
      <c r="AR1759">
        <v>52.5</v>
      </c>
      <c r="AS1759">
        <v>100</v>
      </c>
      <c r="AT1759">
        <v>10615</v>
      </c>
      <c r="AU1759" t="s">
        <v>35</v>
      </c>
    </row>
    <row r="1760" spans="1:47" x14ac:dyDescent="0.2">
      <c r="A1760">
        <v>2400</v>
      </c>
      <c r="B1760" t="s">
        <v>891</v>
      </c>
      <c r="C1760">
        <v>274</v>
      </c>
      <c r="D1760" t="s">
        <v>381</v>
      </c>
      <c r="G1760" t="str">
        <f t="shared" si="36"/>
        <v>SWL2019274BarC10</v>
      </c>
      <c r="H1760">
        <v>71.62</v>
      </c>
      <c r="I1760">
        <v>-157.92099999999999</v>
      </c>
      <c r="J1760" s="3">
        <v>20190721</v>
      </c>
      <c r="K1760">
        <v>2019</v>
      </c>
      <c r="L1760">
        <v>1.425</v>
      </c>
      <c r="M1760">
        <v>2.1196600000000001</v>
      </c>
      <c r="N1760">
        <v>6.0359999999999997E-2</v>
      </c>
      <c r="O1760">
        <v>3.8780999999999999</v>
      </c>
      <c r="P1760">
        <v>0</v>
      </c>
      <c r="Q1760">
        <v>0</v>
      </c>
      <c r="R1760">
        <v>0</v>
      </c>
      <c r="S1760">
        <v>0</v>
      </c>
      <c r="T1760">
        <v>2.8830000000000001E-2</v>
      </c>
      <c r="U1760">
        <v>9.0100000000000006E-3</v>
      </c>
      <c r="V1760">
        <v>7.5209599999999996</v>
      </c>
      <c r="W1760" t="s">
        <v>12</v>
      </c>
      <c r="X1760">
        <v>20.655999999999999</v>
      </c>
      <c r="Y1760">
        <v>57.59</v>
      </c>
      <c r="Z1760">
        <v>0.86599999999999999</v>
      </c>
      <c r="AA1760">
        <v>86.18</v>
      </c>
      <c r="AB1760">
        <v>0</v>
      </c>
      <c r="AC1760">
        <v>0</v>
      </c>
      <c r="AD1760">
        <v>0</v>
      </c>
      <c r="AE1760">
        <v>0</v>
      </c>
      <c r="AF1760">
        <v>0.31</v>
      </c>
      <c r="AG1760">
        <v>0.375</v>
      </c>
      <c r="AH1760">
        <v>165.977</v>
      </c>
      <c r="AI1760" t="s">
        <v>24</v>
      </c>
      <c r="AJ1760">
        <v>350</v>
      </c>
      <c r="AK1760">
        <v>480</v>
      </c>
      <c r="AL1760">
        <v>140</v>
      </c>
      <c r="AM1760">
        <v>10</v>
      </c>
      <c r="AN1760">
        <v>0</v>
      </c>
      <c r="AO1760">
        <v>0</v>
      </c>
      <c r="AP1760">
        <v>0</v>
      </c>
      <c r="AQ1760">
        <v>0</v>
      </c>
      <c r="AR1760">
        <v>10</v>
      </c>
      <c r="AS1760">
        <v>50</v>
      </c>
      <c r="AT1760">
        <v>1040</v>
      </c>
      <c r="AU1760" t="s">
        <v>34</v>
      </c>
    </row>
    <row r="1761" spans="1:47" x14ac:dyDescent="0.2">
      <c r="A1761">
        <v>2401</v>
      </c>
      <c r="B1761" t="s">
        <v>891</v>
      </c>
      <c r="C1761">
        <v>280</v>
      </c>
      <c r="D1761" t="s">
        <v>380</v>
      </c>
      <c r="G1761" t="str">
        <f t="shared" si="36"/>
        <v>SWL2019280BarC9</v>
      </c>
      <c r="H1761">
        <v>71.576999999999998</v>
      </c>
      <c r="I1761">
        <v>-157.84399999999999</v>
      </c>
      <c r="J1761" s="3">
        <v>20190721</v>
      </c>
      <c r="K1761">
        <v>2019</v>
      </c>
      <c r="L1761">
        <v>0.39643</v>
      </c>
      <c r="M1761">
        <v>3.3450199999999999</v>
      </c>
      <c r="N1761">
        <v>8.7660000000000002E-2</v>
      </c>
      <c r="O1761">
        <v>4.5500000000000002E-3</v>
      </c>
      <c r="P1761">
        <v>4.8000000000000001E-4</v>
      </c>
      <c r="Q1761">
        <v>0</v>
      </c>
      <c r="R1761">
        <v>0</v>
      </c>
      <c r="S1761">
        <v>0</v>
      </c>
      <c r="T1761">
        <v>0.13913</v>
      </c>
      <c r="U1761">
        <v>5.357E-2</v>
      </c>
      <c r="V1761">
        <v>4.02684</v>
      </c>
      <c r="W1761" t="s">
        <v>10</v>
      </c>
      <c r="X1761">
        <v>5.5949999999999998</v>
      </c>
      <c r="Y1761">
        <v>87.263000000000005</v>
      </c>
      <c r="Z1761">
        <v>1.204</v>
      </c>
      <c r="AA1761">
        <v>0.10100000000000001</v>
      </c>
      <c r="AB1761">
        <v>3.4000000000000002E-2</v>
      </c>
      <c r="AC1761">
        <v>0</v>
      </c>
      <c r="AD1761">
        <v>0</v>
      </c>
      <c r="AE1761">
        <v>0</v>
      </c>
      <c r="AF1761">
        <v>1.496</v>
      </c>
      <c r="AG1761">
        <v>1.33</v>
      </c>
      <c r="AH1761">
        <v>97.022999999999996</v>
      </c>
      <c r="AI1761" t="s">
        <v>22</v>
      </c>
      <c r="AJ1761">
        <v>470</v>
      </c>
      <c r="AK1761">
        <v>700</v>
      </c>
      <c r="AL1761">
        <v>380</v>
      </c>
      <c r="AM1761">
        <v>10</v>
      </c>
      <c r="AN1761">
        <v>10</v>
      </c>
      <c r="AO1761">
        <v>0</v>
      </c>
      <c r="AP1761">
        <v>0</v>
      </c>
      <c r="AQ1761">
        <v>0</v>
      </c>
      <c r="AR1761">
        <v>10</v>
      </c>
      <c r="AS1761">
        <v>150</v>
      </c>
      <c r="AT1761">
        <v>1730</v>
      </c>
      <c r="AU1761" t="s">
        <v>34</v>
      </c>
    </row>
    <row r="1762" spans="1:47" x14ac:dyDescent="0.2">
      <c r="A1762">
        <v>2402</v>
      </c>
      <c r="B1762" t="s">
        <v>891</v>
      </c>
      <c r="C1762">
        <v>285</v>
      </c>
      <c r="D1762" t="s">
        <v>379</v>
      </c>
      <c r="G1762" t="str">
        <f t="shared" si="36"/>
        <v>SWL2019285BarC8</v>
      </c>
      <c r="H1762">
        <v>71.536000000000001</v>
      </c>
      <c r="I1762">
        <v>-157.75299999999999</v>
      </c>
      <c r="J1762" s="3">
        <v>20190721</v>
      </c>
      <c r="K1762">
        <v>2019</v>
      </c>
      <c r="L1762">
        <v>4.6612900000000002</v>
      </c>
      <c r="M1762">
        <v>1.12738</v>
      </c>
      <c r="N1762">
        <v>0.40205999999999997</v>
      </c>
      <c r="O1762">
        <v>0</v>
      </c>
      <c r="P1762">
        <v>0.34400999999999998</v>
      </c>
      <c r="Q1762">
        <v>0</v>
      </c>
      <c r="R1762">
        <v>0</v>
      </c>
      <c r="S1762">
        <v>0</v>
      </c>
      <c r="T1762">
        <v>0.22153</v>
      </c>
      <c r="U1762">
        <v>0.10019</v>
      </c>
      <c r="V1762">
        <v>6.8564600000000002</v>
      </c>
      <c r="W1762" t="s">
        <v>9</v>
      </c>
      <c r="X1762">
        <v>67.028000000000006</v>
      </c>
      <c r="Y1762">
        <v>34.262999999999998</v>
      </c>
      <c r="Z1762">
        <v>5.4880000000000004</v>
      </c>
      <c r="AA1762">
        <v>0</v>
      </c>
      <c r="AB1762">
        <v>24.571999999999999</v>
      </c>
      <c r="AC1762">
        <v>0</v>
      </c>
      <c r="AD1762">
        <v>0</v>
      </c>
      <c r="AE1762">
        <v>0</v>
      </c>
      <c r="AF1762">
        <v>2.3820000000000001</v>
      </c>
      <c r="AG1762">
        <v>2.306</v>
      </c>
      <c r="AH1762">
        <v>136.03899999999999</v>
      </c>
      <c r="AI1762" t="s">
        <v>21</v>
      </c>
      <c r="AJ1762">
        <v>460</v>
      </c>
      <c r="AK1762">
        <v>590</v>
      </c>
      <c r="AL1762">
        <v>270</v>
      </c>
      <c r="AM1762">
        <v>0</v>
      </c>
      <c r="AN1762">
        <v>40</v>
      </c>
      <c r="AO1762">
        <v>0</v>
      </c>
      <c r="AP1762">
        <v>0</v>
      </c>
      <c r="AQ1762">
        <v>0</v>
      </c>
      <c r="AR1762">
        <v>20</v>
      </c>
      <c r="AS1762">
        <v>50</v>
      </c>
      <c r="AT1762">
        <v>1430</v>
      </c>
      <c r="AU1762" t="s">
        <v>34</v>
      </c>
    </row>
    <row r="1763" spans="1:47" x14ac:dyDescent="0.2">
      <c r="A1763">
        <v>2403</v>
      </c>
      <c r="B1763" t="s">
        <v>891</v>
      </c>
      <c r="C1763">
        <v>290</v>
      </c>
      <c r="D1763" t="s">
        <v>377</v>
      </c>
      <c r="G1763" t="str">
        <f t="shared" si="36"/>
        <v>SWL2019290BarC7</v>
      </c>
      <c r="H1763">
        <v>71.5</v>
      </c>
      <c r="I1763">
        <v>-157.67099999999999</v>
      </c>
      <c r="J1763" s="3">
        <v>20190721</v>
      </c>
      <c r="K1763">
        <v>2019</v>
      </c>
      <c r="L1763">
        <v>14.31082</v>
      </c>
      <c r="M1763">
        <v>2.2854299999999999</v>
      </c>
      <c r="N1763">
        <v>2.70465</v>
      </c>
      <c r="O1763">
        <v>10.833209999999999</v>
      </c>
      <c r="P1763">
        <v>0.87068999999999996</v>
      </c>
      <c r="Q1763">
        <v>0</v>
      </c>
      <c r="R1763">
        <v>4.0869999999999997E-2</v>
      </c>
      <c r="S1763">
        <v>0</v>
      </c>
      <c r="T1763">
        <v>0.109</v>
      </c>
      <c r="U1763">
        <v>2.8400000000000002E-2</v>
      </c>
      <c r="V1763">
        <v>31.183070000000001</v>
      </c>
      <c r="W1763" t="s">
        <v>9</v>
      </c>
      <c r="X1763">
        <v>206.661</v>
      </c>
      <c r="Y1763">
        <v>76.224000000000004</v>
      </c>
      <c r="Z1763">
        <v>37.241</v>
      </c>
      <c r="AA1763">
        <v>240.738</v>
      </c>
      <c r="AB1763">
        <v>62.192</v>
      </c>
      <c r="AC1763">
        <v>0</v>
      </c>
      <c r="AD1763">
        <v>0.67</v>
      </c>
      <c r="AE1763">
        <v>0</v>
      </c>
      <c r="AF1763">
        <v>1.1719999999999999</v>
      </c>
      <c r="AG1763">
        <v>2.5609999999999999</v>
      </c>
      <c r="AH1763">
        <v>627.45899999999995</v>
      </c>
      <c r="AI1763" t="s">
        <v>24</v>
      </c>
      <c r="AJ1763">
        <v>11210</v>
      </c>
      <c r="AK1763">
        <v>420</v>
      </c>
      <c r="AL1763">
        <v>4600</v>
      </c>
      <c r="AM1763">
        <v>150</v>
      </c>
      <c r="AN1763">
        <v>130</v>
      </c>
      <c r="AO1763">
        <v>0</v>
      </c>
      <c r="AP1763">
        <v>30</v>
      </c>
      <c r="AQ1763">
        <v>0</v>
      </c>
      <c r="AR1763">
        <v>30</v>
      </c>
      <c r="AS1763">
        <v>20</v>
      </c>
      <c r="AT1763">
        <v>16590</v>
      </c>
      <c r="AU1763" t="s">
        <v>33</v>
      </c>
    </row>
    <row r="1764" spans="1:47" x14ac:dyDescent="0.2">
      <c r="A1764">
        <v>2404</v>
      </c>
      <c r="B1764" t="s">
        <v>891</v>
      </c>
      <c r="C1764">
        <v>296</v>
      </c>
      <c r="D1764" t="s">
        <v>376</v>
      </c>
      <c r="G1764" t="str">
        <f t="shared" si="36"/>
        <v>SWL2019296BarC6</v>
      </c>
      <c r="H1764">
        <v>71.247</v>
      </c>
      <c r="I1764">
        <v>-157.166</v>
      </c>
      <c r="J1764" s="3">
        <v>20190722</v>
      </c>
      <c r="K1764">
        <v>2019</v>
      </c>
      <c r="L1764">
        <v>20.371300000000002</v>
      </c>
      <c r="M1764">
        <v>3.58636</v>
      </c>
      <c r="N1764">
        <v>13.039199999999999</v>
      </c>
      <c r="O1764">
        <v>5.6760799999999998</v>
      </c>
      <c r="P1764">
        <v>1.36443</v>
      </c>
      <c r="Q1764">
        <v>0</v>
      </c>
      <c r="R1764">
        <v>3.5380000000000002E-2</v>
      </c>
      <c r="S1764">
        <v>0</v>
      </c>
      <c r="T1764">
        <v>0.37711</v>
      </c>
      <c r="U1764">
        <v>0.19084000000000001</v>
      </c>
      <c r="V1764">
        <v>44.640700000000002</v>
      </c>
      <c r="W1764" t="s">
        <v>9</v>
      </c>
      <c r="X1764">
        <v>291.47000000000003</v>
      </c>
      <c r="Y1764">
        <v>191.08</v>
      </c>
      <c r="Z1764">
        <v>190.172</v>
      </c>
      <c r="AA1764">
        <v>126.13500000000001</v>
      </c>
      <c r="AB1764">
        <v>97.459000000000003</v>
      </c>
      <c r="AC1764">
        <v>0</v>
      </c>
      <c r="AD1764">
        <v>0.57999999999999996</v>
      </c>
      <c r="AE1764">
        <v>0</v>
      </c>
      <c r="AF1764">
        <v>4.0549999999999997</v>
      </c>
      <c r="AG1764">
        <v>10.657999999999999</v>
      </c>
      <c r="AH1764">
        <v>911.60900000000004</v>
      </c>
      <c r="AI1764" t="s">
        <v>21</v>
      </c>
      <c r="AJ1764">
        <v>22860</v>
      </c>
      <c r="AK1764">
        <v>280</v>
      </c>
      <c r="AL1764">
        <v>47520</v>
      </c>
      <c r="AM1764">
        <v>280</v>
      </c>
      <c r="AN1764">
        <v>250</v>
      </c>
      <c r="AO1764">
        <v>0</v>
      </c>
      <c r="AP1764">
        <v>10</v>
      </c>
      <c r="AQ1764">
        <v>0</v>
      </c>
      <c r="AR1764">
        <v>90</v>
      </c>
      <c r="AS1764">
        <v>20</v>
      </c>
      <c r="AT1764">
        <v>71310</v>
      </c>
      <c r="AU1764" t="s">
        <v>35</v>
      </c>
    </row>
    <row r="1765" spans="1:47" x14ac:dyDescent="0.2">
      <c r="A1765">
        <v>2405</v>
      </c>
      <c r="B1765" t="s">
        <v>891</v>
      </c>
      <c r="C1765">
        <v>301</v>
      </c>
      <c r="D1765" t="s">
        <v>375</v>
      </c>
      <c r="G1765" t="str">
        <f t="shared" si="36"/>
        <v>SWL2019301BarC5</v>
      </c>
      <c r="H1765">
        <v>71.41</v>
      </c>
      <c r="I1765">
        <v>-157.48699999999999</v>
      </c>
      <c r="J1765" s="3">
        <v>20190721</v>
      </c>
      <c r="K1765">
        <v>2019</v>
      </c>
      <c r="L1765">
        <v>7.7610799999999998</v>
      </c>
      <c r="M1765">
        <v>4.6459000000000001</v>
      </c>
      <c r="N1765">
        <v>1.6331100000000001</v>
      </c>
      <c r="O1765">
        <v>0.14269000000000001</v>
      </c>
      <c r="P1765">
        <v>0.29265000000000002</v>
      </c>
      <c r="Q1765">
        <v>0</v>
      </c>
      <c r="R1765">
        <v>0</v>
      </c>
      <c r="S1765">
        <v>5.4900000000000001E-3</v>
      </c>
      <c r="T1765">
        <v>5.8029999999999998E-2</v>
      </c>
      <c r="U1765">
        <v>0.87031999999999998</v>
      </c>
      <c r="V1765">
        <v>15.409269999999999</v>
      </c>
      <c r="W1765" t="s">
        <v>9</v>
      </c>
      <c r="X1765">
        <v>111.087</v>
      </c>
      <c r="Y1765">
        <v>135.37200000000001</v>
      </c>
      <c r="Z1765">
        <v>21.116</v>
      </c>
      <c r="AA1765">
        <v>3.1709999999999998</v>
      </c>
      <c r="AB1765">
        <v>20.904</v>
      </c>
      <c r="AC1765">
        <v>0</v>
      </c>
      <c r="AD1765">
        <v>0</v>
      </c>
      <c r="AE1765">
        <v>0.13400000000000001</v>
      </c>
      <c r="AF1765">
        <v>0.624</v>
      </c>
      <c r="AG1765">
        <v>41.906999999999996</v>
      </c>
      <c r="AH1765">
        <v>334.315</v>
      </c>
      <c r="AI1765" t="s">
        <v>22</v>
      </c>
      <c r="AJ1765">
        <v>3700</v>
      </c>
      <c r="AK1765">
        <v>340</v>
      </c>
      <c r="AL1765">
        <v>10040</v>
      </c>
      <c r="AM1765">
        <v>120</v>
      </c>
      <c r="AN1765">
        <v>190</v>
      </c>
      <c r="AO1765">
        <v>0</v>
      </c>
      <c r="AP1765">
        <v>0</v>
      </c>
      <c r="AQ1765">
        <v>10</v>
      </c>
      <c r="AR1765">
        <v>50</v>
      </c>
      <c r="AS1765">
        <v>150</v>
      </c>
      <c r="AT1765">
        <v>14600</v>
      </c>
      <c r="AU1765" t="s">
        <v>35</v>
      </c>
    </row>
    <row r="1766" spans="1:47" x14ac:dyDescent="0.2">
      <c r="A1766">
        <v>2406</v>
      </c>
      <c r="B1766" t="s">
        <v>891</v>
      </c>
      <c r="C1766">
        <v>306</v>
      </c>
      <c r="D1766" t="s">
        <v>374</v>
      </c>
      <c r="G1766" t="str">
        <f t="shared" si="36"/>
        <v>SWL2019306BarC4</v>
      </c>
      <c r="H1766">
        <v>71.372</v>
      </c>
      <c r="I1766">
        <v>-157.40899999999999</v>
      </c>
      <c r="J1766" s="3">
        <v>20190722</v>
      </c>
      <c r="K1766">
        <v>2019</v>
      </c>
      <c r="L1766">
        <v>0.27305000000000001</v>
      </c>
      <c r="M1766">
        <v>3.44659</v>
      </c>
      <c r="N1766">
        <v>5.6980000000000003E-2</v>
      </c>
      <c r="O1766">
        <v>5.0000000000000002E-5</v>
      </c>
      <c r="P1766">
        <v>0.36554999999999999</v>
      </c>
      <c r="Q1766">
        <v>0</v>
      </c>
      <c r="R1766">
        <v>6.2927999999999997</v>
      </c>
      <c r="S1766">
        <v>0</v>
      </c>
      <c r="T1766">
        <v>0</v>
      </c>
      <c r="U1766">
        <v>19.567620000000002</v>
      </c>
      <c r="V1766">
        <v>30.00264</v>
      </c>
      <c r="W1766" t="s">
        <v>18</v>
      </c>
      <c r="X1766">
        <v>3.911</v>
      </c>
      <c r="Y1766">
        <v>229.73099999999999</v>
      </c>
      <c r="Z1766">
        <v>0.77</v>
      </c>
      <c r="AA1766">
        <v>1E-3</v>
      </c>
      <c r="AB1766">
        <v>26.111000000000001</v>
      </c>
      <c r="AC1766">
        <v>0</v>
      </c>
      <c r="AD1766">
        <v>157.32</v>
      </c>
      <c r="AE1766">
        <v>0</v>
      </c>
      <c r="AF1766">
        <v>0</v>
      </c>
      <c r="AG1766">
        <v>834.38300000000004</v>
      </c>
      <c r="AH1766">
        <v>1252.2270000000001</v>
      </c>
      <c r="AI1766" t="s">
        <v>30</v>
      </c>
      <c r="AJ1766">
        <v>260</v>
      </c>
      <c r="AK1766">
        <v>100</v>
      </c>
      <c r="AL1766">
        <v>320</v>
      </c>
      <c r="AM1766">
        <v>10</v>
      </c>
      <c r="AN1766">
        <v>10</v>
      </c>
      <c r="AO1766">
        <v>0</v>
      </c>
      <c r="AP1766">
        <v>0</v>
      </c>
      <c r="AQ1766">
        <v>0</v>
      </c>
      <c r="AR1766">
        <v>0</v>
      </c>
      <c r="AS1766">
        <v>70</v>
      </c>
      <c r="AT1766">
        <v>770</v>
      </c>
      <c r="AU1766" t="s">
        <v>35</v>
      </c>
    </row>
    <row r="1767" spans="1:47" x14ac:dyDescent="0.2">
      <c r="A1767">
        <v>2407</v>
      </c>
      <c r="B1767" t="s">
        <v>891</v>
      </c>
      <c r="C1767">
        <v>312</v>
      </c>
      <c r="D1767" t="s">
        <v>373</v>
      </c>
      <c r="G1767" t="str">
        <f t="shared" si="36"/>
        <v>SWL2019312BarC3</v>
      </c>
      <c r="H1767">
        <v>71.331999999999994</v>
      </c>
      <c r="I1767">
        <v>-157.333</v>
      </c>
      <c r="J1767" s="3">
        <v>20190722</v>
      </c>
      <c r="K1767">
        <v>2019</v>
      </c>
      <c r="L1767">
        <v>2.3195000000000001</v>
      </c>
      <c r="M1767">
        <v>15.05336</v>
      </c>
      <c r="N1767">
        <v>0.51212000000000002</v>
      </c>
      <c r="O1767">
        <v>8.9999999999999998E-4</v>
      </c>
      <c r="P1767">
        <v>2.0500000000000002E-3</v>
      </c>
      <c r="Q1767">
        <v>0</v>
      </c>
      <c r="R1767">
        <v>0</v>
      </c>
      <c r="S1767">
        <v>0</v>
      </c>
      <c r="T1767">
        <v>3.9100000000000003E-3</v>
      </c>
      <c r="U1767">
        <v>4.6691200000000004</v>
      </c>
      <c r="V1767">
        <v>22.560960000000001</v>
      </c>
      <c r="W1767" t="s">
        <v>10</v>
      </c>
      <c r="X1767">
        <v>33.488999999999997</v>
      </c>
      <c r="Y1767">
        <v>1001.599</v>
      </c>
      <c r="Z1767">
        <v>6.8070000000000004</v>
      </c>
      <c r="AA1767">
        <v>0.02</v>
      </c>
      <c r="AB1767">
        <v>0.14599999999999999</v>
      </c>
      <c r="AC1767">
        <v>0</v>
      </c>
      <c r="AD1767">
        <v>0</v>
      </c>
      <c r="AE1767">
        <v>0</v>
      </c>
      <c r="AF1767">
        <v>4.2000000000000003E-2</v>
      </c>
      <c r="AG1767">
        <v>224.02600000000001</v>
      </c>
      <c r="AH1767">
        <v>1266.1289999999999</v>
      </c>
      <c r="AI1767" t="s">
        <v>22</v>
      </c>
      <c r="AJ1767">
        <v>1150</v>
      </c>
      <c r="AK1767">
        <v>310</v>
      </c>
      <c r="AL1767">
        <v>900</v>
      </c>
      <c r="AM1767">
        <v>30</v>
      </c>
      <c r="AN1767">
        <v>20</v>
      </c>
      <c r="AO1767">
        <v>0</v>
      </c>
      <c r="AP1767">
        <v>0</v>
      </c>
      <c r="AQ1767">
        <v>0</v>
      </c>
      <c r="AR1767">
        <v>10</v>
      </c>
      <c r="AS1767">
        <v>1250</v>
      </c>
      <c r="AT1767">
        <v>3670</v>
      </c>
      <c r="AU1767" t="s">
        <v>42</v>
      </c>
    </row>
    <row r="1768" spans="1:47" x14ac:dyDescent="0.2">
      <c r="A1768">
        <v>2408</v>
      </c>
      <c r="B1768" t="s">
        <v>891</v>
      </c>
      <c r="C1768">
        <v>317</v>
      </c>
      <c r="D1768" t="s">
        <v>372</v>
      </c>
      <c r="G1768" t="str">
        <f t="shared" si="36"/>
        <v>SWL2019317BarC2</v>
      </c>
      <c r="H1768">
        <v>71.287000000000006</v>
      </c>
      <c r="I1768">
        <v>-157.262</v>
      </c>
      <c r="J1768" s="3">
        <v>20190722</v>
      </c>
      <c r="K1768">
        <v>2019</v>
      </c>
      <c r="L1768">
        <v>1.73085</v>
      </c>
      <c r="M1768">
        <v>5.3530000000000001E-2</v>
      </c>
      <c r="N1768">
        <v>1.76685</v>
      </c>
      <c r="O1768">
        <v>7.9649999999999999E-2</v>
      </c>
      <c r="P1768">
        <v>3.0899999999999999E-3</v>
      </c>
      <c r="Q1768">
        <v>0</v>
      </c>
      <c r="R1768">
        <v>1.8506</v>
      </c>
      <c r="S1768">
        <v>0</v>
      </c>
      <c r="T1768">
        <v>1.265E-2</v>
      </c>
      <c r="U1768">
        <v>12.69416</v>
      </c>
      <c r="V1768">
        <v>18.191379999999999</v>
      </c>
      <c r="W1768" t="s">
        <v>18</v>
      </c>
      <c r="X1768">
        <v>24.934999999999999</v>
      </c>
      <c r="Y1768">
        <v>1.917</v>
      </c>
      <c r="Z1768">
        <v>25.779</v>
      </c>
      <c r="AA1768">
        <v>1.77</v>
      </c>
      <c r="AB1768">
        <v>0.221</v>
      </c>
      <c r="AC1768">
        <v>0</v>
      </c>
      <c r="AD1768">
        <v>46.265000000000001</v>
      </c>
      <c r="AE1768">
        <v>0</v>
      </c>
      <c r="AF1768">
        <v>0.13600000000000001</v>
      </c>
      <c r="AG1768">
        <v>530.01</v>
      </c>
      <c r="AH1768">
        <v>631.03300000000002</v>
      </c>
      <c r="AI1768" t="s">
        <v>30</v>
      </c>
      <c r="AJ1768">
        <v>1700</v>
      </c>
      <c r="AK1768">
        <v>380</v>
      </c>
      <c r="AL1768">
        <v>2560</v>
      </c>
      <c r="AM1768">
        <v>70</v>
      </c>
      <c r="AN1768">
        <v>30</v>
      </c>
      <c r="AO1768">
        <v>0</v>
      </c>
      <c r="AP1768">
        <v>10</v>
      </c>
      <c r="AQ1768">
        <v>0</v>
      </c>
      <c r="AR1768">
        <v>30</v>
      </c>
      <c r="AS1768">
        <v>60</v>
      </c>
      <c r="AT1768">
        <v>4840</v>
      </c>
      <c r="AU1768" t="s">
        <v>35</v>
      </c>
    </row>
    <row r="1769" spans="1:47" x14ac:dyDescent="0.2">
      <c r="A1769">
        <v>2409</v>
      </c>
      <c r="B1769" t="s">
        <v>891</v>
      </c>
      <c r="C1769">
        <v>321</v>
      </c>
      <c r="D1769" t="s">
        <v>371</v>
      </c>
      <c r="G1769" t="str">
        <f t="shared" si="36"/>
        <v>SWL2019321BarC1</v>
      </c>
      <c r="H1769">
        <v>71.247</v>
      </c>
      <c r="I1769">
        <v>-157.166</v>
      </c>
      <c r="J1769" s="3">
        <v>20190722</v>
      </c>
      <c r="K1769">
        <v>2019</v>
      </c>
      <c r="L1769">
        <v>1.44882</v>
      </c>
      <c r="M1769">
        <v>0.50995000000000001</v>
      </c>
      <c r="N1769">
        <v>2.4095200000000001</v>
      </c>
      <c r="O1769">
        <v>3.3890000000000003E-2</v>
      </c>
      <c r="P1769">
        <v>3.1609999999999999E-2</v>
      </c>
      <c r="Q1769">
        <v>0</v>
      </c>
      <c r="R1769">
        <v>0.10650999999999999</v>
      </c>
      <c r="S1769">
        <v>0</v>
      </c>
      <c r="T1769">
        <v>3.7109999999999997E-2</v>
      </c>
      <c r="U1769">
        <v>0.31329000000000001</v>
      </c>
      <c r="V1769">
        <v>4.8906999999999998</v>
      </c>
      <c r="W1769" t="s">
        <v>11</v>
      </c>
      <c r="X1769">
        <v>22.300999999999998</v>
      </c>
      <c r="Y1769">
        <v>18.100000000000001</v>
      </c>
      <c r="Z1769">
        <v>34.131</v>
      </c>
      <c r="AA1769">
        <v>0.753</v>
      </c>
      <c r="AB1769">
        <v>2.258</v>
      </c>
      <c r="AC1769">
        <v>0</v>
      </c>
      <c r="AD1769">
        <v>1.746</v>
      </c>
      <c r="AE1769">
        <v>0</v>
      </c>
      <c r="AF1769">
        <v>0.39900000000000002</v>
      </c>
      <c r="AG1769">
        <v>29.991</v>
      </c>
      <c r="AH1769">
        <v>109.679</v>
      </c>
      <c r="AI1769" t="s">
        <v>23</v>
      </c>
      <c r="AJ1769">
        <v>2260</v>
      </c>
      <c r="AK1769">
        <v>350</v>
      </c>
      <c r="AL1769">
        <v>2470</v>
      </c>
      <c r="AM1769">
        <v>40</v>
      </c>
      <c r="AN1769">
        <v>40</v>
      </c>
      <c r="AO1769">
        <v>0</v>
      </c>
      <c r="AP1769">
        <v>10</v>
      </c>
      <c r="AQ1769">
        <v>0</v>
      </c>
      <c r="AR1769">
        <v>40</v>
      </c>
      <c r="AS1769">
        <v>20</v>
      </c>
      <c r="AT1769">
        <v>5230</v>
      </c>
      <c r="AU1769" t="s">
        <v>35</v>
      </c>
    </row>
  </sheetData>
  <sortState xmlns:xlrd2="http://schemas.microsoft.com/office/spreadsheetml/2017/richdata2" ref="A2:AU1769">
    <sortCondition ref="K2:K1769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AllStation_BenthicInfauna_CLASS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Alynne Bayard</dc:creator>
  <cp:lastModifiedBy>Bilgecan Sen</cp:lastModifiedBy>
  <dcterms:created xsi:type="dcterms:W3CDTF">2023-01-16T17:02:08Z</dcterms:created>
  <dcterms:modified xsi:type="dcterms:W3CDTF">2024-01-22T20:01:01Z</dcterms:modified>
</cp:coreProperties>
</file>